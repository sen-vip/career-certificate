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c73aca217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발령대장_설정" sheetId="2" r:id="R4b1c4e4a1dbb46d8"/>
    <x:sheet xmlns:r="http://schemas.openxmlformats.org/officeDocument/2006/relationships" name="대장" sheetId="1" r:id="Rd27a851b283a4a53"/>
    <x:sheet xmlns:r="http://schemas.openxmlformats.org/officeDocument/2006/relationships" name="발령대장_출력" sheetId="5" r:id="Rb8a2388f8af24193"/>
    <x:sheet xmlns:r="http://schemas.openxmlformats.org/officeDocument/2006/relationships" name="발령대장_오류점검" sheetId="3" r:id="R7559e3a9e39b4f13"/>
    <x:sheet xmlns:r="http://schemas.openxmlformats.org/officeDocument/2006/relationships" name="발령대장_자동자료" sheetId="4" r:id="R1c768147a6d44c43"/>
  </x:sheets>
</x:workbook>
</file>

<file path=xl/sharedStrings.xml><?xml version="1.0" encoding="utf-8"?>
<x:sst xmlns:x="http://schemas.openxmlformats.org/spreadsheetml/2006/main">
  <x:si>
    <x:t xml:space="preserve">교육공무직·일용직 발령대장 설정</x:t>
  </x:si>
  <x:si>
    <x:t xml:space="preserve">설정 항목</x:t>
  </x:si>
  <x:si>
    <x:t xml:space="preserve">입력값</x:t>
  </x:si>
  <x:si>
    <x:t xml:space="preserve">학교명(소속)</x:t>
  </x:si>
  <x:si>
    <x:t xml:space="preserve">학돌중학교</x:t>
  </x:si>
  <x:si>
    <x:t xml:space="preserve">발령권자</x:t>
  </x:si>
  <x:si>
    <x:t xml:space="preserve">학교장</x:t>
  </x:si>
  <x:si>
    <x:t xml:space="preserve">기본 발령근거</x:t>
  </x:si>
  <x:si>
    <x:t xml:space="preserve">학돌중-</x:t>
  </x:si>
  <x:si>
    <x:t xml:space="preserve">기재자날인</x:t>
  </x:si>
  <x:si>
    <x:t xml:space="preserve">확인자날인</x:t>
  </x:si>
  <x:si>
    <x:t xml:space="preserve">대장 입력 기준</x:t>
  </x:si>
  <x:si>
    <x:t xml:space="preserve">내용</x:t>
  </x:si>
  <x:si>
    <x:t xml:space="preserve">한 행의 기준</x:t>
  </x:si>
  <x:si>
    <x:t xml:space="preserve">동일한 직종·고용형태가 유지된 하나의 경력구간을 한 행으로 입력합니다.</x:t>
  </x:si>
  <x:si>
    <x:t xml:space="preserve">필수 입력</x:t>
  </x:si>
  <x:si>
    <x:t xml:space="preserve">성명, 생년월일, 근무부서, 직종·직위, 고용형태, 시작일을 입력합니다.</x:t>
  </x:si>
  <x:si>
    <x:t xml:space="preserve">종료일</x:t>
  </x:si>
  <x:si>
    <x:t xml:space="preserve">재직 중이면 비워두고, 퇴직 또는 경력구간이 끝났을 때만 입력합니다.</x:t>
  </x:si>
  <x:si>
    <x:t xml:space="preserve">퇴직사유</x:t>
  </x:si>
  <x:si>
    <x:t xml:space="preserve">실제 퇴직 발령이 있을 때만 선택합니다. 직종변경·전환은 발령사항에 입력합니다.</x:t>
  </x:si>
  <x:si>
    <x:t xml:space="preserve">소정근로시간</x:t>
  </x:si>
  <x:si>
    <x:t xml:space="preserve">예: 주 40시간, 주 20시간, 1일 8시간. 필요한 경우만 입력합니다.</x:t>
  </x:si>
  <x:si>
    <x:t xml:space="preserve">발령사항</x:t>
  </x:si>
  <x:si>
    <x:t xml:space="preserve">특별한 전환·직종변경 문구만 입력합니다. 비어 있으면 자동 작성됩니다.</x:t>
  </x:si>
  <x:si>
    <x:t xml:space="preserve">발령대장 비고</x:t>
  </x:si>
  <x:si>
    <x:t xml:space="preserve">공식 발령대장에 함께 출력할 내용만 입력합니다.</x:t>
  </x:si>
  <x:si>
    <x:t xml:space="preserve">확인메모</x:t>
  </x:si>
  <x:si>
    <x:t xml:space="preserve">날짜 확인, 원본 미기재 등 내부 확인용입니다. 발령대장에는 출력되지 않습니다.</x:t>
  </x:si>
  <x:si>
    <x:t xml:space="preserve">기간(자동)</x:t>
  </x:si>
  <x:si>
    <x:t xml:space="preserve">시작일과 종료일을 기준으로 자동 계산하며 직접 입력하지 않습니다.</x:t>
  </x:si>
  <x:si>
    <x:t xml:space="preserve">오류 처리</x:t>
  </x:si>
  <x:si>
    <x:t xml:space="preserve">날짜 오류·기간 역전 자료는 발령대장 출력에서 제외하고 오류점검 시트에 표시합니다.</x:t>
  </x:si>
  <x:si>
    <x:t xml:space="preserve">색상 구분</x:t>
  </x:si>
  <x:si>
    <x:t xml:space="preserve">연한 노랑은 기본 입력, 연한 파랑은 선택 입력, 회색은 자동 계산 영역입니다.</x:t>
  </x:si>
  <x:si>
    <x:t xml:space="preserve">처리용량</x:t>
  </x:si>
  <x:si>
    <x:t xml:space="preserve">경력자료 최대 500행, 발령자료 최대 1,000건까지 자동 반영됩니다.</x:t>
  </x:si>
  <x:si>
    <x:t xml:space="preserve">출력 순서</x:t>
  </x:si>
  <x:si>
    <x:t xml:space="preserve">발령대장은 대장 시트의 행 순서대로 임용·퇴직 발령을 표시합니다.</x:t>
  </x:si>
  <x:si>
    <x:t xml:space="preserve">성명</x:t>
  </x:si>
  <x:si>
    <x:t xml:space="preserve">생년월일</x:t>
  </x:si>
  <x:si>
    <x:t xml:space="preserve">근무부서</x:t>
  </x:si>
  <x:si>
    <x:t xml:space="preserve">직종·직위</x:t>
  </x:si>
  <x:si>
    <x:t xml:space="preserve">고용형태</x:t>
  </x:si>
  <x:si>
    <x:t xml:space="preserve">시작일</x:t>
  </x:si>
  <x:si>
    <x:t xml:space="preserve">■ 교육공무원 인사기록 및 인사사무 처리 규칙 [별지 제24호서식] &lt;개정 2013.11.13&gt;</x:t>
  </x:si>
  <x:si>
    <x:t xml:space="preserve">발 령  대 장</x:t>
  </x:si>
  <x:si>
    <x:t xml:space="preserve">발 령 일</x:t>
  </x:si>
  <x:si>
    <x:t xml:space="preserve">소 속</x:t>
  </x:si>
  <x:si>
    <x:t xml:space="preserve">직위(직급)</x:t>
  </x:si>
  <x:si>
    <x:t xml:space="preserve">성 명</x:t>
  </x:si>
  <x:si>
    <x:t xml:space="preserve">발 령 사 항</x:t>
  </x:si>
  <x:si>
    <x:t xml:space="preserve">발 령 권 자</x:t>
  </x:si>
  <x:si>
    <x:t xml:space="preserve">발 령 근 거</x:t>
  </x:si>
  <x:si>
    <x:t xml:space="preserve">비 고</x:t>
  </x:si>
  <x:si>
    <x:t xml:space="preserve">발령대장 생성 전 오류점검</x:t>
  </x:si>
  <x:si>
    <x:t xml:space="preserve">대장 행</x:t>
  </x:si>
  <x:si>
    <x:t xml:space="preserve">점검 결과</x:t>
  </x:si>
  <x:si>
    <x:t xml:space="preserve">확인 내용</x:t>
  </x:si>
  <x:si>
    <x:t xml:space="preserve">정렬순번</x:t>
  </x:si>
  <x:si>
    <x:t xml:space="preserve">발령일</x:t>
  </x:si>
  <x:si>
    <x:t xml:space="preserve">소속</x:t>
  </x:si>
  <x:si>
    <x:t xml:space="preserve">발령근거</x:t>
  </x:si>
  <x:si>
    <x:t xml:space="preserve">비고</x:t>
  </x:si>
  <x:si>
    <x:t xml:space="preserve">구분</x:t>
  </x:si>
  <x:si>
    <x:t xml:space="preserve">원본행</x:t>
  </x:si>
  <x:si>
    <x:t xml:space="preserve">상태</x:t>
  </x:si>
  <x:si>
    <x:t xml:space="preserve">점검메모</x:t>
  </x:si>
  <x:si>
    <x:t xml:space="preserve">현재 발령대장 출력은 대장 시트를 직접 참조합니다.</x:t>
  </x:si>
</x:sst>
</file>

<file path=xl/styles.xml><?xml version="1.0" encoding="utf-8"?>
<x:styleSheet xmlns:x="http://schemas.openxmlformats.org/spreadsheetml/2006/main">
  <x:numFmts count="5">
    <x:numFmt numFmtId="176" formatCode="yyyy\-mm\-dd"/>
    <x:numFmt numFmtId="177" formatCode="yyyy\.m\.d\."/>
    <x:numFmt numFmtId="200" formatCode="General"/>
    <x:numFmt numFmtId="201" formatCode="@"/>
    <x:numFmt numFmtId="202" formatCode="yyyy-mm-dd"/>
  </x:numFmts>
  <x:fonts count="17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sz val="8"/>
      <x:color rgb="FF111111"/>
      <x:name val="Carlito"/>
    </x:font>
    <x:font>
      <x:b/>
      <x:sz val="20"/>
      <x:color rgb="FF0F172A"/>
      <x:name val="Carlito"/>
    </x:font>
    <x:font>
      <x:b/>
      <x:sz val="9"/>
      <x:name val="Carlito"/>
    </x:font>
    <x:font>
      <x:sz val="8"/>
      <x:name val="Carlito"/>
    </x:font>
    <x:font>
      <x:sz val="11"/>
      <x:name val="Carlito"/>
    </x:font>
    <x:font>
      <x:sz val="8"/>
      <x:name val="돋움"/>
    </x:font>
    <x:font>
      <x:sz val="11"/>
      <x:name val="맑은 고딕"/>
    </x:font>
    <x:font>
      <x:sz val="10"/>
      <x:name val="맑은 고딕"/>
    </x:font>
    <x:font>
      <x:sz val="10"/>
      <x:color rgb="FF667085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475569"/>
      </x:patternFill>
    </x:fill>
    <x:fill>
      <x:patternFill patternType="solid">
        <x:fgColor rgb="FFE2E8F0"/>
      </x:patternFill>
    </x:fill>
    <x:fill>
      <x:patternFill patternType="solid">
        <x:fgColor rgb="FFFFF7ED"/>
      </x:patternFill>
    </x:fill>
    <x:fill>
      <x:patternFill patternType="solid">
        <x:fgColor rgb="FFE6F4F1"/>
      </x:patternFill>
    </x:fill>
    <x:fill>
      <x:patternFill patternType="solid">
        <x:fgColor rgb="FF17324D"/>
      </x:patternFill>
    </x:fill>
    <x:fill>
      <x:patternFill patternType="solid">
        <x:fgColor rgb="FFFFF9E8"/>
      </x:patternFill>
    </x:fill>
    <x:fill>
      <x:patternFill patternType="solid">
        <x:fgColor rgb="FFF2F7FB"/>
      </x:patternFill>
    </x:fill>
    <x:fill>
      <x:patternFill patternType="solid">
        <x:fgColor rgb="FFF1F5F9"/>
      </x:patternFill>
    </x:fill>
  </x:fills>
  <x:borders count="33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/>
    <x:border/>
    <x:border/>
    <x:border/>
    <x:border/>
    <x:border/>
    <x:border/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12" fillId="0" borderId="0"/>
  </x:cellStyleXfs>
  <x:cellXfs count="115">
    <x:xf numFmtId="0" fontId="0" fillId="0" borderId="0" xfId="0"/>
    <x:xf numFmtId="0" fontId="4" fillId="3" borderId="1" xfId="1" applyFont="1" applyFill="1" applyBorder="1" applyAlignment="1">
      <x:alignment horizontal="center"/>
    </x:xf>
    <x:xf numFmtId="0" fontId="4" fillId="3" borderId="2" xfId="1" applyFont="1" applyFill="1" applyBorder="1" applyAlignment="1">
      <x:alignment horizontal="center"/>
    </x:xf>
    <x:xf numFmtId="0" fontId="5" fillId="5" borderId="3" xfId="1" applyFont="1" applyFill="1" applyBorder="1"/>
    <x:xf numFmtId="0" fontId="0" fillId="6" borderId="4" xfId="1" applyFont="1" applyFill="1" applyBorder="1"/>
    <x:xf numFmtId="0" fontId="5" fillId="5" borderId="5" xfId="1" applyFont="1" applyFill="1" applyBorder="1"/>
    <x:xf numFmtId="0" fontId="0" fillId="6" borderId="6" xfId="1" applyFont="1" applyFill="1" applyBorder="1"/>
    <x:xf numFmtId="0" fontId="4" fillId="3" borderId="7" xfId="1" applyFont="1" applyFill="1" applyBorder="1" applyAlignment="1">
      <x:alignment vertical="center" wrapText="1"/>
    </x:xf>
    <x:xf numFmtId="0" fontId="4" fillId="3" borderId="8" xfId="1" applyFont="1" applyFill="1" applyBorder="1" applyAlignment="1">
      <x:alignment vertical="center" wrapText="1"/>
    </x:xf>
    <x:xf numFmtId="0" fontId="5" fillId="7" borderId="9" xfId="1" applyFont="1" applyFill="1" applyBorder="1" applyAlignment="1">
      <x:alignment vertical="center" wrapText="1"/>
    </x:xf>
    <x:xf numFmtId="0" fontId="0" fillId="0" borderId="10" xfId="1" applyFont="1" applyBorder="1" applyAlignment="1">
      <x:alignment vertical="center" wrapText="1"/>
    </x:xf>
    <x:xf numFmtId="0" fontId="5" fillId="7" borderId="11" xfId="1" applyFont="1" applyFill="1" applyBorder="1" applyAlignment="1">
      <x:alignment vertical="center" wrapText="1"/>
    </x:xf>
    <x:xf numFmtId="0" fontId="0" fillId="0" borderId="12" xfId="1" applyFont="1" applyBorder="1" applyAlignment="1">
      <x:alignment vertical="center" wrapText="1"/>
    </x:xf>
    <x:xf numFmtId="176" fontId="0" fillId="0" borderId="0" xfId="1" applyNumberFormat="1" applyFont="1"/>
    <x:xf numFmtId="0" fontId="4" fillId="3" borderId="13" xfId="1" applyFont="1" applyFill="1" applyBorder="1" applyAlignment="1">
      <x:alignment horizontal="center" vertical="center" wrapText="1"/>
    </x:xf>
    <x:xf numFmtId="0" fontId="4" fillId="3" borderId="14" xfId="1" applyFont="1" applyFill="1" applyBorder="1" applyAlignment="1">
      <x:alignment horizontal="center" vertical="center" wrapText="1"/>
    </x:xf>
    <x:xf numFmtId="0" fontId="4" fillId="3" borderId="15" xfId="1" applyFont="1" applyFill="1" applyBorder="1" applyAlignment="1">
      <x:alignment horizontal="center" vertical="center" wrapText="1"/>
    </x:xf>
    <x:xf numFmtId="0" fontId="0" fillId="0" borderId="16" xfId="1" applyFont="1" applyBorder="1" applyAlignment="1">
      <x:alignment vertical="center" wrapText="1"/>
    </x:xf>
    <x:xf numFmtId="0" fontId="0" fillId="0" borderId="0" xfId="1" applyFont="1" applyAlignment="1">
      <x:alignment vertical="center" wrapText="1"/>
    </x:xf>
    <x:xf numFmtId="0" fontId="0" fillId="0" borderId="17" xfId="1" applyFont="1" applyBorder="1" applyAlignment="1">
      <x:alignment vertical="center" wrapText="1"/>
    </x:xf>
    <x:xf numFmtId="0" fontId="0" fillId="0" borderId="18" xfId="1" applyFont="1" applyBorder="1" applyAlignment="1">
      <x:alignment vertical="center" wrapText="1"/>
    </x:xf>
    <x:xf numFmtId="0" fontId="0" fillId="0" borderId="19" xfId="1" applyFont="1" applyBorder="1" applyAlignment="1">
      <x:alignment vertical="center" wrapText="1"/>
    </x:xf>
    <x:xf numFmtId="0" fontId="0" fillId="0" borderId="20" xfId="1" applyFont="1" applyBorder="1" applyAlignment="1">
      <x:alignment vertical="center" wrapText="1"/>
    </x:xf>
    <x:xf numFmtId="0" fontId="7" fillId="4" borderId="0" xfId="1" applyFont="1" applyFill="1" applyAlignment="1">
      <x:alignment horizontal="center" vertical="center" wrapText="1"/>
    </x:xf>
    <x:xf numFmtId="0" fontId="14" fillId="6" borderId="4" xfId="1" applyFont="1" applyFill="1" applyBorder="1"/>
    <x:xf numFmtId="0" fontId="10" fillId="0" borderId="21" xfId="1" applyFont="1" applyBorder="1" applyAlignment="1">
      <x:alignment horizontal="center" vertical="center" wrapText="1"/>
    </x:xf>
    <x:xf numFmtId="177" fontId="11" fillId="0" borderId="21" xfId="1" applyNumberFormat="1" applyFont="1" applyBorder="1" applyAlignment="1">
      <x:alignment horizontal="center" vertical="center" wrapText="1"/>
    </x:xf>
    <x:xf numFmtId="0" fontId="11" fillId="0" borderId="21" xfId="1" applyFont="1" applyBorder="1" applyAlignment="1">
      <x:alignment horizontal="center" vertical="center" wrapText="1"/>
    </x:xf>
    <x:xf numFmtId="0" fontId="1" fillId="8" borderId="22" xfId="0" applyFont="1" applyFill="1" applyBorder="1" applyAlignment="1">
      <x:alignment horizontal="center" vertical="center" wrapText="1"/>
    </x:xf>
    <x:xf numFmtId="0" fontId="1" fillId="8" borderId="23" xfId="0" applyFont="1" applyFill="1" applyBorder="1" applyAlignment="1">
      <x:alignment horizontal="center" vertical="center" wrapText="1"/>
    </x:xf>
    <x:xf numFmtId="0" fontId="1" fillId="8" borderId="24" xfId="0" applyFont="1" applyFill="1" applyBorder="1" applyAlignment="1">
      <x:alignment horizontal="center" vertical="center" wrapText="1"/>
    </x:xf>
    <x:xf numFmtId="0" fontId="2" fillId="9" borderId="25" xfId="0" applyFont="1" applyFill="1" applyBorder="1" applyAlignment="1">
      <x:alignment horizontal="center" vertical="center" wrapText="1"/>
    </x:xf>
    <x:xf numFmtId="176" fontId="2" fillId="9" borderId="26" xfId="0" applyNumberFormat="1" applyFont="1" applyFill="1" applyBorder="1" applyAlignment="1">
      <x:alignment horizontal="center" vertical="center" wrapText="1"/>
    </x:xf>
    <x:xf numFmtId="0" fontId="2" fillId="9" borderId="26" xfId="0" applyFont="1" applyFill="1" applyBorder="1" applyAlignment="1">
      <x:alignment horizontal="center" vertical="center" wrapText="1"/>
    </x:xf>
    <x:xf numFmtId="0" fontId="2" fillId="10" borderId="26" xfId="0" applyFont="1" applyFill="1" applyBorder="1" applyAlignment="1">
      <x:alignment horizontal="center" vertical="center" wrapText="1"/>
    </x:xf>
    <x:xf numFmtId="0" fontId="2" fillId="10" borderId="26" xfId="0" applyFont="1" applyFill="1" applyBorder="1" applyAlignment="1">
      <x:alignment vertical="center" wrapText="1"/>
    </x:xf>
    <x:xf numFmtId="0" fontId="2" fillId="11" borderId="27" xfId="0" applyFont="1" applyFill="1" applyBorder="1" applyAlignment="1">
      <x:alignment horizontal="center" vertical="center" wrapText="1"/>
    </x:xf>
    <x:xf numFmtId="0" fontId="15" fillId="9" borderId="26" xfId="0" applyFont="1" applyFill="1" applyBorder="1" applyAlignment="1">
      <x:alignment horizontal="center" vertical="center" wrapText="1"/>
    </x:xf>
    <x:xf numFmtId="0" fontId="15" fillId="10" borderId="26" xfId="0" applyFont="1" applyFill="1" applyBorder="1" applyAlignment="1">
      <x:alignment vertical="center" wrapText="1"/>
    </x:xf>
    <x:xf numFmtId="0" fontId="2" fillId="9" borderId="28" xfId="0" applyFont="1" applyFill="1" applyBorder="1" applyAlignment="1">
      <x:alignment horizontal="center" vertical="center" wrapText="1"/>
    </x:xf>
    <x:xf numFmtId="0" fontId="2" fillId="9" borderId="29" xfId="0" applyFont="1" applyFill="1" applyBorder="1" applyAlignment="1">
      <x:alignment horizontal="center" vertical="center" wrapText="1"/>
    </x:xf>
    <x:xf numFmtId="0" fontId="2" fillId="10" borderId="29" xfId="0" applyFont="1" applyFill="1" applyBorder="1" applyAlignment="1">
      <x:alignment horizontal="center" vertical="center" wrapText="1"/>
    </x:xf>
    <x:xf numFmtId="0" fontId="2" fillId="10" borderId="29" xfId="0" applyFont="1" applyFill="1" applyBorder="1" applyAlignment="1">
      <x:alignment vertical="center" wrapText="1"/>
    </x:xf>
    <x:xf numFmtId="0" fontId="2" fillId="11" borderId="30" xfId="0" applyFont="1" applyFill="1" applyBorder="1" applyAlignment="1">
      <x:alignment horizontal="center" vertical="center" wrapText="1"/>
    </x:xf>
    <x:xf numFmtId="176" fontId="2" fillId="9" borderId="29" xfId="0" applyNumberFormat="1" applyFont="1" applyFill="1" applyBorder="1" applyAlignment="1">
      <x:alignment horizontal="center" vertical="center" wrapText="1"/>
    </x:xf>
    <x:xf numFmtId="176" fontId="0" fillId="0" borderId="0" xfId="0" applyNumberFormat="1" applyAlignment="1">
      <x:alignment vertical="center" wrapText="1"/>
    </x:xf>
    <x:xf numFmtId="176" fontId="0" fillId="0" borderId="0" xfId="0" applyNumberFormat="1"/>
    <x:xf numFmtId="177" fontId="11" fillId="0" borderId="21" xfId="0" applyNumberFormat="1" applyFont="1" applyBorder="1" applyAlignment="1">
      <x:alignment horizontal="center" vertical="center" wrapText="1"/>
    </x:xf>
    <x:xf numFmtId="0" fontId="3" fillId="2" borderId="0" xfId="1" applyFont="1" applyFill="1" applyAlignment="1">
      <x:alignment horizontal="center" vertical="center"/>
    </x:xf>
    <x:xf numFmtId="0" fontId="8" fillId="0" borderId="0" xfId="1" applyFont="1" applyAlignment="1">
      <x:alignment horizontal="left" vertical="center"/>
    </x:xf>
    <x:xf numFmtId="0" fontId="9" fillId="0" borderId="0" xfId="1" applyFont="1" applyAlignment="1">
      <x:alignment horizontal="center" vertical="center"/>
    </x:xf>
    <x:xf numFmtId="0" fontId="6" fillId="2" borderId="0" xfId="1" applyFont="1" applyFill="1" applyAlignment="1">
      <x:alignment horizontal="center" vertical="center"/>
    </x:xf>
    <x:xf numFmtId="0" fontId="0" fillId="0" borderId="31" xfId="0" applyNumberFormat="1" applyFont="1" applyFill="1" applyBorder="1"/>
    <x:xf numFmtId="0" fontId="4" fillId="3" borderId="31" xfId="0" applyNumberFormat="1" applyFont="1" applyFill="1" applyBorder="1" applyAlignment="1">
      <x:alignment horizontal="center"/>
    </x:xf>
    <x:xf numFmtId="0" fontId="5" fillId="5" borderId="31" xfId="0" applyNumberFormat="1" applyFont="1" applyFill="1" applyBorder="1"/>
    <x:xf numFmtId="0" fontId="0" fillId="6" borderId="31" xfId="0" applyNumberFormat="1" applyFont="1" applyFill="1" applyBorder="1"/>
    <x:xf numFmtId="0" fontId="4" fillId="3" borderId="31" xfId="0" applyNumberFormat="1" applyFont="1" applyFill="1" applyBorder="1" applyAlignment="1">
      <x:alignment vertical="center" wrapText="1"/>
    </x:xf>
    <x:xf numFmtId="0" fontId="5" fillId="7" borderId="31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176" fontId="0" fillId="0" borderId="31" xfId="0" applyNumberFormat="1" applyFont="1" applyFill="1" applyBorder="1"/>
    <x:xf numFmtId="0" fontId="4" fillId="3" borderId="31" xfId="0" applyNumberFormat="1" applyFont="1" applyFill="1" applyBorder="1" applyAlignment="1">
      <x:alignment horizontal="center" vertical="center" wrapText="1"/>
    </x:xf>
    <x:xf numFmtId="0" fontId="7" fillId="4" borderId="31" xfId="0" applyNumberFormat="1" applyFont="1" applyFill="1" applyBorder="1" applyAlignment="1">
      <x:alignment horizontal="center" vertical="center" wrapText="1"/>
    </x:xf>
    <x:xf numFmtId="0" fontId="14" fillId="6" borderId="31" xfId="0" applyNumberFormat="1" applyFont="1" applyFill="1" applyBorder="1"/>
    <x:xf numFmtId="0" fontId="10" fillId="0" borderId="32" xfId="0" applyNumberFormat="1" applyFont="1" applyFill="1" applyBorder="1" applyAlignment="1">
      <x:alignment horizontal="center" vertical="center" wrapText="1"/>
    </x:xf>
    <x:xf numFmtId="177" fontId="11" fillId="0" borderId="32" xfId="0" applyNumberFormat="1" applyFont="1" applyFill="1" applyBorder="1" applyAlignment="1">
      <x:alignment horizontal="center" vertical="center" wrapText="1"/>
    </x:xf>
    <x:xf numFmtId="0" fontId="11" fillId="0" borderId="32" xfId="0" applyNumberFormat="1" applyFont="1" applyFill="1" applyBorder="1" applyAlignment="1">
      <x:alignment horizontal="center" vertical="center" wrapText="1"/>
    </x:xf>
    <x:xf numFmtId="0" fontId="1" fillId="2" borderId="31" xfId="0" applyNumberFormat="1" applyFont="1" applyFill="1" applyBorder="1" applyAlignment="1">
      <x:alignment horizontal="center" vertical="center" wrapText="1"/>
    </x:xf>
    <x:xf numFmtId="0" fontId="2" fillId="9" borderId="31" xfId="0" applyNumberFormat="1" applyFont="1" applyFill="1" applyBorder="1" applyAlignment="1">
      <x:alignment horizontal="center" vertical="center" wrapText="1"/>
    </x:xf>
    <x:xf numFmtId="176" fontId="2" fillId="9" borderId="31" xfId="0" applyNumberFormat="1" applyFont="1" applyFill="1" applyBorder="1" applyAlignment="1">
      <x:alignment horizontal="center" vertical="center" wrapText="1"/>
    </x:xf>
    <x:xf numFmtId="0" fontId="2" fillId="10" borderId="31" xfId="0" applyNumberFormat="1" applyFont="1" applyFill="1" applyBorder="1" applyAlignment="1">
      <x:alignment horizontal="center" vertical="center" wrapText="1"/>
    </x:xf>
    <x:xf numFmtId="0" fontId="2" fillId="10" borderId="31" xfId="0" applyNumberFormat="1" applyFont="1" applyFill="1" applyBorder="1" applyAlignment="1">
      <x:alignment vertical="center" wrapText="1"/>
    </x:xf>
    <x:xf numFmtId="0" fontId="2" fillId="11" borderId="31" xfId="0" applyNumberFormat="1" applyFont="1" applyFill="1" applyBorder="1" applyAlignment="1">
      <x:alignment horizontal="center" vertical="center" wrapText="1"/>
    </x:xf>
    <x:xf numFmtId="0" fontId="15" fillId="9" borderId="31" xfId="0" applyNumberFormat="1" applyFont="1" applyFill="1" applyBorder="1" applyAlignment="1">
      <x:alignment horizontal="center" vertical="center" wrapText="1"/>
    </x:xf>
    <x:xf numFmtId="0" fontId="15" fillId="10" borderId="31" xfId="0" applyNumberFormat="1" applyFont="1" applyFill="1" applyBorder="1" applyAlignment="1">
      <x:alignment vertical="center" wrapText="1"/>
    </x:xf>
    <x:xf numFmtId="176" fontId="0" fillId="0" borderId="31" xfId="0" applyNumberFormat="1" applyFont="1" applyFill="1" applyBorder="1" applyAlignment="1">
      <x:alignment vertical="center" wrapText="1"/>
    </x:xf>
    <x:xf numFmtId="0" fontId="3" fillId="2" borderId="31" xfId="0" applyNumberFormat="1" applyFont="1" applyFill="1" applyBorder="1" applyAlignment="1">
      <x:alignment horizontal="center" vertical="center"/>
    </x:xf>
    <x:xf numFmtId="0" fontId="8" fillId="0" borderId="31" xfId="0" applyNumberFormat="1" applyFont="1" applyFill="1" applyBorder="1" applyAlignment="1">
      <x:alignment horizontal="left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6" fillId="2" borderId="31" xfId="0" applyNumberFormat="1" applyFont="1" applyFill="1" applyBorder="1" applyAlignment="1">
      <x:alignment horizontal="center" vertical="center"/>
    </x:xf>
    <x:xf numFmtId="200" fontId="2" fillId="9" borderId="0" xfId="0" applyNumberFormat="1" applyFont="1" applyFill="1" applyBorder="1" applyAlignment="1">
      <x:alignment horizontal="center" vertical="center" wrapText="1"/>
    </x:xf>
    <x:xf numFmtId="200" fontId="2" fillId="9" borderId="3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176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/>
    <x:xf numFmtId="0" fontId="10" fillId="0" borderId="21" xfId="0" applyNumberFormat="1" applyFont="1" applyFill="1" applyBorder="1" applyAlignment="1">
      <x:alignment horizontal="center" vertical="center" wrapText="1"/>
    </x:xf>
    <x:xf numFmtId="177" fontId="11" fillId="0" borderId="21" xfId="0" applyNumberFormat="1" applyFont="1" applyFill="1" applyBorder="1" applyAlignment="1">
      <x:alignment horizontal="center" vertical="center" wrapText="1"/>
    </x:xf>
    <x:xf numFmtId="0" fontId="11" fillId="0" borderId="2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176" fontId="2" fillId="9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 applyAlignment="1">
      <x:alignment vertical="center" wrapText="1"/>
    </x:xf>
    <x:xf numFmtId="176" fontId="0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/>
    </x:xf>
    <x:xf numFmtId="201" fontId="2" fillId="9" borderId="0" xfId="0" applyNumberFormat="1" applyFont="1" applyFill="1" applyBorder="1" applyAlignment="1">
      <x:alignment horizontal="center" vertical="center" wrapText="1"/>
    </x:xf>
    <x:xf numFmtId="202" fontId="2" fillId="9" borderId="0" xfId="0" applyNumberFormat="1" applyFont="1" applyFill="1" applyBorder="1" applyAlignment="1">
      <x:alignment horizontal="center" vertical="center" wrapText="1"/>
    </x:xf>
    <x:xf numFmtId="0" fontId="16" fillId="9" borderId="0" xfId="0" applyNumberFormat="1" applyFont="1" applyFill="1" applyBorder="1" applyAlignment="1">
      <x:alignment horizontal="center" vertical="center" wrapText="1"/>
    </x:xf>
    <x:xf numFmtId="201" fontId="16" fillId="9" borderId="0" xfId="0" applyNumberFormat="1" applyFont="1" applyFill="1" applyBorder="1" applyAlignment="1">
      <x:alignment horizontal="center" vertical="center" wrapText="1"/>
    </x:xf>
    <x:xf numFmtId="202" fontId="16" fillId="9" borderId="0" xfId="0" applyNumberFormat="1" applyFont="1" applyFill="1" applyBorder="1" applyAlignment="1">
      <x:alignment horizontal="center" vertical="center" wrapText="1"/>
    </x:xf>
    <x:xf numFmtId="0" fontId="16" fillId="10" borderId="0" xfId="0" applyNumberFormat="1" applyFont="1" applyFill="1" applyBorder="1" applyAlignment="1">
      <x:alignment horizontal="center" vertical="center" wrapText="1"/>
    </x:xf>
    <x:xf numFmtId="0" fontId="16" fillId="10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8">
    <x:dxf>
      <x:font>
        <x:color rgb="FF166534"/>
      </x:font>
      <x:fill>
        <x:patternFill>
          <x:bgColor rgb="FFDCFCE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a84ed0bb446d7" /><Relationship Type="http://schemas.openxmlformats.org/officeDocument/2006/relationships/theme" Target="/xl/theme/theme1.xml" Id="R525261b331a845ad" /><Relationship Type="http://schemas.openxmlformats.org/officeDocument/2006/relationships/sharedStrings" Target="/xl/sharedStrings.xml" Id="R7176823030394107" /><Relationship Type="http://schemas.openxmlformats.org/officeDocument/2006/relationships/worksheet" Target="/xl/worksheets/sheet1.xml" Id="R4b1c4e4a1dbb46d8" /><Relationship Type="http://schemas.openxmlformats.org/officeDocument/2006/relationships/worksheet" Target="/xl/worksheets/sheet2.xml" Id="Rd27a851b283a4a53" /><Relationship Type="http://schemas.openxmlformats.org/officeDocument/2006/relationships/worksheet" Target="/xl/worksheets/sheet3.xml" Id="Rb8a2388f8af24193" /><Relationship Type="http://schemas.openxmlformats.org/officeDocument/2006/relationships/worksheet" Target="/xl/worksheets/sheet4.xml" Id="R7559e3a9e39b4f13" /><Relationship Type="http://schemas.openxmlformats.org/officeDocument/2006/relationships/worksheet" Target="/xl/worksheets/sheet5.xml" Id="R1c768147a6d44c43" /></Relationships>
</file>

<file path=xl/tables/table1.xml><?xml version="1.0" encoding="utf-8"?>
<x:table xmlns:x="http://schemas.openxmlformats.org/spreadsheetml/2006/main" id="1" name="WorkerCareerTemplate" displayName="WorkerCareerTemplate" ref="A1:M501">
  <x:tableColumns count="13">
    <x:tableColumn id="1" name="성명"/>
    <x:tableColumn id="2" name="생년월일"/>
    <x:tableColumn id="3" name="근무부서"/>
    <x:tableColumn id="4" name="직종·직위"/>
    <x:tableColumn id="5" name="고용형태"/>
    <x:tableColumn id="6" name="시작일"/>
    <x:tableColumn id="7" name="종료일"/>
    <x:tableColumn id="8" name="퇴직사유"/>
    <x:tableColumn id="9" name="소정근로시간"/>
    <x:tableColumn id="10" name="발령사항"/>
    <x:tableColumn id="11" name="발령대장 비고"/>
    <x:tableColumn id="12" name="확인메모"/>
    <x:tableColumn id="13" name="기간(자동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d18784605447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0" customWidth="1"/>
    <x:col min="2" max="2" width="70" customWidth="1"/>
  </x:cols>
  <x:sheetData>
    <x:row r="1" ht="32" customHeight="1">
      <x:c r="A1" s="48" t="s">
        <x:v>0</x:v>
      </x:c>
      <x:c r="B1" s="48"/>
    </x:row>
    <x:row r="3">
      <x:c r="A3" s="1" t="s">
        <x:v>1</x:v>
      </x:c>
      <x:c r="B3" s="2" t="s">
        <x:v>2</x:v>
      </x:c>
    </x:row>
    <x:row r="4" ht="17">
      <x:c r="A4" s="3" t="s">
        <x:v>3</x:v>
      </x:c>
      <x:c r="B4" s="24" t="s">
        <x:v>4</x:v>
      </x:c>
    </x:row>
    <x:row r="5">
      <x:c r="A5" s="3" t="s">
        <x:v>5</x:v>
      </x:c>
      <x:c r="B5" s="4" t="s">
        <x:v>6</x:v>
      </x:c>
    </x:row>
    <x:row r="6">
      <x:c r="A6" s="3" t="s">
        <x:v>7</x:v>
      </x:c>
      <x:c r="B6" s="4" t="s">
        <x:v>8</x:v>
      </x:c>
    </x:row>
    <x:row r="7">
      <x:c r="A7" s="3" t="s">
        <x:v>9</x:v>
      </x:c>
      <x:c r="B7" s="4"/>
    </x:row>
    <x:row r="8">
      <x:c r="A8" s="5" t="s">
        <x:v>10</x:v>
      </x:c>
      <x:c r="B8" s="6"/>
    </x:row>
    <x:row r="10">
      <x:c r="A10" s="7" t="s">
        <x:v>11</x:v>
      </x:c>
      <x:c r="B10" s="8" t="s">
        <x:v>12</x:v>
      </x:c>
    </x:row>
    <x:row r="11" ht="34" customHeight="1">
      <x:c r="A11" s="9" t="s">
        <x:v>13</x:v>
      </x:c>
      <x:c r="B11" s="10" t="s">
        <x:v>14</x:v>
      </x:c>
    </x:row>
    <x:row r="12" ht="34" customHeight="1">
      <x:c r="A12" s="9" t="s">
        <x:v>15</x:v>
      </x:c>
      <x:c r="B12" s="10" t="s">
        <x:v>16</x:v>
      </x:c>
    </x:row>
    <x:row r="13" ht="34" customHeight="1">
      <x:c r="A13" s="9" t="s">
        <x:v>17</x:v>
      </x:c>
      <x:c r="B13" s="10" t="s">
        <x:v>18</x:v>
      </x:c>
    </x:row>
    <x:row r="14" ht="34" customHeight="1">
      <x:c r="A14" s="9" t="s">
        <x:v>19</x:v>
      </x:c>
      <x:c r="B14" s="10" t="s">
        <x:v>20</x:v>
      </x:c>
    </x:row>
    <x:row r="15" ht="34" customHeight="1">
      <x:c r="A15" s="9" t="s">
        <x:v>21</x:v>
      </x:c>
      <x:c r="B15" s="10" t="s">
        <x:v>22</x:v>
      </x:c>
    </x:row>
    <x:row r="16" ht="34" customHeight="1">
      <x:c r="A16" s="9" t="s">
        <x:v>23</x:v>
      </x:c>
      <x:c r="B16" s="10" t="s">
        <x:v>24</x:v>
      </x:c>
    </x:row>
    <x:row r="17" ht="34" customHeight="1">
      <x:c r="A17" s="9" t="s">
        <x:v>25</x:v>
      </x:c>
      <x:c r="B17" s="10" t="s">
        <x:v>26</x:v>
      </x:c>
    </x:row>
    <x:row r="18" ht="34" customHeight="1">
      <x:c r="A18" s="9" t="s">
        <x:v>27</x:v>
      </x:c>
      <x:c r="B18" s="10" t="s">
        <x:v>28</x:v>
      </x:c>
    </x:row>
    <x:row r="19" ht="34" customHeight="1">
      <x:c r="A19" s="9" t="s">
        <x:v>29</x:v>
      </x:c>
      <x:c r="B19" s="10" t="s">
        <x:v>30</x:v>
      </x:c>
    </x:row>
    <x:row r="20" ht="34" customHeight="1">
      <x:c r="A20" s="9" t="s">
        <x:v>31</x:v>
      </x:c>
      <x:c r="B20" s="10" t="s">
        <x:v>32</x:v>
      </x:c>
    </x:row>
    <x:row r="21" ht="34" customHeight="1">
      <x:c r="A21" s="11" t="s">
        <x:v>33</x:v>
      </x:c>
      <x:c r="B21" s="12" t="s">
        <x:v>34</x:v>
      </x:c>
    </x:row>
    <x:row r="22" ht="34" customHeight="1">
      <x:c r="A22" s="11" t="s">
        <x:v>35</x:v>
      </x:c>
      <x:c r="B22" s="12" t="s">
        <x:v>36</x:v>
      </x:c>
    </x:row>
    <x:row r="23" ht="34" customHeight="1">
      <x:c r="A23" s="11" t="s">
        <x:v>37</x:v>
      </x:c>
      <x:c r="B23" s="12" t="s">
        <x:v>38</x:v>
      </x:c>
    </x:row>
    <x:row r="24">
      <x:c r="A24" t="str">
        <x:v>날짜 입력</x:v>
      </x:c>
      <x:c r="B24" t="str">
        <x:v>기본양식에는 시작일·종료일을 2012-03-01 형식으로 입력해 주세요. 웹앱은 20120301 형식도 인식합니다.</x:v>
      </x:c>
    </x:row>
    <x:row r="25">
      <x:c r="A25" t="str">
        <x:v>생년월일 입력</x:v>
      </x:c>
      <x:c r="B25" t="str">
        <x:v>19900101 또는 900101처럼 입력할 수 있습니다. 주민등록번호 전체 입력도 지원합니다.</x:v>
      </x:c>
    </x:row>
    <x:row r="26">
      <x:c r="A26" t="str">
        <x:v>후속 퇴직·면직 발령</x:v>
      </x:c>
      <x:c r="B26" t="str">
        <x:v>같은 대상자의 의원면직·퇴직·계약해지 발령이 별도 행이면 웹앱이 기존 경력과 연결할 수 있는지 확인합니다.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4" customWidth="1"/>
    <x:col min="3" max="3" width="13" customWidth="1"/>
    <x:col min="4" max="4" width="20" customWidth="1"/>
    <x:col min="5" max="5" width="14" customWidth="1"/>
    <x:col min="6" max="7" width="13" customWidth="1"/>
    <x:col min="8" max="8" width="16" customWidth="1"/>
    <x:col min="9" max="9" width="18" customWidth="1"/>
    <x:col min="10" max="10" width="34" customWidth="1"/>
    <x:col min="11" max="11" width="28" customWidth="1"/>
    <x:col min="12" max="12" width="34" customWidth="1"/>
    <x:col min="13" max="13" width="13" customWidth="1"/>
  </x:cols>
  <x:sheetData>
    <x:row r="1" ht="38" customHeight="1">
      <x:c r="A1" s="28" t="s">
        <x:v>39</x:v>
      </x:c>
      <x:c r="B1" s="29" t="s">
        <x:v>40</x:v>
      </x:c>
      <x:c r="C1" s="29" t="s">
        <x:v>41</x:v>
      </x:c>
      <x:c r="D1" s="29" t="s">
        <x:v>42</x:v>
      </x:c>
      <x:c r="E1" s="29" t="s">
        <x:v>43</x:v>
      </x:c>
      <x:c r="F1" s="29" t="s">
        <x:v>44</x:v>
      </x:c>
      <x:c r="G1" s="29" t="s">
        <x:v>17</x:v>
      </x:c>
      <x:c r="H1" s="29" t="s">
        <x:v>19</x:v>
      </x:c>
      <x:c r="I1" s="29" t="s">
        <x:v>21</x:v>
      </x:c>
      <x:c r="J1" s="29" t="s">
        <x:v>23</x:v>
      </x:c>
      <x:c r="K1" s="29" t="s">
        <x:v>25</x:v>
      </x:c>
      <x:c r="L1" s="29" t="s">
        <x:v>27</x:v>
      </x:c>
      <x:c r="M1" s="30" t="s">
        <x:v>29</x:v>
      </x:c>
    </x:row>
    <x:row r="2" ht="25" customHeight="1">
      <x:c r="A2" s="110" t="str">
        <x:v>예) 홍길동</x:v>
      </x:c>
      <x:c r="B2" s="111" t="str">
        <x:v>19900101</x:v>
      </x:c>
      <x:c r="C2" s="110" t="str">
        <x:v>행정실</x:v>
      </x:c>
      <x:c r="D2" s="110" t="str">
        <x:v>행정실무사</x:v>
      </x:c>
      <x:c r="E2" s="110" t="str">
        <x:v>교육공무직</x:v>
      </x:c>
      <x:c r="F2" s="112" t="n">
        <x:v>40969</x:v>
      </x:c>
      <x:c r="G2" s="112" t="n">
        <x:v>41333</x:v>
      </x:c>
      <x:c r="H2" s="110" t="str">
        <x:v>계약기간 만료</x:v>
      </x:c>
      <x:c r="I2" s="113" t="str">
        <x:v>주 40시간</x:v>
      </x:c>
      <x:c r="J2" s="114" t="str"/>
      <x:c r="K2" s="114" t="str"/>
      <x:c r="L2" s="114" t="str"/>
      <x:c r="M2" s="36" t="str">
        <x:f t="shared" ref="M2:M65" si="0">IF(A2="","",IF(NOT(ISNUMBER(F2)),"확인 필요",IF(G2="","재직 중",IF(NOT(ISNUMBER(G2)),"확인 필요",IF(G2&lt;F2,"확인 필요",(G2-F2+1)&amp;"일")))))</x:f>
        <x:v>365일</x:v>
      </x:c>
    </x:row>
    <x:row r="3" ht="25" customHeight="1">
      <x:c r="A3" s="31"/>
      <x:c r="B3" s="108"/>
      <x:c r="C3" s="33"/>
      <x:c r="D3" s="33"/>
      <x:c r="E3" s="33"/>
      <x:c r="F3" s="79"/>
      <x:c r="G3" s="79"/>
      <x:c r="H3" s="33"/>
      <x:c r="I3" s="34"/>
      <x:c r="J3" s="35"/>
      <x:c r="K3" s="35"/>
      <x:c r="L3" s="35"/>
      <x:c r="M3" s="36" t="str">
        <x:f t="shared" si="0"/>
      </x:c>
    </x:row>
    <x:row r="4" ht="25" customHeight="1">
      <x:c r="A4" s="31"/>
      <x:c r="B4" s="108"/>
      <x:c r="C4" s="33"/>
      <x:c r="D4" s="33"/>
      <x:c r="E4" s="33"/>
      <x:c r="F4" s="79"/>
      <x:c r="G4" s="79"/>
      <x:c r="H4" s="33"/>
      <x:c r="I4" s="34"/>
      <x:c r="J4" s="35"/>
      <x:c r="K4" s="35"/>
      <x:c r="L4" s="35"/>
      <x:c r="M4" s="36" t="str">
        <x:f t="shared" si="0"/>
      </x:c>
    </x:row>
    <x:row r="5" ht="25" customHeight="1">
      <x:c r="A5" s="31"/>
      <x:c r="B5" s="108"/>
      <x:c r="C5" s="33"/>
      <x:c r="D5" s="33"/>
      <x:c r="E5" s="33"/>
      <x:c r="F5" s="79"/>
      <x:c r="G5" s="79"/>
      <x:c r="H5" s="33"/>
      <x:c r="I5" s="34"/>
      <x:c r="J5" s="35"/>
      <x:c r="K5" s="35"/>
      <x:c r="L5" s="35"/>
      <x:c r="M5" s="36" t="str">
        <x:f t="shared" si="0"/>
      </x:c>
    </x:row>
    <x:row r="6" ht="25" customHeight="1">
      <x:c r="A6" s="31"/>
      <x:c r="B6" s="108"/>
      <x:c r="C6" s="33"/>
      <x:c r="D6" s="33"/>
      <x:c r="E6" s="33"/>
      <x:c r="F6" s="79"/>
      <x:c r="G6" s="79"/>
      <x:c r="H6" s="33"/>
      <x:c r="I6" s="34"/>
      <x:c r="J6" s="35"/>
      <x:c r="K6" s="35"/>
      <x:c r="L6" s="35"/>
      <x:c r="M6" s="36" t="str">
        <x:f t="shared" si="0"/>
      </x:c>
    </x:row>
    <x:row r="7" ht="25" customHeight="1">
      <x:c r="A7" s="31"/>
      <x:c r="B7" s="108"/>
      <x:c r="C7" s="33"/>
      <x:c r="D7" s="33"/>
      <x:c r="E7" s="33"/>
      <x:c r="F7" s="79"/>
      <x:c r="G7" s="79"/>
      <x:c r="H7" s="33"/>
      <x:c r="I7" s="34"/>
      <x:c r="J7" s="35"/>
      <x:c r="K7" s="35"/>
      <x:c r="L7" s="35"/>
      <x:c r="M7" s="36" t="str">
        <x:f t="shared" si="0"/>
      </x:c>
    </x:row>
    <x:row r="8" ht="25" customHeight="1">
      <x:c r="A8" s="31"/>
      <x:c r="B8" s="108"/>
      <x:c r="C8" s="33"/>
      <x:c r="D8" s="33"/>
      <x:c r="E8" s="33"/>
      <x:c r="F8" s="79"/>
      <x:c r="G8" s="79"/>
      <x:c r="H8" s="33"/>
      <x:c r="I8" s="34"/>
      <x:c r="J8" s="35"/>
      <x:c r="K8" s="35"/>
      <x:c r="L8" s="35"/>
      <x:c r="M8" s="36" t="str">
        <x:f t="shared" si="0"/>
      </x:c>
    </x:row>
    <x:row r="9" ht="25" customHeight="1">
      <x:c r="A9" s="31"/>
      <x:c r="B9" s="108"/>
      <x:c r="C9" s="33"/>
      <x:c r="D9" s="33"/>
      <x:c r="E9" s="33"/>
      <x:c r="F9" s="79"/>
      <x:c r="G9" s="79"/>
      <x:c r="H9" s="33"/>
      <x:c r="I9" s="34"/>
      <x:c r="J9" s="35"/>
      <x:c r="K9" s="35"/>
      <x:c r="L9" s="35"/>
      <x:c r="M9" s="36" t="str">
        <x:f t="shared" si="0"/>
      </x:c>
    </x:row>
    <x:row r="10" ht="25" customHeight="1">
      <x:c r="A10" s="31"/>
      <x:c r="B10" s="108"/>
      <x:c r="C10" s="33"/>
      <x:c r="D10" s="33"/>
      <x:c r="E10" s="33"/>
      <x:c r="F10" s="79"/>
      <x:c r="G10" s="79"/>
      <x:c r="H10" s="33"/>
      <x:c r="I10" s="34"/>
      <x:c r="J10" s="35"/>
      <x:c r="K10" s="35"/>
      <x:c r="L10" s="35"/>
      <x:c r="M10" s="36" t="str">
        <x:f t="shared" si="0"/>
      </x:c>
    </x:row>
    <x:row r="11" ht="25" customHeight="1">
      <x:c r="A11" s="31"/>
      <x:c r="B11" s="108"/>
      <x:c r="C11" s="33"/>
      <x:c r="D11" s="33"/>
      <x:c r="E11" s="33"/>
      <x:c r="F11" s="79"/>
      <x:c r="G11" s="79"/>
      <x:c r="H11" s="33"/>
      <x:c r="I11" s="34"/>
      <x:c r="J11" s="35"/>
      <x:c r="K11" s="35"/>
      <x:c r="L11" s="35"/>
      <x:c r="M11" s="36" t="str">
        <x:f t="shared" si="0"/>
      </x:c>
    </x:row>
    <x:row r="12" ht="25" customHeight="1">
      <x:c r="A12" s="31"/>
      <x:c r="B12" s="108"/>
      <x:c r="C12" s="33"/>
      <x:c r="D12" s="33"/>
      <x:c r="E12" s="33"/>
      <x:c r="F12" s="79"/>
      <x:c r="G12" s="79"/>
      <x:c r="H12" s="33"/>
      <x:c r="I12" s="34"/>
      <x:c r="J12" s="35"/>
      <x:c r="K12" s="35"/>
      <x:c r="L12" s="35"/>
      <x:c r="M12" s="36" t="str">
        <x:f t="shared" si="0"/>
      </x:c>
    </x:row>
    <x:row r="13" ht="25" customHeight="1">
      <x:c r="A13" s="31"/>
      <x:c r="B13" s="108"/>
      <x:c r="C13" s="33"/>
      <x:c r="D13" s="33"/>
      <x:c r="E13" s="33"/>
      <x:c r="F13" s="79"/>
      <x:c r="G13" s="79"/>
      <x:c r="H13" s="33"/>
      <x:c r="I13" s="34"/>
      <x:c r="J13" s="35"/>
      <x:c r="K13" s="35"/>
      <x:c r="L13" s="35"/>
      <x:c r="M13" s="36" t="str">
        <x:f t="shared" si="0"/>
      </x:c>
    </x:row>
    <x:row r="14" ht="25" customHeight="1">
      <x:c r="A14" s="31"/>
      <x:c r="B14" s="108"/>
      <x:c r="C14" s="33"/>
      <x:c r="D14" s="33"/>
      <x:c r="E14" s="33"/>
      <x:c r="F14" s="79"/>
      <x:c r="G14" s="79"/>
      <x:c r="H14" s="33"/>
      <x:c r="I14" s="34"/>
      <x:c r="J14" s="35"/>
      <x:c r="K14" s="35"/>
      <x:c r="L14" s="35"/>
      <x:c r="M14" s="36" t="str">
        <x:f t="shared" si="0"/>
      </x:c>
    </x:row>
    <x:row r="15" ht="25" customHeight="1">
      <x:c r="A15" s="31"/>
      <x:c r="B15" s="108"/>
      <x:c r="C15" s="33"/>
      <x:c r="D15" s="33"/>
      <x:c r="E15" s="33"/>
      <x:c r="F15" s="79"/>
      <x:c r="G15" s="79"/>
      <x:c r="H15" s="33"/>
      <x:c r="I15" s="34"/>
      <x:c r="J15" s="35"/>
      <x:c r="K15" s="35"/>
      <x:c r="L15" s="35"/>
      <x:c r="M15" s="36" t="str">
        <x:f t="shared" si="0"/>
      </x:c>
    </x:row>
    <x:row r="16" ht="25" customHeight="1">
      <x:c r="A16" s="31"/>
      <x:c r="B16" s="108"/>
      <x:c r="C16" s="33"/>
      <x:c r="D16" s="33"/>
      <x:c r="E16" s="33"/>
      <x:c r="F16" s="79"/>
      <x:c r="G16" s="79"/>
      <x:c r="H16" s="33"/>
      <x:c r="I16" s="34"/>
      <x:c r="J16" s="35"/>
      <x:c r="K16" s="35"/>
      <x:c r="L16" s="35"/>
      <x:c r="M16" s="36" t="str">
        <x:f t="shared" si="0"/>
      </x:c>
    </x:row>
    <x:row r="17" ht="25" customHeight="1">
      <x:c r="A17" s="31"/>
      <x:c r="B17" s="108"/>
      <x:c r="C17" s="33"/>
      <x:c r="D17" s="33"/>
      <x:c r="E17" s="33"/>
      <x:c r="F17" s="79"/>
      <x:c r="G17" s="79"/>
      <x:c r="H17" s="33"/>
      <x:c r="I17" s="34"/>
      <x:c r="J17" s="35"/>
      <x:c r="K17" s="35"/>
      <x:c r="L17" s="35"/>
      <x:c r="M17" s="36" t="str">
        <x:f t="shared" si="0"/>
      </x:c>
    </x:row>
    <x:row r="18" ht="25" customHeight="1">
      <x:c r="A18" s="31"/>
      <x:c r="B18" s="108"/>
      <x:c r="C18" s="33"/>
      <x:c r="D18" s="33"/>
      <x:c r="E18" s="33"/>
      <x:c r="F18" s="79"/>
      <x:c r="G18" s="79"/>
      <x:c r="H18" s="33"/>
      <x:c r="I18" s="34"/>
      <x:c r="J18" s="35"/>
      <x:c r="K18" s="35"/>
      <x:c r="L18" s="35"/>
      <x:c r="M18" s="36" t="str">
        <x:f t="shared" si="0"/>
      </x:c>
    </x:row>
    <x:row r="19" ht="25" customHeight="1">
      <x:c r="A19" s="31"/>
      <x:c r="B19" s="108"/>
      <x:c r="C19" s="33"/>
      <x:c r="D19" s="33"/>
      <x:c r="E19" s="33"/>
      <x:c r="F19" s="79"/>
      <x:c r="G19" s="79"/>
      <x:c r="H19" s="33"/>
      <x:c r="I19" s="34"/>
      <x:c r="J19" s="35"/>
      <x:c r="K19" s="35"/>
      <x:c r="L19" s="35"/>
      <x:c r="M19" s="36" t="str">
        <x:f t="shared" si="0"/>
      </x:c>
    </x:row>
    <x:row r="20" ht="25" customHeight="1">
      <x:c r="A20" s="31"/>
      <x:c r="B20" s="108"/>
      <x:c r="C20" s="33"/>
      <x:c r="D20" s="33"/>
      <x:c r="E20" s="33"/>
      <x:c r="F20" s="79"/>
      <x:c r="G20" s="79"/>
      <x:c r="H20" s="33"/>
      <x:c r="I20" s="34"/>
      <x:c r="J20" s="35"/>
      <x:c r="K20" s="35"/>
      <x:c r="L20" s="35"/>
      <x:c r="M20" s="36" t="str">
        <x:f t="shared" si="0"/>
      </x:c>
    </x:row>
    <x:row r="21" ht="25" customHeight="1">
      <x:c r="A21" s="31"/>
      <x:c r="B21" s="108"/>
      <x:c r="C21" s="33"/>
      <x:c r="D21" s="33"/>
      <x:c r="E21" s="33"/>
      <x:c r="F21" s="79"/>
      <x:c r="G21" s="79"/>
      <x:c r="H21" s="33"/>
      <x:c r="I21" s="34"/>
      <x:c r="J21" s="35"/>
      <x:c r="K21" s="35"/>
      <x:c r="L21" s="35"/>
      <x:c r="M21" s="36" t="str">
        <x:f t="shared" si="0"/>
      </x:c>
    </x:row>
    <x:row r="22" ht="25" customHeight="1">
      <x:c r="A22" s="31"/>
      <x:c r="B22" s="108"/>
      <x:c r="C22" s="33"/>
      <x:c r="D22" s="33"/>
      <x:c r="E22" s="33"/>
      <x:c r="F22" s="79"/>
      <x:c r="G22" s="79"/>
      <x:c r="H22" s="33"/>
      <x:c r="I22" s="34"/>
      <x:c r="J22" s="35"/>
      <x:c r="K22" s="35"/>
      <x:c r="L22" s="35"/>
      <x:c r="M22" s="36" t="str">
        <x:f t="shared" si="0"/>
      </x:c>
    </x:row>
    <x:row r="23" ht="25" customHeight="1">
      <x:c r="A23" s="31"/>
      <x:c r="B23" s="108"/>
      <x:c r="C23" s="33"/>
      <x:c r="D23" s="33"/>
      <x:c r="E23" s="33"/>
      <x:c r="F23" s="79"/>
      <x:c r="G23" s="79"/>
      <x:c r="H23" s="33"/>
      <x:c r="I23" s="34"/>
      <x:c r="J23" s="35"/>
      <x:c r="K23" s="35"/>
      <x:c r="L23" s="35"/>
      <x:c r="M23" s="36" t="str">
        <x:f t="shared" si="0"/>
      </x:c>
    </x:row>
    <x:row r="24" ht="25" customHeight="1">
      <x:c r="A24" s="31"/>
      <x:c r="B24" s="108"/>
      <x:c r="C24" s="33"/>
      <x:c r="D24" s="33"/>
      <x:c r="E24" s="33"/>
      <x:c r="F24" s="79"/>
      <x:c r="G24" s="79"/>
      <x:c r="H24" s="33"/>
      <x:c r="I24" s="34"/>
      <x:c r="J24" s="35"/>
      <x:c r="K24" s="35"/>
      <x:c r="L24" s="35"/>
      <x:c r="M24" s="36" t="str">
        <x:f t="shared" si="0"/>
      </x:c>
    </x:row>
    <x:row r="25" ht="25" customHeight="1">
      <x:c r="A25" s="31"/>
      <x:c r="B25" s="108"/>
      <x:c r="C25" s="33"/>
      <x:c r="D25" s="33"/>
      <x:c r="E25" s="33"/>
      <x:c r="F25" s="79"/>
      <x:c r="G25" s="79"/>
      <x:c r="H25" s="33"/>
      <x:c r="I25" s="34"/>
      <x:c r="J25" s="35"/>
      <x:c r="K25" s="35"/>
      <x:c r="L25" s="35"/>
      <x:c r="M25" s="36" t="str">
        <x:f t="shared" si="0"/>
      </x:c>
    </x:row>
    <x:row r="26" ht="25" customHeight="1">
      <x:c r="A26" s="31"/>
      <x:c r="B26" s="108"/>
      <x:c r="C26" s="33"/>
      <x:c r="D26" s="33"/>
      <x:c r="E26" s="33"/>
      <x:c r="F26" s="79"/>
      <x:c r="G26" s="79"/>
      <x:c r="H26" s="33"/>
      <x:c r="I26" s="34"/>
      <x:c r="J26" s="35"/>
      <x:c r="K26" s="35"/>
      <x:c r="L26" s="35"/>
      <x:c r="M26" s="36" t="str">
        <x:f t="shared" si="0"/>
      </x:c>
    </x:row>
    <x:row r="27" ht="25" customHeight="1">
      <x:c r="A27" s="31"/>
      <x:c r="B27" s="108"/>
      <x:c r="C27" s="33"/>
      <x:c r="D27" s="33"/>
      <x:c r="E27" s="33"/>
      <x:c r="F27" s="79"/>
      <x:c r="G27" s="79"/>
      <x:c r="H27" s="33"/>
      <x:c r="I27" s="34"/>
      <x:c r="J27" s="35"/>
      <x:c r="K27" s="35"/>
      <x:c r="L27" s="35"/>
      <x:c r="M27" s="36" t="str">
        <x:f t="shared" si="0"/>
      </x:c>
    </x:row>
    <x:row r="28" ht="25" customHeight="1">
      <x:c r="A28" s="31"/>
      <x:c r="B28" s="108"/>
      <x:c r="C28" s="33"/>
      <x:c r="D28" s="33"/>
      <x:c r="E28" s="33"/>
      <x:c r="F28" s="79"/>
      <x:c r="G28" s="79"/>
      <x:c r="H28" s="33"/>
      <x:c r="I28" s="34"/>
      <x:c r="J28" s="35"/>
      <x:c r="K28" s="35"/>
      <x:c r="L28" s="35"/>
      <x:c r="M28" s="36" t="str">
        <x:f t="shared" si="0"/>
      </x:c>
    </x:row>
    <x:row r="29" ht="25" customHeight="1">
      <x:c r="A29" s="31"/>
      <x:c r="B29" s="108"/>
      <x:c r="C29" s="33"/>
      <x:c r="D29" s="33"/>
      <x:c r="E29" s="33"/>
      <x:c r="F29" s="79"/>
      <x:c r="G29" s="79"/>
      <x:c r="H29" s="33"/>
      <x:c r="I29" s="34"/>
      <x:c r="J29" s="35"/>
      <x:c r="K29" s="35"/>
      <x:c r="L29" s="35"/>
      <x:c r="M29" s="36" t="str">
        <x:f t="shared" si="0"/>
      </x:c>
    </x:row>
    <x:row r="30" ht="25" customHeight="1">
      <x:c r="A30" s="31"/>
      <x:c r="B30" s="108"/>
      <x:c r="C30" s="33"/>
      <x:c r="D30" s="33"/>
      <x:c r="E30" s="33"/>
      <x:c r="F30" s="79"/>
      <x:c r="G30" s="79"/>
      <x:c r="H30" s="33"/>
      <x:c r="I30" s="34"/>
      <x:c r="J30" s="35"/>
      <x:c r="K30" s="35"/>
      <x:c r="L30" s="35"/>
      <x:c r="M30" s="36" t="str">
        <x:f t="shared" si="0"/>
      </x:c>
    </x:row>
    <x:row r="31" ht="25" customHeight="1">
      <x:c r="A31" s="31"/>
      <x:c r="B31" s="108"/>
      <x:c r="C31" s="33"/>
      <x:c r="D31" s="37"/>
      <x:c r="E31" s="33"/>
      <x:c r="F31" s="79"/>
      <x:c r="G31" s="79"/>
      <x:c r="H31" s="33"/>
      <x:c r="I31" s="34"/>
      <x:c r="J31" s="35"/>
      <x:c r="K31" s="35"/>
      <x:c r="L31" s="35"/>
      <x:c r="M31" s="36" t="str">
        <x:f t="shared" si="0"/>
      </x:c>
    </x:row>
    <x:row r="32" ht="25" customHeight="1">
      <x:c r="A32" s="31"/>
      <x:c r="B32" s="108"/>
      <x:c r="C32" s="33"/>
      <x:c r="D32" s="33"/>
      <x:c r="E32" s="33"/>
      <x:c r="F32" s="79"/>
      <x:c r="G32" s="79"/>
      <x:c r="H32" s="33"/>
      <x:c r="I32" s="34"/>
      <x:c r="J32" s="35"/>
      <x:c r="K32" s="35"/>
      <x:c r="L32" s="35"/>
      <x:c r="M32" s="36" t="str">
        <x:f t="shared" si="0"/>
      </x:c>
    </x:row>
    <x:row r="33" ht="25" customHeight="1">
      <x:c r="A33" s="31"/>
      <x:c r="B33" s="108"/>
      <x:c r="C33" s="33"/>
      <x:c r="D33" s="33"/>
      <x:c r="E33" s="33"/>
      <x:c r="F33" s="79"/>
      <x:c r="G33" s="79"/>
      <x:c r="H33" s="33"/>
      <x:c r="I33" s="34"/>
      <x:c r="J33" s="35"/>
      <x:c r="K33" s="35"/>
      <x:c r="L33" s="35"/>
      <x:c r="M33" s="36" t="str">
        <x:f t="shared" si="0"/>
      </x:c>
    </x:row>
    <x:row r="34" ht="25" customHeight="1">
      <x:c r="A34" s="31"/>
      <x:c r="B34" s="108"/>
      <x:c r="C34" s="33"/>
      <x:c r="D34" s="33"/>
      <x:c r="E34" s="33"/>
      <x:c r="F34" s="79"/>
      <x:c r="G34" s="79"/>
      <x:c r="H34" s="33"/>
      <x:c r="I34" s="34"/>
      <x:c r="J34" s="35"/>
      <x:c r="K34" s="35"/>
      <x:c r="L34" s="35"/>
      <x:c r="M34" s="36" t="str">
        <x:f t="shared" si="0"/>
      </x:c>
    </x:row>
    <x:row r="35" ht="25" customHeight="1">
      <x:c r="A35" s="31"/>
      <x:c r="B35" s="108"/>
      <x:c r="C35" s="33"/>
      <x:c r="D35" s="33"/>
      <x:c r="E35" s="33"/>
      <x:c r="F35" s="79"/>
      <x:c r="G35" s="79"/>
      <x:c r="H35" s="33"/>
      <x:c r="I35" s="34"/>
      <x:c r="J35" s="35"/>
      <x:c r="K35" s="35"/>
      <x:c r="L35" s="35"/>
      <x:c r="M35" s="36" t="str">
        <x:f t="shared" si="0"/>
      </x:c>
    </x:row>
    <x:row r="36" ht="25" customHeight="1">
      <x:c r="A36" s="31"/>
      <x:c r="B36" s="108"/>
      <x:c r="C36" s="33"/>
      <x:c r="D36" s="33"/>
      <x:c r="E36" s="33"/>
      <x:c r="F36" s="79"/>
      <x:c r="G36" s="79"/>
      <x:c r="H36" s="33"/>
      <x:c r="I36" s="34"/>
      <x:c r="J36" s="35"/>
      <x:c r="K36" s="35"/>
      <x:c r="L36" s="35"/>
      <x:c r="M36" s="36" t="str">
        <x:f t="shared" si="0"/>
      </x:c>
    </x:row>
    <x:row r="37" ht="25" customHeight="1">
      <x:c r="A37" s="31"/>
      <x:c r="B37" s="108"/>
      <x:c r="C37" s="33"/>
      <x:c r="D37" s="33"/>
      <x:c r="E37" s="33"/>
      <x:c r="F37" s="79"/>
      <x:c r="G37" s="79"/>
      <x:c r="H37" s="33"/>
      <x:c r="I37" s="34"/>
      <x:c r="J37" s="35"/>
      <x:c r="K37" s="35"/>
      <x:c r="L37" s="35"/>
      <x:c r="M37" s="36" t="str">
        <x:f t="shared" si="0"/>
      </x:c>
    </x:row>
    <x:row r="38" ht="25" customHeight="1">
      <x:c r="A38" s="31"/>
      <x:c r="B38" s="108"/>
      <x:c r="C38" s="33"/>
      <x:c r="D38" s="33"/>
      <x:c r="E38" s="33"/>
      <x:c r="F38" s="79"/>
      <x:c r="G38" s="79"/>
      <x:c r="H38" s="33"/>
      <x:c r="I38" s="34"/>
      <x:c r="J38" s="35"/>
      <x:c r="K38" s="35"/>
      <x:c r="L38" s="35"/>
      <x:c r="M38" s="36" t="str">
        <x:f t="shared" si="0"/>
      </x:c>
    </x:row>
    <x:row r="39" ht="25" customHeight="1">
      <x:c r="A39" s="31"/>
      <x:c r="B39" s="108"/>
      <x:c r="C39" s="33"/>
      <x:c r="D39" s="33"/>
      <x:c r="E39" s="33"/>
      <x:c r="F39" s="79"/>
      <x:c r="G39" s="79"/>
      <x:c r="H39" s="33"/>
      <x:c r="I39" s="34"/>
      <x:c r="J39" s="35"/>
      <x:c r="K39" s="35"/>
      <x:c r="L39" s="35"/>
      <x:c r="M39" s="36" t="str">
        <x:f t="shared" si="0"/>
      </x:c>
    </x:row>
    <x:row r="40" ht="25" customHeight="1">
      <x:c r="A40" s="31"/>
      <x:c r="B40" s="108"/>
      <x:c r="C40" s="33"/>
      <x:c r="D40" s="33"/>
      <x:c r="E40" s="33"/>
      <x:c r="F40" s="79"/>
      <x:c r="G40" s="79"/>
      <x:c r="H40" s="33"/>
      <x:c r="I40" s="34"/>
      <x:c r="J40" s="35"/>
      <x:c r="K40" s="35"/>
      <x:c r="L40" s="35"/>
      <x:c r="M40" s="36" t="str">
        <x:f t="shared" si="0"/>
      </x:c>
    </x:row>
    <x:row r="41" ht="25" customHeight="1">
      <x:c r="A41" s="31"/>
      <x:c r="B41" s="108"/>
      <x:c r="C41" s="33"/>
      <x:c r="D41" s="33"/>
      <x:c r="E41" s="33"/>
      <x:c r="F41" s="79"/>
      <x:c r="G41" s="79"/>
      <x:c r="H41" s="33"/>
      <x:c r="I41" s="34"/>
      <x:c r="J41" s="35"/>
      <x:c r="K41" s="35"/>
      <x:c r="L41" s="35"/>
      <x:c r="M41" s="36" t="str">
        <x:f t="shared" si="0"/>
      </x:c>
    </x:row>
    <x:row r="42" ht="25" customHeight="1">
      <x:c r="A42" s="31"/>
      <x:c r="B42" s="108"/>
      <x:c r="C42" s="33"/>
      <x:c r="D42" s="33"/>
      <x:c r="E42" s="33"/>
      <x:c r="F42" s="79"/>
      <x:c r="G42" s="79"/>
      <x:c r="H42" s="33"/>
      <x:c r="I42" s="34"/>
      <x:c r="J42" s="35"/>
      <x:c r="K42" s="35"/>
      <x:c r="L42" s="35"/>
      <x:c r="M42" s="36" t="str">
        <x:f t="shared" si="0"/>
      </x:c>
    </x:row>
    <x:row r="43" ht="25" customHeight="1">
      <x:c r="A43" s="31"/>
      <x:c r="B43" s="108"/>
      <x:c r="C43" s="33"/>
      <x:c r="D43" s="33"/>
      <x:c r="E43" s="33"/>
      <x:c r="F43" s="79"/>
      <x:c r="G43" s="79"/>
      <x:c r="H43" s="33"/>
      <x:c r="I43" s="34"/>
      <x:c r="J43" s="35"/>
      <x:c r="K43" s="35"/>
      <x:c r="L43" s="35"/>
      <x:c r="M43" s="36" t="str">
        <x:f t="shared" si="0"/>
      </x:c>
    </x:row>
    <x:row r="44" ht="25" customHeight="1">
      <x:c r="A44" s="31"/>
      <x:c r="B44" s="108"/>
      <x:c r="C44" s="33"/>
      <x:c r="D44" s="33"/>
      <x:c r="E44" s="33"/>
      <x:c r="F44" s="79"/>
      <x:c r="G44" s="79"/>
      <x:c r="H44" s="33"/>
      <x:c r="I44" s="34"/>
      <x:c r="J44" s="35"/>
      <x:c r="K44" s="35"/>
      <x:c r="L44" s="35"/>
      <x:c r="M44" s="36" t="str">
        <x:f t="shared" si="0"/>
      </x:c>
    </x:row>
    <x:row r="45" ht="25" customHeight="1">
      <x:c r="A45" s="31"/>
      <x:c r="B45" s="108"/>
      <x:c r="C45" s="33"/>
      <x:c r="D45" s="33"/>
      <x:c r="E45" s="33"/>
      <x:c r="F45" s="79"/>
      <x:c r="G45" s="79"/>
      <x:c r="H45" s="33"/>
      <x:c r="I45" s="34"/>
      <x:c r="J45" s="35"/>
      <x:c r="K45" s="35"/>
      <x:c r="L45" s="35"/>
      <x:c r="M45" s="36" t="str">
        <x:f t="shared" si="0"/>
      </x:c>
    </x:row>
    <x:row r="46" ht="25" customHeight="1">
      <x:c r="A46" s="31"/>
      <x:c r="B46" s="108"/>
      <x:c r="C46" s="33"/>
      <x:c r="D46" s="33"/>
      <x:c r="E46" s="33"/>
      <x:c r="F46" s="79"/>
      <x:c r="G46" s="79"/>
      <x:c r="H46" s="33"/>
      <x:c r="I46" s="34"/>
      <x:c r="J46" s="35"/>
      <x:c r="K46" s="35"/>
      <x:c r="L46" s="35"/>
      <x:c r="M46" s="36" t="str">
        <x:f t="shared" si="0"/>
      </x:c>
    </x:row>
    <x:row r="47" ht="25" customHeight="1">
      <x:c r="A47" s="31"/>
      <x:c r="B47" s="108"/>
      <x:c r="C47" s="33"/>
      <x:c r="D47" s="33"/>
      <x:c r="E47" s="33"/>
      <x:c r="F47" s="79"/>
      <x:c r="G47" s="79"/>
      <x:c r="H47" s="33"/>
      <x:c r="I47" s="34"/>
      <x:c r="J47" s="35"/>
      <x:c r="K47" s="35"/>
      <x:c r="L47" s="38"/>
      <x:c r="M47" s="36" t="str">
        <x:f t="shared" si="0"/>
      </x:c>
    </x:row>
    <x:row r="48" ht="25" customHeight="1">
      <x:c r="A48" s="31"/>
      <x:c r="B48" s="108"/>
      <x:c r="C48" s="33"/>
      <x:c r="D48" s="33"/>
      <x:c r="E48" s="33"/>
      <x:c r="F48" s="79"/>
      <x:c r="G48" s="79"/>
      <x:c r="H48" s="33"/>
      <x:c r="I48" s="34"/>
      <x:c r="J48" s="35"/>
      <x:c r="K48" s="35"/>
      <x:c r="L48" s="35"/>
      <x:c r="M48" s="36" t="str">
        <x:f t="shared" si="0"/>
      </x:c>
    </x:row>
    <x:row r="49" ht="25" customHeight="1">
      <x:c r="A49" s="31"/>
      <x:c r="B49" s="108"/>
      <x:c r="C49" s="33"/>
      <x:c r="D49" s="33"/>
      <x:c r="E49" s="33"/>
      <x:c r="F49" s="79"/>
      <x:c r="G49" s="79"/>
      <x:c r="H49" s="33"/>
      <x:c r="I49" s="34"/>
      <x:c r="J49" s="35"/>
      <x:c r="K49" s="35"/>
      <x:c r="L49" s="35"/>
      <x:c r="M49" s="36" t="str">
        <x:f t="shared" si="0"/>
      </x:c>
    </x:row>
    <x:row r="50" ht="25" customHeight="1">
      <x:c r="A50" s="31"/>
      <x:c r="B50" s="108"/>
      <x:c r="C50" s="33"/>
      <x:c r="D50" s="33"/>
      <x:c r="E50" s="33"/>
      <x:c r="F50" s="79"/>
      <x:c r="G50" s="79"/>
      <x:c r="H50" s="33"/>
      <x:c r="I50" s="34"/>
      <x:c r="J50" s="35"/>
      <x:c r="K50" s="35"/>
      <x:c r="L50" s="35"/>
      <x:c r="M50" s="36" t="str">
        <x:f t="shared" si="0"/>
      </x:c>
    </x:row>
    <x:row r="51" ht="25" customHeight="1">
      <x:c r="A51" s="31"/>
      <x:c r="B51" s="108"/>
      <x:c r="C51" s="33"/>
      <x:c r="D51" s="33"/>
      <x:c r="E51" s="33"/>
      <x:c r="F51" s="79"/>
      <x:c r="G51" s="79"/>
      <x:c r="H51" s="33"/>
      <x:c r="I51" s="34"/>
      <x:c r="J51" s="35"/>
      <x:c r="K51" s="35"/>
      <x:c r="L51" s="35"/>
      <x:c r="M51" s="36" t="str">
        <x:f t="shared" si="0"/>
      </x:c>
    </x:row>
    <x:row r="52" ht="25" customHeight="1">
      <x:c r="A52" s="31"/>
      <x:c r="B52" s="108"/>
      <x:c r="C52" s="33"/>
      <x:c r="D52" s="33"/>
      <x:c r="E52" s="33"/>
      <x:c r="F52" s="79"/>
      <x:c r="G52" s="79"/>
      <x:c r="H52" s="33"/>
      <x:c r="I52" s="34"/>
      <x:c r="J52" s="35"/>
      <x:c r="K52" s="35"/>
      <x:c r="L52" s="35"/>
      <x:c r="M52" s="36" t="str">
        <x:f t="shared" si="0"/>
      </x:c>
    </x:row>
    <x:row r="53" ht="25" customHeight="1">
      <x:c r="A53" s="31"/>
      <x:c r="B53" s="108"/>
      <x:c r="C53" s="33"/>
      <x:c r="D53" s="33"/>
      <x:c r="E53" s="33"/>
      <x:c r="F53" s="79"/>
      <x:c r="G53" s="79"/>
      <x:c r="H53" s="33"/>
      <x:c r="I53" s="34"/>
      <x:c r="J53" s="35"/>
      <x:c r="K53" s="35"/>
      <x:c r="L53" s="35"/>
      <x:c r="M53" s="36" t="str">
        <x:f t="shared" si="0"/>
      </x:c>
    </x:row>
    <x:row r="54" ht="25" customHeight="1">
      <x:c r="A54" s="31"/>
      <x:c r="B54" s="108"/>
      <x:c r="C54" s="33"/>
      <x:c r="D54" s="33"/>
      <x:c r="E54" s="33"/>
      <x:c r="F54" s="79"/>
      <x:c r="G54" s="79"/>
      <x:c r="H54" s="33"/>
      <x:c r="I54" s="34"/>
      <x:c r="J54" s="35"/>
      <x:c r="K54" s="35"/>
      <x:c r="L54" s="35"/>
      <x:c r="M54" s="36" t="str">
        <x:f t="shared" si="0"/>
      </x:c>
    </x:row>
    <x:row r="55" ht="25" customHeight="1">
      <x:c r="A55" s="31"/>
      <x:c r="B55" s="108"/>
      <x:c r="C55" s="33"/>
      <x:c r="D55" s="33"/>
      <x:c r="E55" s="33"/>
      <x:c r="F55" s="79"/>
      <x:c r="G55" s="79"/>
      <x:c r="H55" s="33"/>
      <x:c r="I55" s="34"/>
      <x:c r="J55" s="35"/>
      <x:c r="K55" s="35"/>
      <x:c r="L55" s="35"/>
      <x:c r="M55" s="36" t="str">
        <x:f t="shared" si="0"/>
      </x:c>
    </x:row>
    <x:row r="56" ht="25" customHeight="1">
      <x:c r="A56" s="31"/>
      <x:c r="B56" s="108"/>
      <x:c r="C56" s="33"/>
      <x:c r="D56" s="33"/>
      <x:c r="E56" s="33"/>
      <x:c r="F56" s="79"/>
      <x:c r="G56" s="79"/>
      <x:c r="H56" s="33"/>
      <x:c r="I56" s="34"/>
      <x:c r="J56" s="35"/>
      <x:c r="K56" s="35"/>
      <x:c r="L56" s="35"/>
      <x:c r="M56" s="36" t="str">
        <x:f t="shared" si="0"/>
      </x:c>
    </x:row>
    <x:row r="57" ht="25" customHeight="1">
      <x:c r="A57" s="31"/>
      <x:c r="B57" s="108"/>
      <x:c r="C57" s="33"/>
      <x:c r="D57" s="33"/>
      <x:c r="E57" s="33"/>
      <x:c r="F57" s="79"/>
      <x:c r="G57" s="79"/>
      <x:c r="H57" s="33"/>
      <x:c r="I57" s="34"/>
      <x:c r="J57" s="35"/>
      <x:c r="K57" s="35"/>
      <x:c r="L57" s="35"/>
      <x:c r="M57" s="36" t="str">
        <x:f t="shared" si="0"/>
      </x:c>
    </x:row>
    <x:row r="58" ht="25" customHeight="1">
      <x:c r="A58" s="31"/>
      <x:c r="B58" s="108"/>
      <x:c r="C58" s="33"/>
      <x:c r="D58" s="33"/>
      <x:c r="E58" s="33"/>
      <x:c r="F58" s="79"/>
      <x:c r="G58" s="79"/>
      <x:c r="H58" s="33"/>
      <x:c r="I58" s="34"/>
      <x:c r="J58" s="35"/>
      <x:c r="K58" s="35"/>
      <x:c r="L58" s="35"/>
      <x:c r="M58" s="36" t="str">
        <x:f t="shared" si="0"/>
      </x:c>
    </x:row>
    <x:row r="59" ht="25" customHeight="1">
      <x:c r="A59" s="31"/>
      <x:c r="B59" s="108"/>
      <x:c r="C59" s="33"/>
      <x:c r="D59" s="33"/>
      <x:c r="E59" s="33"/>
      <x:c r="F59" s="79"/>
      <x:c r="G59" s="79"/>
      <x:c r="H59" s="33"/>
      <x:c r="I59" s="34"/>
      <x:c r="J59" s="35"/>
      <x:c r="K59" s="35"/>
      <x:c r="L59" s="35"/>
      <x:c r="M59" s="36" t="str">
        <x:f t="shared" si="0"/>
      </x:c>
    </x:row>
    <x:row r="60" ht="25" customHeight="1">
      <x:c r="A60" s="31"/>
      <x:c r="B60" s="108"/>
      <x:c r="C60" s="33"/>
      <x:c r="D60" s="33"/>
      <x:c r="E60" s="33"/>
      <x:c r="F60" s="79"/>
      <x:c r="G60" s="79"/>
      <x:c r="H60" s="33"/>
      <x:c r="I60" s="34"/>
      <x:c r="J60" s="35"/>
      <x:c r="K60" s="35"/>
      <x:c r="L60" s="35"/>
      <x:c r="M60" s="36" t="str">
        <x:f t="shared" si="0"/>
      </x:c>
    </x:row>
    <x:row r="61" ht="25" customHeight="1">
      <x:c r="A61" s="31"/>
      <x:c r="B61" s="108"/>
      <x:c r="C61" s="33"/>
      <x:c r="D61" s="33"/>
      <x:c r="E61" s="33"/>
      <x:c r="F61" s="79"/>
      <x:c r="G61" s="79"/>
      <x:c r="H61" s="33"/>
      <x:c r="I61" s="34"/>
      <x:c r="J61" s="35"/>
      <x:c r="K61" s="35"/>
      <x:c r="L61" s="35"/>
      <x:c r="M61" s="36" t="str">
        <x:f t="shared" si="0"/>
      </x:c>
    </x:row>
    <x:row r="62" ht="25" customHeight="1">
      <x:c r="A62" s="31"/>
      <x:c r="B62" s="108"/>
      <x:c r="C62" s="33"/>
      <x:c r="D62" s="33"/>
      <x:c r="E62" s="33"/>
      <x:c r="F62" s="79"/>
      <x:c r="G62" s="79"/>
      <x:c r="H62" s="33"/>
      <x:c r="I62" s="34"/>
      <x:c r="J62" s="35"/>
      <x:c r="K62" s="35"/>
      <x:c r="L62" s="35"/>
      <x:c r="M62" s="36" t="str">
        <x:f t="shared" si="0"/>
      </x:c>
    </x:row>
    <x:row r="63" ht="25" customHeight="1">
      <x:c r="A63" s="31"/>
      <x:c r="B63" s="108"/>
      <x:c r="C63" s="33"/>
      <x:c r="D63" s="33"/>
      <x:c r="E63" s="33"/>
      <x:c r="F63" s="79"/>
      <x:c r="G63" s="79"/>
      <x:c r="H63" s="33"/>
      <x:c r="I63" s="34"/>
      <x:c r="J63" s="35"/>
      <x:c r="K63" s="35"/>
      <x:c r="L63" s="35"/>
      <x:c r="M63" s="36" t="str">
        <x:f t="shared" si="0"/>
      </x:c>
    </x:row>
    <x:row r="64" ht="25" customHeight="1">
      <x:c r="A64" s="31"/>
      <x:c r="B64" s="108"/>
      <x:c r="C64" s="33"/>
      <x:c r="D64" s="33"/>
      <x:c r="E64" s="33"/>
      <x:c r="F64" s="79"/>
      <x:c r="G64" s="79"/>
      <x:c r="H64" s="33"/>
      <x:c r="I64" s="34"/>
      <x:c r="J64" s="35"/>
      <x:c r="K64" s="35"/>
      <x:c r="L64" s="35"/>
      <x:c r="M64" s="36" t="str">
        <x:f t="shared" si="0"/>
      </x:c>
    </x:row>
    <x:row r="65" ht="25" customHeight="1">
      <x:c r="A65" s="31"/>
      <x:c r="B65" s="108"/>
      <x:c r="C65" s="33"/>
      <x:c r="D65" s="33"/>
      <x:c r="E65" s="33"/>
      <x:c r="F65" s="79"/>
      <x:c r="G65" s="79"/>
      <x:c r="H65" s="33"/>
      <x:c r="I65" s="34"/>
      <x:c r="J65" s="35"/>
      <x:c r="K65" s="35"/>
      <x:c r="L65" s="35"/>
      <x:c r="M65" s="36" t="str">
        <x:f t="shared" si="0"/>
      </x:c>
    </x:row>
    <x:row r="66" ht="25" customHeight="1">
      <x:c r="A66" s="31"/>
      <x:c r="B66" s="108"/>
      <x:c r="C66" s="33"/>
      <x:c r="D66" s="33"/>
      <x:c r="E66" s="33"/>
      <x:c r="F66" s="79"/>
      <x:c r="G66" s="79"/>
      <x:c r="H66" s="33"/>
      <x:c r="I66" s="34"/>
      <x:c r="J66" s="35"/>
      <x:c r="K66" s="35"/>
      <x:c r="L66" s="35"/>
      <x:c r="M66" s="36" t="str">
        <x:f t="shared" ref="M66:M129" si="1">IF(A66="","",IF(NOT(ISNUMBER(F66)),"확인 필요",IF(G66="","재직 중",IF(NOT(ISNUMBER(G66)),"확인 필요",IF(G66&lt;F66,"확인 필요",(G66-F66+1)&amp;"일")))))</x:f>
      </x:c>
    </x:row>
    <x:row r="67" ht="25" customHeight="1">
      <x:c r="A67" s="31"/>
      <x:c r="B67" s="108"/>
      <x:c r="C67" s="33"/>
      <x:c r="D67" s="33"/>
      <x:c r="E67" s="33"/>
      <x:c r="F67" s="79"/>
      <x:c r="G67" s="79"/>
      <x:c r="H67" s="33"/>
      <x:c r="I67" s="34"/>
      <x:c r="J67" s="35"/>
      <x:c r="K67" s="35"/>
      <x:c r="L67" s="35"/>
      <x:c r="M67" s="36" t="str">
        <x:f t="shared" si="1"/>
      </x:c>
    </x:row>
    <x:row r="68" ht="25" customHeight="1">
      <x:c r="A68" s="31"/>
      <x:c r="B68" s="108"/>
      <x:c r="C68" s="33"/>
      <x:c r="D68" s="33"/>
      <x:c r="E68" s="33"/>
      <x:c r="F68" s="79"/>
      <x:c r="G68" s="79"/>
      <x:c r="H68" s="33"/>
      <x:c r="I68" s="34"/>
      <x:c r="J68" s="35"/>
      <x:c r="K68" s="35"/>
      <x:c r="L68" s="35"/>
      <x:c r="M68" s="36" t="str">
        <x:f t="shared" si="1"/>
      </x:c>
    </x:row>
    <x:row r="69" ht="25" customHeight="1">
      <x:c r="A69" s="31"/>
      <x:c r="B69" s="108"/>
      <x:c r="C69" s="33"/>
      <x:c r="D69" s="33"/>
      <x:c r="E69" s="33"/>
      <x:c r="F69" s="79"/>
      <x:c r="G69" s="79"/>
      <x:c r="H69" s="33"/>
      <x:c r="I69" s="34"/>
      <x:c r="J69" s="35"/>
      <x:c r="K69" s="35"/>
      <x:c r="L69" s="35"/>
      <x:c r="M69" s="36" t="str">
        <x:f t="shared" si="1"/>
      </x:c>
    </x:row>
    <x:row r="70" ht="25" customHeight="1">
      <x:c r="A70" s="31"/>
      <x:c r="B70" s="108"/>
      <x:c r="C70" s="33"/>
      <x:c r="D70" s="33"/>
      <x:c r="E70" s="33"/>
      <x:c r="F70" s="79"/>
      <x:c r="G70" s="79"/>
      <x:c r="H70" s="33"/>
      <x:c r="I70" s="34"/>
      <x:c r="J70" s="35"/>
      <x:c r="K70" s="35"/>
      <x:c r="L70" s="35"/>
      <x:c r="M70" s="36" t="str">
        <x:f t="shared" si="1"/>
      </x:c>
    </x:row>
    <x:row r="71" ht="25" customHeight="1">
      <x:c r="A71" s="31"/>
      <x:c r="B71" s="108"/>
      <x:c r="C71" s="33"/>
      <x:c r="D71" s="33"/>
      <x:c r="E71" s="33"/>
      <x:c r="F71" s="79"/>
      <x:c r="G71" s="79"/>
      <x:c r="H71" s="33"/>
      <x:c r="I71" s="34"/>
      <x:c r="J71" s="35"/>
      <x:c r="K71" s="35"/>
      <x:c r="L71" s="35"/>
      <x:c r="M71" s="36" t="str">
        <x:f t="shared" si="1"/>
      </x:c>
    </x:row>
    <x:row r="72" ht="25" customHeight="1">
      <x:c r="A72" s="31"/>
      <x:c r="B72" s="108"/>
      <x:c r="C72" s="33"/>
      <x:c r="D72" s="33"/>
      <x:c r="E72" s="33"/>
      <x:c r="F72" s="79"/>
      <x:c r="G72" s="79"/>
      <x:c r="H72" s="33"/>
      <x:c r="I72" s="34"/>
      <x:c r="J72" s="35"/>
      <x:c r="K72" s="35"/>
      <x:c r="L72" s="35"/>
      <x:c r="M72" s="36" t="str">
        <x:f t="shared" si="1"/>
      </x:c>
    </x:row>
    <x:row r="73" ht="25" customHeight="1">
      <x:c r="A73" s="31"/>
      <x:c r="B73" s="108"/>
      <x:c r="C73" s="33"/>
      <x:c r="D73" s="33"/>
      <x:c r="E73" s="33"/>
      <x:c r="F73" s="79"/>
      <x:c r="G73" s="79"/>
      <x:c r="H73" s="33"/>
      <x:c r="I73" s="34"/>
      <x:c r="J73" s="35"/>
      <x:c r="K73" s="35"/>
      <x:c r="L73" s="35"/>
      <x:c r="M73" s="36" t="str">
        <x:f t="shared" si="1"/>
      </x:c>
    </x:row>
    <x:row r="74" ht="25" customHeight="1">
      <x:c r="A74" s="31"/>
      <x:c r="B74" s="108"/>
      <x:c r="C74" s="33"/>
      <x:c r="D74" s="33"/>
      <x:c r="E74" s="33"/>
      <x:c r="F74" s="79"/>
      <x:c r="G74" s="79"/>
      <x:c r="H74" s="33"/>
      <x:c r="I74" s="34"/>
      <x:c r="J74" s="35"/>
      <x:c r="K74" s="35"/>
      <x:c r="L74" s="35"/>
      <x:c r="M74" s="36" t="str">
        <x:f t="shared" si="1"/>
      </x:c>
    </x:row>
    <x:row r="75" ht="25" customHeight="1">
      <x:c r="A75" s="31"/>
      <x:c r="B75" s="108"/>
      <x:c r="C75" s="33"/>
      <x:c r="D75" s="33"/>
      <x:c r="E75" s="33"/>
      <x:c r="F75" s="79"/>
      <x:c r="G75" s="79"/>
      <x:c r="H75" s="33"/>
      <x:c r="I75" s="34"/>
      <x:c r="J75" s="35"/>
      <x:c r="K75" s="35"/>
      <x:c r="L75" s="35"/>
      <x:c r="M75" s="36" t="str">
        <x:f t="shared" si="1"/>
      </x:c>
    </x:row>
    <x:row r="76" ht="25" customHeight="1">
      <x:c r="A76" s="31"/>
      <x:c r="B76" s="108"/>
      <x:c r="C76" s="33"/>
      <x:c r="D76" s="33"/>
      <x:c r="E76" s="33"/>
      <x:c r="F76" s="79"/>
      <x:c r="G76" s="79"/>
      <x:c r="H76" s="33"/>
      <x:c r="I76" s="34"/>
      <x:c r="J76" s="35"/>
      <x:c r="K76" s="35"/>
      <x:c r="L76" s="35"/>
      <x:c r="M76" s="36" t="str">
        <x:f t="shared" si="1"/>
      </x:c>
    </x:row>
    <x:row r="77" ht="25" customHeight="1">
      <x:c r="A77" s="31"/>
      <x:c r="B77" s="108"/>
      <x:c r="C77" s="33"/>
      <x:c r="D77" s="33"/>
      <x:c r="E77" s="33"/>
      <x:c r="F77" s="79"/>
      <x:c r="G77" s="79"/>
      <x:c r="H77" s="33"/>
      <x:c r="I77" s="34"/>
      <x:c r="J77" s="35"/>
      <x:c r="K77" s="35"/>
      <x:c r="L77" s="35"/>
      <x:c r="M77" s="36" t="str">
        <x:f t="shared" si="1"/>
      </x:c>
    </x:row>
    <x:row r="78" ht="25" customHeight="1">
      <x:c r="A78" s="31"/>
      <x:c r="B78" s="108"/>
      <x:c r="C78" s="33"/>
      <x:c r="D78" s="33"/>
      <x:c r="E78" s="33"/>
      <x:c r="F78" s="79"/>
      <x:c r="G78" s="79"/>
      <x:c r="H78" s="33"/>
      <x:c r="I78" s="34"/>
      <x:c r="J78" s="35"/>
      <x:c r="K78" s="35"/>
      <x:c r="L78" s="35"/>
      <x:c r="M78" s="36" t="str">
        <x:f t="shared" si="1"/>
      </x:c>
    </x:row>
    <x:row r="79" ht="25" customHeight="1">
      <x:c r="A79" s="31"/>
      <x:c r="B79" s="108"/>
      <x:c r="C79" s="33"/>
      <x:c r="D79" s="33"/>
      <x:c r="E79" s="33"/>
      <x:c r="F79" s="79"/>
      <x:c r="G79" s="79"/>
      <x:c r="H79" s="33"/>
      <x:c r="I79" s="34"/>
      <x:c r="J79" s="35"/>
      <x:c r="K79" s="35"/>
      <x:c r="L79" s="35"/>
      <x:c r="M79" s="36" t="str">
        <x:f t="shared" si="1"/>
      </x:c>
    </x:row>
    <x:row r="80" ht="25" customHeight="1">
      <x:c r="A80" s="31"/>
      <x:c r="B80" s="108"/>
      <x:c r="C80" s="33"/>
      <x:c r="D80" s="33"/>
      <x:c r="E80" s="33"/>
      <x:c r="F80" s="79"/>
      <x:c r="G80" s="79"/>
      <x:c r="H80" s="33"/>
      <x:c r="I80" s="34"/>
      <x:c r="J80" s="35"/>
      <x:c r="K80" s="35"/>
      <x:c r="L80" s="35"/>
      <x:c r="M80" s="36" t="str">
        <x:f t="shared" si="1"/>
      </x:c>
    </x:row>
    <x:row r="81" ht="25" customHeight="1">
      <x:c r="A81" s="31"/>
      <x:c r="B81" s="108"/>
      <x:c r="C81" s="33"/>
      <x:c r="D81" s="33"/>
      <x:c r="E81" s="33"/>
      <x:c r="F81" s="79"/>
      <x:c r="G81" s="79"/>
      <x:c r="H81" s="33"/>
      <x:c r="I81" s="34"/>
      <x:c r="J81" s="35"/>
      <x:c r="K81" s="35"/>
      <x:c r="L81" s="35"/>
      <x:c r="M81" s="36" t="str">
        <x:f t="shared" si="1"/>
      </x:c>
    </x:row>
    <x:row r="82" ht="25" customHeight="1">
      <x:c r="A82" s="31"/>
      <x:c r="B82" s="108"/>
      <x:c r="C82" s="33"/>
      <x:c r="D82" s="33"/>
      <x:c r="E82" s="33"/>
      <x:c r="F82" s="79"/>
      <x:c r="G82" s="79"/>
      <x:c r="H82" s="33"/>
      <x:c r="I82" s="34"/>
      <x:c r="J82" s="35"/>
      <x:c r="K82" s="35"/>
      <x:c r="L82" s="35"/>
      <x:c r="M82" s="36" t="str">
        <x:f t="shared" si="1"/>
      </x:c>
    </x:row>
    <x:row r="83" ht="25" customHeight="1">
      <x:c r="A83" s="31"/>
      <x:c r="B83" s="108"/>
      <x:c r="C83" s="33"/>
      <x:c r="D83" s="33"/>
      <x:c r="E83" s="33"/>
      <x:c r="F83" s="79"/>
      <x:c r="G83" s="79"/>
      <x:c r="H83" s="33"/>
      <x:c r="I83" s="34"/>
      <x:c r="J83" s="35"/>
      <x:c r="K83" s="35"/>
      <x:c r="L83" s="35"/>
      <x:c r="M83" s="36" t="str">
        <x:f t="shared" si="1"/>
      </x:c>
    </x:row>
    <x:row r="84" ht="25" customHeight="1">
      <x:c r="A84" s="31"/>
      <x:c r="B84" s="108"/>
      <x:c r="C84" s="33"/>
      <x:c r="D84" s="33"/>
      <x:c r="E84" s="33"/>
      <x:c r="F84" s="79"/>
      <x:c r="G84" s="79"/>
      <x:c r="H84" s="33"/>
      <x:c r="I84" s="34"/>
      <x:c r="J84" s="35"/>
      <x:c r="K84" s="35"/>
      <x:c r="L84" s="35"/>
      <x:c r="M84" s="36" t="str">
        <x:f t="shared" si="1"/>
      </x:c>
    </x:row>
    <x:row r="85" ht="25" customHeight="1">
      <x:c r="A85" s="31"/>
      <x:c r="B85" s="108"/>
      <x:c r="C85" s="33"/>
      <x:c r="D85" s="33"/>
      <x:c r="E85" s="33"/>
      <x:c r="F85" s="79"/>
      <x:c r="G85" s="79"/>
      <x:c r="H85" s="33"/>
      <x:c r="I85" s="34"/>
      <x:c r="J85" s="35"/>
      <x:c r="K85" s="35"/>
      <x:c r="L85" s="35"/>
      <x:c r="M85" s="36" t="str">
        <x:f t="shared" si="1"/>
      </x:c>
    </x:row>
    <x:row r="86" ht="25" customHeight="1">
      <x:c r="A86" s="31"/>
      <x:c r="B86" s="108"/>
      <x:c r="C86" s="33"/>
      <x:c r="D86" s="33"/>
      <x:c r="E86" s="33"/>
      <x:c r="F86" s="79"/>
      <x:c r="G86" s="79"/>
      <x:c r="H86" s="33"/>
      <x:c r="I86" s="34"/>
      <x:c r="J86" s="35"/>
      <x:c r="K86" s="35"/>
      <x:c r="L86" s="35"/>
      <x:c r="M86" s="36" t="str">
        <x:f t="shared" si="1"/>
      </x:c>
    </x:row>
    <x:row r="87" ht="25" customHeight="1">
      <x:c r="A87" s="31"/>
      <x:c r="B87" s="108"/>
      <x:c r="C87" s="33"/>
      <x:c r="D87" s="33"/>
      <x:c r="E87" s="33"/>
      <x:c r="F87" s="79"/>
      <x:c r="G87" s="79"/>
      <x:c r="H87" s="33"/>
      <x:c r="I87" s="34"/>
      <x:c r="J87" s="35"/>
      <x:c r="K87" s="35"/>
      <x:c r="L87" s="35"/>
      <x:c r="M87" s="36" t="str">
        <x:f t="shared" si="1"/>
      </x:c>
    </x:row>
    <x:row r="88" ht="25" customHeight="1">
      <x:c r="A88" s="31"/>
      <x:c r="B88" s="108"/>
      <x:c r="C88" s="33"/>
      <x:c r="D88" s="33"/>
      <x:c r="E88" s="33"/>
      <x:c r="F88" s="79"/>
      <x:c r="G88" s="79"/>
      <x:c r="H88" s="33"/>
      <x:c r="I88" s="34"/>
      <x:c r="J88" s="35"/>
      <x:c r="K88" s="35"/>
      <x:c r="L88" s="35"/>
      <x:c r="M88" s="36" t="str">
        <x:f t="shared" si="1"/>
      </x:c>
    </x:row>
    <x:row r="89" ht="25" customHeight="1">
      <x:c r="A89" s="31"/>
      <x:c r="B89" s="108"/>
      <x:c r="C89" s="33"/>
      <x:c r="D89" s="33"/>
      <x:c r="E89" s="33"/>
      <x:c r="F89" s="79"/>
      <x:c r="G89" s="79"/>
      <x:c r="H89" s="33"/>
      <x:c r="I89" s="34"/>
      <x:c r="J89" s="35"/>
      <x:c r="K89" s="35"/>
      <x:c r="L89" s="35"/>
      <x:c r="M89" s="36" t="str">
        <x:f t="shared" si="1"/>
      </x:c>
    </x:row>
    <x:row r="90" ht="25" customHeight="1">
      <x:c r="A90" s="31"/>
      <x:c r="B90" s="108"/>
      <x:c r="C90" s="33"/>
      <x:c r="D90" s="33"/>
      <x:c r="E90" s="33"/>
      <x:c r="F90" s="79"/>
      <x:c r="G90" s="79"/>
      <x:c r="H90" s="33"/>
      <x:c r="I90" s="34"/>
      <x:c r="J90" s="35"/>
      <x:c r="K90" s="35"/>
      <x:c r="L90" s="35"/>
      <x:c r="M90" s="36" t="str">
        <x:f t="shared" si="1"/>
      </x:c>
    </x:row>
    <x:row r="91" ht="25" customHeight="1">
      <x:c r="A91" s="31"/>
      <x:c r="B91" s="108"/>
      <x:c r="C91" s="33"/>
      <x:c r="D91" s="33"/>
      <x:c r="E91" s="33"/>
      <x:c r="F91" s="79"/>
      <x:c r="G91" s="79"/>
      <x:c r="H91" s="33"/>
      <x:c r="I91" s="34"/>
      <x:c r="J91" s="35"/>
      <x:c r="K91" s="35"/>
      <x:c r="L91" s="35"/>
      <x:c r="M91" s="36" t="str">
        <x:f t="shared" si="1"/>
      </x:c>
    </x:row>
    <x:row r="92" ht="25" customHeight="1">
      <x:c r="A92" s="31"/>
      <x:c r="B92" s="108"/>
      <x:c r="C92" s="33"/>
      <x:c r="D92" s="33"/>
      <x:c r="E92" s="33"/>
      <x:c r="F92" s="79"/>
      <x:c r="G92" s="79"/>
      <x:c r="H92" s="33"/>
      <x:c r="I92" s="34"/>
      <x:c r="J92" s="35"/>
      <x:c r="K92" s="35"/>
      <x:c r="L92" s="35"/>
      <x:c r="M92" s="36" t="str">
        <x:f t="shared" si="1"/>
      </x:c>
    </x:row>
    <x:row r="93" ht="25" customHeight="1">
      <x:c r="A93" s="31"/>
      <x:c r="B93" s="108"/>
      <x:c r="C93" s="33"/>
      <x:c r="D93" s="33"/>
      <x:c r="E93" s="33"/>
      <x:c r="F93" s="79"/>
      <x:c r="G93" s="79"/>
      <x:c r="H93" s="33"/>
      <x:c r="I93" s="34"/>
      <x:c r="J93" s="35"/>
      <x:c r="K93" s="35"/>
      <x:c r="L93" s="35"/>
      <x:c r="M93" s="36" t="str">
        <x:f t="shared" si="1"/>
      </x:c>
    </x:row>
    <x:row r="94" ht="25" customHeight="1">
      <x:c r="A94" s="31"/>
      <x:c r="B94" s="108"/>
      <x:c r="C94" s="33"/>
      <x:c r="D94" s="33"/>
      <x:c r="E94" s="33"/>
      <x:c r="F94" s="79"/>
      <x:c r="G94" s="79"/>
      <x:c r="H94" s="33"/>
      <x:c r="I94" s="34"/>
      <x:c r="J94" s="35"/>
      <x:c r="K94" s="35"/>
      <x:c r="L94" s="35"/>
      <x:c r="M94" s="36" t="str">
        <x:f t="shared" si="1"/>
      </x:c>
    </x:row>
    <x:row r="95" ht="25" customHeight="1">
      <x:c r="A95" s="31"/>
      <x:c r="B95" s="108"/>
      <x:c r="C95" s="33"/>
      <x:c r="D95" s="33"/>
      <x:c r="E95" s="33"/>
      <x:c r="F95" s="79"/>
      <x:c r="G95" s="79"/>
      <x:c r="H95" s="33"/>
      <x:c r="I95" s="34"/>
      <x:c r="J95" s="35"/>
      <x:c r="K95" s="35"/>
      <x:c r="L95" s="35"/>
      <x:c r="M95" s="36" t="str">
        <x:f t="shared" si="1"/>
      </x:c>
    </x:row>
    <x:row r="96" ht="25" customHeight="1">
      <x:c r="A96" s="31"/>
      <x:c r="B96" s="108"/>
      <x:c r="C96" s="33"/>
      <x:c r="D96" s="33"/>
      <x:c r="E96" s="33"/>
      <x:c r="F96" s="79"/>
      <x:c r="G96" s="79"/>
      <x:c r="H96" s="33"/>
      <x:c r="I96" s="34"/>
      <x:c r="J96" s="35"/>
      <x:c r="K96" s="35"/>
      <x:c r="L96" s="35"/>
      <x:c r="M96" s="36" t="str">
        <x:f t="shared" si="1"/>
      </x:c>
    </x:row>
    <x:row r="97" ht="25" customHeight="1">
      <x:c r="A97" s="31"/>
      <x:c r="B97" s="108"/>
      <x:c r="C97" s="33"/>
      <x:c r="D97" s="33"/>
      <x:c r="E97" s="33"/>
      <x:c r="F97" s="79"/>
      <x:c r="G97" s="79"/>
      <x:c r="H97" s="33"/>
      <x:c r="I97" s="34"/>
      <x:c r="J97" s="35"/>
      <x:c r="K97" s="35"/>
      <x:c r="L97" s="35"/>
      <x:c r="M97" s="36" t="str">
        <x:f t="shared" si="1"/>
      </x:c>
    </x:row>
    <x:row r="98" ht="25" customHeight="1">
      <x:c r="A98" s="31"/>
      <x:c r="B98" s="108"/>
      <x:c r="C98" s="33"/>
      <x:c r="D98" s="33"/>
      <x:c r="E98" s="33"/>
      <x:c r="F98" s="79"/>
      <x:c r="G98" s="79"/>
      <x:c r="H98" s="33"/>
      <x:c r="I98" s="34"/>
      <x:c r="J98" s="35"/>
      <x:c r="K98" s="35"/>
      <x:c r="L98" s="35"/>
      <x:c r="M98" s="36" t="str">
        <x:f t="shared" si="1"/>
      </x:c>
    </x:row>
    <x:row r="99" ht="25" customHeight="1">
      <x:c r="A99" s="31"/>
      <x:c r="B99" s="108"/>
      <x:c r="C99" s="33"/>
      <x:c r="D99" s="33"/>
      <x:c r="E99" s="33"/>
      <x:c r="F99" s="79"/>
      <x:c r="G99" s="79"/>
      <x:c r="H99" s="33"/>
      <x:c r="I99" s="34"/>
      <x:c r="J99" s="35"/>
      <x:c r="K99" s="35"/>
      <x:c r="L99" s="35"/>
      <x:c r="M99" s="36" t="str">
        <x:f t="shared" si="1"/>
      </x:c>
    </x:row>
    <x:row r="100" ht="25" customHeight="1">
      <x:c r="A100" s="31"/>
      <x:c r="B100" s="108"/>
      <x:c r="C100" s="33"/>
      <x:c r="D100" s="33"/>
      <x:c r="E100" s="33"/>
      <x:c r="F100" s="79"/>
      <x:c r="G100" s="79"/>
      <x:c r="H100" s="33"/>
      <x:c r="I100" s="34"/>
      <x:c r="J100" s="35"/>
      <x:c r="K100" s="35"/>
      <x:c r="L100" s="35"/>
      <x:c r="M100" s="36" t="str">
        <x:f t="shared" si="1"/>
      </x:c>
    </x:row>
    <x:row r="101" ht="25" customHeight="1">
      <x:c r="A101" s="31"/>
      <x:c r="B101" s="108"/>
      <x:c r="C101" s="33"/>
      <x:c r="D101" s="33"/>
      <x:c r="E101" s="33"/>
      <x:c r="F101" s="79"/>
      <x:c r="G101" s="79"/>
      <x:c r="H101" s="33"/>
      <x:c r="I101" s="34"/>
      <x:c r="J101" s="35"/>
      <x:c r="K101" s="35"/>
      <x:c r="L101" s="35"/>
      <x:c r="M101" s="36" t="str">
        <x:f t="shared" si="1"/>
      </x:c>
    </x:row>
    <x:row r="102" ht="25" customHeight="1">
      <x:c r="A102" s="31"/>
      <x:c r="B102" s="108"/>
      <x:c r="C102" s="33"/>
      <x:c r="D102" s="33"/>
      <x:c r="E102" s="33"/>
      <x:c r="F102" s="79"/>
      <x:c r="G102" s="79"/>
      <x:c r="H102" s="33"/>
      <x:c r="I102" s="34"/>
      <x:c r="J102" s="35"/>
      <x:c r="K102" s="35"/>
      <x:c r="L102" s="35"/>
      <x:c r="M102" s="36" t="str">
        <x:f t="shared" si="1"/>
      </x:c>
    </x:row>
    <x:row r="103" ht="25" customHeight="1">
      <x:c r="A103" s="31"/>
      <x:c r="B103" s="108"/>
      <x:c r="C103" s="33"/>
      <x:c r="D103" s="33"/>
      <x:c r="E103" s="33"/>
      <x:c r="F103" s="79"/>
      <x:c r="G103" s="79"/>
      <x:c r="H103" s="33"/>
      <x:c r="I103" s="34"/>
      <x:c r="J103" s="35"/>
      <x:c r="K103" s="35"/>
      <x:c r="L103" s="35"/>
      <x:c r="M103" s="36" t="str">
        <x:f t="shared" si="1"/>
      </x:c>
    </x:row>
    <x:row r="104" ht="25" customHeight="1">
      <x:c r="A104" s="31"/>
      <x:c r="B104" s="108"/>
      <x:c r="C104" s="33"/>
      <x:c r="D104" s="33"/>
      <x:c r="E104" s="33"/>
      <x:c r="F104" s="79"/>
      <x:c r="G104" s="79"/>
      <x:c r="H104" s="33"/>
      <x:c r="I104" s="34"/>
      <x:c r="J104" s="35"/>
      <x:c r="K104" s="35"/>
      <x:c r="L104" s="35"/>
      <x:c r="M104" s="36" t="str">
        <x:f t="shared" si="1"/>
      </x:c>
    </x:row>
    <x:row r="105" ht="25" customHeight="1">
      <x:c r="A105" s="31"/>
      <x:c r="B105" s="108"/>
      <x:c r="C105" s="33"/>
      <x:c r="D105" s="33"/>
      <x:c r="E105" s="33"/>
      <x:c r="F105" s="79"/>
      <x:c r="G105" s="79"/>
      <x:c r="H105" s="33"/>
      <x:c r="I105" s="34"/>
      <x:c r="J105" s="35"/>
      <x:c r="K105" s="35"/>
      <x:c r="L105" s="35"/>
      <x:c r="M105" s="36" t="str">
        <x:f t="shared" si="1"/>
      </x:c>
    </x:row>
    <x:row r="106" ht="25" customHeight="1">
      <x:c r="A106" s="31"/>
      <x:c r="B106" s="108"/>
      <x:c r="C106" s="33"/>
      <x:c r="D106" s="33"/>
      <x:c r="E106" s="33"/>
      <x:c r="F106" s="79"/>
      <x:c r="G106" s="79"/>
      <x:c r="H106" s="33"/>
      <x:c r="I106" s="34"/>
      <x:c r="J106" s="35"/>
      <x:c r="K106" s="35"/>
      <x:c r="L106" s="35"/>
      <x:c r="M106" s="36" t="str">
        <x:f t="shared" si="1"/>
      </x:c>
    </x:row>
    <x:row r="107" ht="25" customHeight="1">
      <x:c r="A107" s="31"/>
      <x:c r="B107" s="108"/>
      <x:c r="C107" s="33"/>
      <x:c r="D107" s="33"/>
      <x:c r="E107" s="33"/>
      <x:c r="F107" s="79"/>
      <x:c r="G107" s="79"/>
      <x:c r="H107" s="33"/>
      <x:c r="I107" s="34"/>
      <x:c r="J107" s="35"/>
      <x:c r="K107" s="35"/>
      <x:c r="L107" s="35"/>
      <x:c r="M107" s="36" t="str">
        <x:f t="shared" si="1"/>
      </x:c>
    </x:row>
    <x:row r="108" ht="25" customHeight="1">
      <x:c r="A108" s="31"/>
      <x:c r="B108" s="108"/>
      <x:c r="C108" s="33"/>
      <x:c r="D108" s="33"/>
      <x:c r="E108" s="33"/>
      <x:c r="F108" s="79"/>
      <x:c r="G108" s="79"/>
      <x:c r="H108" s="33"/>
      <x:c r="I108" s="34"/>
      <x:c r="J108" s="35"/>
      <x:c r="K108" s="35"/>
      <x:c r="L108" s="35"/>
      <x:c r="M108" s="36" t="str">
        <x:f t="shared" si="1"/>
      </x:c>
    </x:row>
    <x:row r="109" ht="25" customHeight="1">
      <x:c r="A109" s="31"/>
      <x:c r="B109" s="108"/>
      <x:c r="C109" s="33"/>
      <x:c r="D109" s="33"/>
      <x:c r="E109" s="33"/>
      <x:c r="F109" s="79"/>
      <x:c r="G109" s="79"/>
      <x:c r="H109" s="33"/>
      <x:c r="I109" s="34"/>
      <x:c r="J109" s="35"/>
      <x:c r="K109" s="35"/>
      <x:c r="L109" s="35"/>
      <x:c r="M109" s="36" t="str">
        <x:f t="shared" si="1"/>
      </x:c>
    </x:row>
    <x:row r="110" ht="25" customHeight="1">
      <x:c r="A110" s="31"/>
      <x:c r="B110" s="108"/>
      <x:c r="C110" s="33"/>
      <x:c r="D110" s="33"/>
      <x:c r="E110" s="33"/>
      <x:c r="F110" s="79"/>
      <x:c r="G110" s="79"/>
      <x:c r="H110" s="33"/>
      <x:c r="I110" s="34"/>
      <x:c r="J110" s="35"/>
      <x:c r="K110" s="35"/>
      <x:c r="L110" s="35"/>
      <x:c r="M110" s="36" t="str">
        <x:f t="shared" si="1"/>
      </x:c>
    </x:row>
    <x:row r="111" ht="25" customHeight="1">
      <x:c r="A111" s="31"/>
      <x:c r="B111" s="108"/>
      <x:c r="C111" s="33"/>
      <x:c r="D111" s="33"/>
      <x:c r="E111" s="33"/>
      <x:c r="F111" s="79"/>
      <x:c r="G111" s="79"/>
      <x:c r="H111" s="33"/>
      <x:c r="I111" s="34"/>
      <x:c r="J111" s="35"/>
      <x:c r="K111" s="35"/>
      <x:c r="L111" s="35"/>
      <x:c r="M111" s="36" t="str">
        <x:f t="shared" si="1"/>
      </x:c>
    </x:row>
    <x:row r="112" ht="25" customHeight="1">
      <x:c r="A112" s="31"/>
      <x:c r="B112" s="108"/>
      <x:c r="C112" s="33"/>
      <x:c r="D112" s="33"/>
      <x:c r="E112" s="33"/>
      <x:c r="F112" s="79"/>
      <x:c r="G112" s="79"/>
      <x:c r="H112" s="33"/>
      <x:c r="I112" s="34"/>
      <x:c r="J112" s="35"/>
      <x:c r="K112" s="35"/>
      <x:c r="L112" s="35"/>
      <x:c r="M112" s="36" t="str">
        <x:f t="shared" si="1"/>
      </x:c>
    </x:row>
    <x:row r="113" ht="25" customHeight="1">
      <x:c r="A113" s="31"/>
      <x:c r="B113" s="108"/>
      <x:c r="C113" s="33"/>
      <x:c r="D113" s="33"/>
      <x:c r="E113" s="33"/>
      <x:c r="F113" s="79"/>
      <x:c r="G113" s="79"/>
      <x:c r="H113" s="33"/>
      <x:c r="I113" s="34"/>
      <x:c r="J113" s="35"/>
      <x:c r="K113" s="35"/>
      <x:c r="L113" s="35"/>
      <x:c r="M113" s="36" t="str">
        <x:f t="shared" si="1"/>
      </x:c>
    </x:row>
    <x:row r="114" ht="25" customHeight="1">
      <x:c r="A114" s="31"/>
      <x:c r="B114" s="108"/>
      <x:c r="C114" s="33"/>
      <x:c r="D114" s="33"/>
      <x:c r="E114" s="33"/>
      <x:c r="F114" s="79"/>
      <x:c r="G114" s="79"/>
      <x:c r="H114" s="33"/>
      <x:c r="I114" s="34"/>
      <x:c r="J114" s="35"/>
      <x:c r="K114" s="35"/>
      <x:c r="L114" s="35"/>
      <x:c r="M114" s="36" t="str">
        <x:f t="shared" si="1"/>
      </x:c>
    </x:row>
    <x:row r="115" ht="25" customHeight="1">
      <x:c r="A115" s="31"/>
      <x:c r="B115" s="108"/>
      <x:c r="C115" s="33"/>
      <x:c r="D115" s="33"/>
      <x:c r="E115" s="33"/>
      <x:c r="F115" s="79"/>
      <x:c r="G115" s="79"/>
      <x:c r="H115" s="33"/>
      <x:c r="I115" s="34"/>
      <x:c r="J115" s="35"/>
      <x:c r="K115" s="35"/>
      <x:c r="L115" s="35"/>
      <x:c r="M115" s="36" t="str">
        <x:f t="shared" si="1"/>
      </x:c>
    </x:row>
    <x:row r="116" ht="25" customHeight="1">
      <x:c r="A116" s="31"/>
      <x:c r="B116" s="108"/>
      <x:c r="C116" s="33"/>
      <x:c r="D116" s="33"/>
      <x:c r="E116" s="33"/>
      <x:c r="F116" s="79"/>
      <x:c r="G116" s="79"/>
      <x:c r="H116" s="33"/>
      <x:c r="I116" s="34"/>
      <x:c r="J116" s="35"/>
      <x:c r="K116" s="35"/>
      <x:c r="L116" s="35"/>
      <x:c r="M116" s="36" t="str">
        <x:f t="shared" si="1"/>
      </x:c>
    </x:row>
    <x:row r="117" ht="25" customHeight="1">
      <x:c r="A117" s="31"/>
      <x:c r="B117" s="108"/>
      <x:c r="C117" s="33"/>
      <x:c r="D117" s="33"/>
      <x:c r="E117" s="33"/>
      <x:c r="F117" s="79"/>
      <x:c r="G117" s="79"/>
      <x:c r="H117" s="33"/>
      <x:c r="I117" s="34"/>
      <x:c r="J117" s="35"/>
      <x:c r="K117" s="35"/>
      <x:c r="L117" s="35"/>
      <x:c r="M117" s="36" t="str">
        <x:f t="shared" si="1"/>
      </x:c>
    </x:row>
    <x:row r="118" ht="25" customHeight="1">
      <x:c r="A118" s="31"/>
      <x:c r="B118" s="108"/>
      <x:c r="C118" s="33"/>
      <x:c r="D118" s="33"/>
      <x:c r="E118" s="33"/>
      <x:c r="F118" s="79"/>
      <x:c r="G118" s="79"/>
      <x:c r="H118" s="33"/>
      <x:c r="I118" s="34"/>
      <x:c r="J118" s="35"/>
      <x:c r="K118" s="35"/>
      <x:c r="L118" s="35"/>
      <x:c r="M118" s="36" t="str">
        <x:f t="shared" si="1"/>
      </x:c>
    </x:row>
    <x:row r="119" ht="25" customHeight="1">
      <x:c r="A119" s="31"/>
      <x:c r="B119" s="108"/>
      <x:c r="C119" s="33"/>
      <x:c r="D119" s="33"/>
      <x:c r="E119" s="33"/>
      <x:c r="F119" s="79"/>
      <x:c r="G119" s="79"/>
      <x:c r="H119" s="33"/>
      <x:c r="I119" s="34"/>
      <x:c r="J119" s="35"/>
      <x:c r="K119" s="35"/>
      <x:c r="L119" s="35"/>
      <x:c r="M119" s="36" t="str">
        <x:f t="shared" si="1"/>
      </x:c>
    </x:row>
    <x:row r="120" ht="25" customHeight="1">
      <x:c r="A120" s="31"/>
      <x:c r="B120" s="108"/>
      <x:c r="C120" s="33"/>
      <x:c r="D120" s="33"/>
      <x:c r="E120" s="33"/>
      <x:c r="F120" s="79"/>
      <x:c r="G120" s="79"/>
      <x:c r="H120" s="33"/>
      <x:c r="I120" s="34"/>
      <x:c r="J120" s="35"/>
      <x:c r="K120" s="35"/>
      <x:c r="L120" s="35"/>
      <x:c r="M120" s="36" t="str">
        <x:f t="shared" si="1"/>
      </x:c>
    </x:row>
    <x:row r="121" ht="25" customHeight="1">
      <x:c r="A121" s="31"/>
      <x:c r="B121" s="108"/>
      <x:c r="C121" s="33"/>
      <x:c r="D121" s="33"/>
      <x:c r="E121" s="33"/>
      <x:c r="F121" s="79"/>
      <x:c r="G121" s="79"/>
      <x:c r="H121" s="33"/>
      <x:c r="I121" s="34"/>
      <x:c r="J121" s="35"/>
      <x:c r="K121" s="35"/>
      <x:c r="L121" s="35"/>
      <x:c r="M121" s="36" t="str">
        <x:f t="shared" si="1"/>
      </x:c>
    </x:row>
    <x:row r="122" ht="25" customHeight="1">
      <x:c r="A122" s="31"/>
      <x:c r="B122" s="108"/>
      <x:c r="C122" s="33"/>
      <x:c r="D122" s="33"/>
      <x:c r="E122" s="33"/>
      <x:c r="F122" s="79"/>
      <x:c r="G122" s="79"/>
      <x:c r="H122" s="33"/>
      <x:c r="I122" s="34"/>
      <x:c r="J122" s="35"/>
      <x:c r="K122" s="35"/>
      <x:c r="L122" s="35"/>
      <x:c r="M122" s="36" t="str">
        <x:f t="shared" si="1"/>
      </x:c>
    </x:row>
    <x:row r="123" ht="25" customHeight="1">
      <x:c r="A123" s="31"/>
      <x:c r="B123" s="108"/>
      <x:c r="C123" s="33"/>
      <x:c r="D123" s="33"/>
      <x:c r="E123" s="33"/>
      <x:c r="F123" s="79"/>
      <x:c r="G123" s="79"/>
      <x:c r="H123" s="33"/>
      <x:c r="I123" s="34"/>
      <x:c r="J123" s="35"/>
      <x:c r="K123" s="35"/>
      <x:c r="L123" s="35"/>
      <x:c r="M123" s="36" t="str">
        <x:f t="shared" si="1"/>
      </x:c>
    </x:row>
    <x:row r="124" ht="25" customHeight="1">
      <x:c r="A124" s="31"/>
      <x:c r="B124" s="108"/>
      <x:c r="C124" s="33"/>
      <x:c r="D124" s="33"/>
      <x:c r="E124" s="33"/>
      <x:c r="F124" s="79"/>
      <x:c r="G124" s="79"/>
      <x:c r="H124" s="33"/>
      <x:c r="I124" s="34"/>
      <x:c r="J124" s="35"/>
      <x:c r="K124" s="35"/>
      <x:c r="L124" s="35"/>
      <x:c r="M124" s="36" t="str">
        <x:f t="shared" si="1"/>
      </x:c>
    </x:row>
    <x:row r="125" ht="25" customHeight="1">
      <x:c r="A125" s="31"/>
      <x:c r="B125" s="108"/>
      <x:c r="C125" s="33"/>
      <x:c r="D125" s="33"/>
      <x:c r="E125" s="33"/>
      <x:c r="F125" s="79"/>
      <x:c r="G125" s="79"/>
      <x:c r="H125" s="33"/>
      <x:c r="I125" s="34"/>
      <x:c r="J125" s="35"/>
      <x:c r="K125" s="35"/>
      <x:c r="L125" s="35"/>
      <x:c r="M125" s="36" t="str">
        <x:f t="shared" si="1"/>
      </x:c>
    </x:row>
    <x:row r="126" ht="25" customHeight="1">
      <x:c r="A126" s="31"/>
      <x:c r="B126" s="108"/>
      <x:c r="C126" s="33"/>
      <x:c r="D126" s="33"/>
      <x:c r="E126" s="33"/>
      <x:c r="F126" s="79"/>
      <x:c r="G126" s="79"/>
      <x:c r="H126" s="33"/>
      <x:c r="I126" s="34"/>
      <x:c r="J126" s="35"/>
      <x:c r="K126" s="35"/>
      <x:c r="L126" s="35"/>
      <x:c r="M126" s="36" t="str">
        <x:f t="shared" si="1"/>
      </x:c>
    </x:row>
    <x:row r="127" ht="25" customHeight="1">
      <x:c r="A127" s="31"/>
      <x:c r="B127" s="108"/>
      <x:c r="C127" s="33"/>
      <x:c r="D127" s="33"/>
      <x:c r="E127" s="33"/>
      <x:c r="F127" s="79"/>
      <x:c r="G127" s="79"/>
      <x:c r="H127" s="33"/>
      <x:c r="I127" s="34"/>
      <x:c r="J127" s="35"/>
      <x:c r="K127" s="35"/>
      <x:c r="L127" s="35"/>
      <x:c r="M127" s="36" t="str">
        <x:f t="shared" si="1"/>
      </x:c>
    </x:row>
    <x:row r="128" ht="25" customHeight="1">
      <x:c r="A128" s="31"/>
      <x:c r="B128" s="108"/>
      <x:c r="C128" s="33"/>
      <x:c r="D128" s="33"/>
      <x:c r="E128" s="33"/>
      <x:c r="F128" s="79"/>
      <x:c r="G128" s="79"/>
      <x:c r="H128" s="33"/>
      <x:c r="I128" s="34"/>
      <x:c r="J128" s="35"/>
      <x:c r="K128" s="35"/>
      <x:c r="L128" s="35"/>
      <x:c r="M128" s="36" t="str">
        <x:f t="shared" si="1"/>
      </x:c>
    </x:row>
    <x:row r="129" ht="25" customHeight="1">
      <x:c r="A129" s="31"/>
      <x:c r="B129" s="108"/>
      <x:c r="C129" s="33"/>
      <x:c r="D129" s="33"/>
      <x:c r="E129" s="33"/>
      <x:c r="F129" s="79"/>
      <x:c r="G129" s="79"/>
      <x:c r="H129" s="33"/>
      <x:c r="I129" s="34"/>
      <x:c r="J129" s="35"/>
      <x:c r="K129" s="35"/>
      <x:c r="L129" s="35"/>
      <x:c r="M129" s="36" t="str">
        <x:f t="shared" si="1"/>
      </x:c>
    </x:row>
    <x:row r="130" ht="25" customHeight="1">
      <x:c r="A130" s="31"/>
      <x:c r="B130" s="108"/>
      <x:c r="C130" s="33"/>
      <x:c r="D130" s="33"/>
      <x:c r="E130" s="33"/>
      <x:c r="F130" s="79"/>
      <x:c r="G130" s="79"/>
      <x:c r="H130" s="33"/>
      <x:c r="I130" s="34"/>
      <x:c r="J130" s="35"/>
      <x:c r="K130" s="35"/>
      <x:c r="L130" s="35"/>
      <x:c r="M130" s="36" t="str">
        <x:f t="shared" ref="M130:M193" si="2">IF(A130="","",IF(NOT(ISNUMBER(F130)),"확인 필요",IF(G130="","재직 중",IF(NOT(ISNUMBER(G130)),"확인 필요",IF(G130&lt;F130,"확인 필요",(G130-F130+1)&amp;"일")))))</x:f>
      </x:c>
    </x:row>
    <x:row r="131" ht="25" customHeight="1">
      <x:c r="A131" s="31"/>
      <x:c r="B131" s="108"/>
      <x:c r="C131" s="33"/>
      <x:c r="D131" s="33"/>
      <x:c r="E131" s="33"/>
      <x:c r="F131" s="79"/>
      <x:c r="G131" s="79"/>
      <x:c r="H131" s="33"/>
      <x:c r="I131" s="34"/>
      <x:c r="J131" s="35"/>
      <x:c r="K131" s="35"/>
      <x:c r="L131" s="35"/>
      <x:c r="M131" s="36" t="str">
        <x:f t="shared" si="2"/>
      </x:c>
    </x:row>
    <x:row r="132" ht="25" customHeight="1">
      <x:c r="A132" s="31"/>
      <x:c r="B132" s="108"/>
      <x:c r="C132" s="33"/>
      <x:c r="D132" s="33"/>
      <x:c r="E132" s="33"/>
      <x:c r="F132" s="79"/>
      <x:c r="G132" s="79"/>
      <x:c r="H132" s="33"/>
      <x:c r="I132" s="34"/>
      <x:c r="J132" s="35"/>
      <x:c r="K132" s="35"/>
      <x:c r="L132" s="35"/>
      <x:c r="M132" s="36" t="str">
        <x:f t="shared" si="2"/>
      </x:c>
    </x:row>
    <x:row r="133" ht="25" customHeight="1">
      <x:c r="A133" s="31"/>
      <x:c r="B133" s="108"/>
      <x:c r="C133" s="33"/>
      <x:c r="D133" s="33"/>
      <x:c r="E133" s="33"/>
      <x:c r="F133" s="79"/>
      <x:c r="G133" s="79"/>
      <x:c r="H133" s="33"/>
      <x:c r="I133" s="34"/>
      <x:c r="J133" s="35"/>
      <x:c r="K133" s="35"/>
      <x:c r="L133" s="35"/>
      <x:c r="M133" s="36" t="str">
        <x:f t="shared" si="2"/>
      </x:c>
    </x:row>
    <x:row r="134" ht="25" customHeight="1">
      <x:c r="A134" s="31"/>
      <x:c r="B134" s="108"/>
      <x:c r="C134" s="33"/>
      <x:c r="D134" s="33"/>
      <x:c r="E134" s="33"/>
      <x:c r="F134" s="79"/>
      <x:c r="G134" s="79"/>
      <x:c r="H134" s="33"/>
      <x:c r="I134" s="34"/>
      <x:c r="J134" s="35"/>
      <x:c r="K134" s="35"/>
      <x:c r="L134" s="35"/>
      <x:c r="M134" s="36" t="str">
        <x:f t="shared" si="2"/>
      </x:c>
    </x:row>
    <x:row r="135" ht="25" customHeight="1">
      <x:c r="A135" s="31"/>
      <x:c r="B135" s="108"/>
      <x:c r="C135" s="33"/>
      <x:c r="D135" s="33"/>
      <x:c r="E135" s="33"/>
      <x:c r="F135" s="79"/>
      <x:c r="G135" s="79"/>
      <x:c r="H135" s="33"/>
      <x:c r="I135" s="34"/>
      <x:c r="J135" s="35"/>
      <x:c r="K135" s="35"/>
      <x:c r="L135" s="35"/>
      <x:c r="M135" s="36" t="str">
        <x:f t="shared" si="2"/>
      </x:c>
    </x:row>
    <x:row r="136" ht="25" customHeight="1">
      <x:c r="A136" s="31"/>
      <x:c r="B136" s="108"/>
      <x:c r="C136" s="33"/>
      <x:c r="D136" s="33"/>
      <x:c r="E136" s="33"/>
      <x:c r="F136" s="79"/>
      <x:c r="G136" s="79"/>
      <x:c r="H136" s="33"/>
      <x:c r="I136" s="34"/>
      <x:c r="J136" s="35"/>
      <x:c r="K136" s="35"/>
      <x:c r="L136" s="35"/>
      <x:c r="M136" s="36" t="str">
        <x:f t="shared" si="2"/>
      </x:c>
    </x:row>
    <x:row r="137" ht="25" customHeight="1">
      <x:c r="A137" s="31"/>
      <x:c r="B137" s="108"/>
      <x:c r="C137" s="33"/>
      <x:c r="D137" s="33"/>
      <x:c r="E137" s="33"/>
      <x:c r="F137" s="79"/>
      <x:c r="G137" s="79"/>
      <x:c r="H137" s="33"/>
      <x:c r="I137" s="34"/>
      <x:c r="J137" s="35"/>
      <x:c r="K137" s="35"/>
      <x:c r="L137" s="35"/>
      <x:c r="M137" s="36" t="str">
        <x:f t="shared" si="2"/>
      </x:c>
    </x:row>
    <x:row r="138" ht="25" customHeight="1">
      <x:c r="A138" s="31"/>
      <x:c r="B138" s="108"/>
      <x:c r="C138" s="33"/>
      <x:c r="D138" s="33"/>
      <x:c r="E138" s="33"/>
      <x:c r="F138" s="79"/>
      <x:c r="G138" s="79"/>
      <x:c r="H138" s="33"/>
      <x:c r="I138" s="34"/>
      <x:c r="J138" s="35"/>
      <x:c r="K138" s="35"/>
      <x:c r="L138" s="35"/>
      <x:c r="M138" s="36" t="str">
        <x:f t="shared" si="2"/>
      </x:c>
    </x:row>
    <x:row r="139" ht="25" customHeight="1">
      <x:c r="A139" s="31"/>
      <x:c r="B139" s="108"/>
      <x:c r="C139" s="33"/>
      <x:c r="D139" s="33"/>
      <x:c r="E139" s="33"/>
      <x:c r="F139" s="79"/>
      <x:c r="G139" s="79"/>
      <x:c r="H139" s="33"/>
      <x:c r="I139" s="34"/>
      <x:c r="J139" s="35"/>
      <x:c r="K139" s="35"/>
      <x:c r="L139" s="35"/>
      <x:c r="M139" s="36" t="str">
        <x:f t="shared" si="2"/>
      </x:c>
    </x:row>
    <x:row r="140" ht="25" customHeight="1">
      <x:c r="A140" s="31"/>
      <x:c r="B140" s="108"/>
      <x:c r="C140" s="33"/>
      <x:c r="D140" s="33"/>
      <x:c r="E140" s="33"/>
      <x:c r="F140" s="79"/>
      <x:c r="G140" s="79"/>
      <x:c r="H140" s="33"/>
      <x:c r="I140" s="34"/>
      <x:c r="J140" s="35"/>
      <x:c r="K140" s="35"/>
      <x:c r="L140" s="35"/>
      <x:c r="M140" s="36" t="str">
        <x:f t="shared" si="2"/>
      </x:c>
    </x:row>
    <x:row r="141" ht="25" customHeight="1">
      <x:c r="A141" s="31"/>
      <x:c r="B141" s="108"/>
      <x:c r="C141" s="33"/>
      <x:c r="D141" s="33"/>
      <x:c r="E141" s="33"/>
      <x:c r="F141" s="79"/>
      <x:c r="G141" s="79"/>
      <x:c r="H141" s="33"/>
      <x:c r="I141" s="34"/>
      <x:c r="J141" s="35"/>
      <x:c r="K141" s="35"/>
      <x:c r="L141" s="35"/>
      <x:c r="M141" s="36" t="str">
        <x:f t="shared" si="2"/>
      </x:c>
    </x:row>
    <x:row r="142" ht="25" customHeight="1">
      <x:c r="A142" s="31"/>
      <x:c r="B142" s="108"/>
      <x:c r="C142" s="33"/>
      <x:c r="D142" s="33"/>
      <x:c r="E142" s="33"/>
      <x:c r="F142" s="79"/>
      <x:c r="G142" s="79"/>
      <x:c r="H142" s="33"/>
      <x:c r="I142" s="34"/>
      <x:c r="J142" s="35"/>
      <x:c r="K142" s="35"/>
      <x:c r="L142" s="35"/>
      <x:c r="M142" s="36" t="str">
        <x:f t="shared" si="2"/>
      </x:c>
    </x:row>
    <x:row r="143" ht="25" customHeight="1">
      <x:c r="A143" s="31"/>
      <x:c r="B143" s="108"/>
      <x:c r="C143" s="33"/>
      <x:c r="D143" s="33"/>
      <x:c r="E143" s="33"/>
      <x:c r="F143" s="79"/>
      <x:c r="G143" s="79"/>
      <x:c r="H143" s="33"/>
      <x:c r="I143" s="34"/>
      <x:c r="J143" s="35"/>
      <x:c r="K143" s="35"/>
      <x:c r="L143" s="35"/>
      <x:c r="M143" s="36" t="str">
        <x:f t="shared" si="2"/>
      </x:c>
    </x:row>
    <x:row r="144" ht="25" customHeight="1">
      <x:c r="A144" s="31"/>
      <x:c r="B144" s="108"/>
      <x:c r="C144" s="33"/>
      <x:c r="D144" s="33"/>
      <x:c r="E144" s="33"/>
      <x:c r="F144" s="79"/>
      <x:c r="G144" s="79"/>
      <x:c r="H144" s="33"/>
      <x:c r="I144" s="34"/>
      <x:c r="J144" s="35"/>
      <x:c r="K144" s="35"/>
      <x:c r="L144" s="35"/>
      <x:c r="M144" s="36" t="str">
        <x:f t="shared" si="2"/>
      </x:c>
    </x:row>
    <x:row r="145" ht="25" customHeight="1">
      <x:c r="A145" s="31"/>
      <x:c r="B145" s="108"/>
      <x:c r="C145" s="33"/>
      <x:c r="D145" s="33"/>
      <x:c r="E145" s="33"/>
      <x:c r="F145" s="79"/>
      <x:c r="G145" s="79"/>
      <x:c r="H145" s="33"/>
      <x:c r="I145" s="34"/>
      <x:c r="J145" s="35"/>
      <x:c r="K145" s="35"/>
      <x:c r="L145" s="35"/>
      <x:c r="M145" s="36" t="str">
        <x:f t="shared" si="2"/>
      </x:c>
    </x:row>
    <x:row r="146" ht="25" customHeight="1">
      <x:c r="A146" s="31"/>
      <x:c r="B146" s="108"/>
      <x:c r="C146" s="33"/>
      <x:c r="D146" s="33"/>
      <x:c r="E146" s="33"/>
      <x:c r="F146" s="79"/>
      <x:c r="G146" s="79"/>
      <x:c r="H146" s="33"/>
      <x:c r="I146" s="34"/>
      <x:c r="J146" s="35"/>
      <x:c r="K146" s="35"/>
      <x:c r="L146" s="35"/>
      <x:c r="M146" s="36" t="str">
        <x:f t="shared" si="2"/>
      </x:c>
    </x:row>
    <x:row r="147" ht="25" customHeight="1">
      <x:c r="A147" s="31"/>
      <x:c r="B147" s="108"/>
      <x:c r="C147" s="33"/>
      <x:c r="D147" s="33"/>
      <x:c r="E147" s="33"/>
      <x:c r="F147" s="79"/>
      <x:c r="G147" s="79"/>
      <x:c r="H147" s="33"/>
      <x:c r="I147" s="34"/>
      <x:c r="J147" s="35"/>
      <x:c r="K147" s="35"/>
      <x:c r="L147" s="35"/>
      <x:c r="M147" s="36" t="str">
        <x:f t="shared" si="2"/>
      </x:c>
    </x:row>
    <x:row r="148" ht="25" customHeight="1">
      <x:c r="A148" s="31"/>
      <x:c r="B148" s="108"/>
      <x:c r="C148" s="33"/>
      <x:c r="D148" s="33"/>
      <x:c r="E148" s="33"/>
      <x:c r="F148" s="79"/>
      <x:c r="G148" s="79"/>
      <x:c r="H148" s="33"/>
      <x:c r="I148" s="34"/>
      <x:c r="J148" s="35"/>
      <x:c r="K148" s="35"/>
      <x:c r="L148" s="35"/>
      <x:c r="M148" s="36" t="str">
        <x:f t="shared" si="2"/>
      </x:c>
    </x:row>
    <x:row r="149" ht="25" customHeight="1">
      <x:c r="A149" s="31"/>
      <x:c r="B149" s="108"/>
      <x:c r="C149" s="33"/>
      <x:c r="D149" s="33"/>
      <x:c r="E149" s="33"/>
      <x:c r="F149" s="79"/>
      <x:c r="G149" s="79"/>
      <x:c r="H149" s="33"/>
      <x:c r="I149" s="34"/>
      <x:c r="J149" s="35"/>
      <x:c r="K149" s="35"/>
      <x:c r="L149" s="35"/>
      <x:c r="M149" s="36" t="str">
        <x:f t="shared" si="2"/>
      </x:c>
    </x:row>
    <x:row r="150" ht="25" customHeight="1">
      <x:c r="A150" s="31"/>
      <x:c r="B150" s="108"/>
      <x:c r="C150" s="33"/>
      <x:c r="D150" s="33"/>
      <x:c r="E150" s="33"/>
      <x:c r="F150" s="79"/>
      <x:c r="G150" s="79"/>
      <x:c r="H150" s="33"/>
      <x:c r="I150" s="34"/>
      <x:c r="J150" s="35"/>
      <x:c r="K150" s="35"/>
      <x:c r="L150" s="35"/>
      <x:c r="M150" s="36" t="str">
        <x:f t="shared" si="2"/>
      </x:c>
    </x:row>
    <x:row r="151" ht="25" customHeight="1">
      <x:c r="A151" s="31"/>
      <x:c r="B151" s="108"/>
      <x:c r="C151" s="33"/>
      <x:c r="D151" s="33"/>
      <x:c r="E151" s="33"/>
      <x:c r="F151" s="79"/>
      <x:c r="G151" s="79"/>
      <x:c r="H151" s="33"/>
      <x:c r="I151" s="34"/>
      <x:c r="J151" s="35"/>
      <x:c r="K151" s="35"/>
      <x:c r="L151" s="35"/>
      <x:c r="M151" s="36" t="str">
        <x:f t="shared" si="2"/>
      </x:c>
    </x:row>
    <x:row r="152" ht="25" customHeight="1">
      <x:c r="A152" s="31"/>
      <x:c r="B152" s="108"/>
      <x:c r="C152" s="33"/>
      <x:c r="D152" s="33"/>
      <x:c r="E152" s="33"/>
      <x:c r="F152" s="79"/>
      <x:c r="G152" s="79"/>
      <x:c r="H152" s="33"/>
      <x:c r="I152" s="34"/>
      <x:c r="J152" s="35"/>
      <x:c r="K152" s="35"/>
      <x:c r="L152" s="35"/>
      <x:c r="M152" s="36" t="str">
        <x:f t="shared" si="2"/>
      </x:c>
    </x:row>
    <x:row r="153" ht="25" customHeight="1">
      <x:c r="A153" s="31"/>
      <x:c r="B153" s="108"/>
      <x:c r="C153" s="33"/>
      <x:c r="D153" s="33"/>
      <x:c r="E153" s="33"/>
      <x:c r="F153" s="79"/>
      <x:c r="G153" s="79"/>
      <x:c r="H153" s="33"/>
      <x:c r="I153" s="34"/>
      <x:c r="J153" s="35"/>
      <x:c r="K153" s="35"/>
      <x:c r="L153" s="35"/>
      <x:c r="M153" s="36" t="str">
        <x:f t="shared" si="2"/>
      </x:c>
    </x:row>
    <x:row r="154" ht="25" customHeight="1">
      <x:c r="A154" s="31"/>
      <x:c r="B154" s="108"/>
      <x:c r="C154" s="33"/>
      <x:c r="D154" s="33"/>
      <x:c r="E154" s="33"/>
      <x:c r="F154" s="79"/>
      <x:c r="G154" s="79"/>
      <x:c r="H154" s="33"/>
      <x:c r="I154" s="34"/>
      <x:c r="J154" s="35"/>
      <x:c r="K154" s="35"/>
      <x:c r="L154" s="35"/>
      <x:c r="M154" s="36" t="str">
        <x:f t="shared" si="2"/>
      </x:c>
    </x:row>
    <x:row r="155" ht="25" customHeight="1">
      <x:c r="A155" s="31"/>
      <x:c r="B155" s="108"/>
      <x:c r="C155" s="33"/>
      <x:c r="D155" s="33"/>
      <x:c r="E155" s="33"/>
      <x:c r="F155" s="79"/>
      <x:c r="G155" s="79"/>
      <x:c r="H155" s="33"/>
      <x:c r="I155" s="34"/>
      <x:c r="J155" s="35"/>
      <x:c r="K155" s="35"/>
      <x:c r="L155" s="35"/>
      <x:c r="M155" s="36" t="str">
        <x:f t="shared" si="2"/>
      </x:c>
    </x:row>
    <x:row r="156" ht="25" customHeight="1">
      <x:c r="A156" s="31"/>
      <x:c r="B156" s="108"/>
      <x:c r="C156" s="33"/>
      <x:c r="D156" s="33"/>
      <x:c r="E156" s="33"/>
      <x:c r="F156" s="79"/>
      <x:c r="G156" s="79"/>
      <x:c r="H156" s="33"/>
      <x:c r="I156" s="34"/>
      <x:c r="J156" s="35"/>
      <x:c r="K156" s="35"/>
      <x:c r="L156" s="35"/>
      <x:c r="M156" s="36" t="str">
        <x:f t="shared" si="2"/>
      </x:c>
    </x:row>
    <x:row r="157" ht="25" customHeight="1">
      <x:c r="A157" s="31"/>
      <x:c r="B157" s="108"/>
      <x:c r="C157" s="33"/>
      <x:c r="D157" s="33"/>
      <x:c r="E157" s="33"/>
      <x:c r="F157" s="79"/>
      <x:c r="G157" s="79"/>
      <x:c r="H157" s="33"/>
      <x:c r="I157" s="34"/>
      <x:c r="J157" s="35"/>
      <x:c r="K157" s="35"/>
      <x:c r="L157" s="35"/>
      <x:c r="M157" s="36" t="str">
        <x:f t="shared" si="2"/>
      </x:c>
    </x:row>
    <x:row r="158" ht="25" customHeight="1">
      <x:c r="A158" s="31"/>
      <x:c r="B158" s="108"/>
      <x:c r="C158" s="33"/>
      <x:c r="D158" s="33"/>
      <x:c r="E158" s="33"/>
      <x:c r="F158" s="79"/>
      <x:c r="G158" s="79"/>
      <x:c r="H158" s="33"/>
      <x:c r="I158" s="34"/>
      <x:c r="J158" s="35"/>
      <x:c r="K158" s="35"/>
      <x:c r="L158" s="35"/>
      <x:c r="M158" s="36" t="str">
        <x:f t="shared" si="2"/>
      </x:c>
    </x:row>
    <x:row r="159" ht="25" customHeight="1">
      <x:c r="A159" s="31"/>
      <x:c r="B159" s="108"/>
      <x:c r="C159" s="33"/>
      <x:c r="D159" s="33"/>
      <x:c r="E159" s="33"/>
      <x:c r="F159" s="79"/>
      <x:c r="G159" s="79"/>
      <x:c r="H159" s="33"/>
      <x:c r="I159" s="34"/>
      <x:c r="J159" s="35"/>
      <x:c r="K159" s="35"/>
      <x:c r="L159" s="35"/>
      <x:c r="M159" s="36" t="str">
        <x:f t="shared" si="2"/>
      </x:c>
    </x:row>
    <x:row r="160" ht="25" customHeight="1">
      <x:c r="A160" s="31"/>
      <x:c r="B160" s="108"/>
      <x:c r="C160" s="33"/>
      <x:c r="D160" s="33"/>
      <x:c r="E160" s="33"/>
      <x:c r="F160" s="79"/>
      <x:c r="G160" s="79"/>
      <x:c r="H160" s="33"/>
      <x:c r="I160" s="34"/>
      <x:c r="J160" s="35"/>
      <x:c r="K160" s="35"/>
      <x:c r="L160" s="35"/>
      <x:c r="M160" s="36" t="str">
        <x:f t="shared" si="2"/>
      </x:c>
    </x:row>
    <x:row r="161" ht="25" customHeight="1">
      <x:c r="A161" s="31"/>
      <x:c r="B161" s="108"/>
      <x:c r="C161" s="33"/>
      <x:c r="D161" s="33"/>
      <x:c r="E161" s="33"/>
      <x:c r="F161" s="79"/>
      <x:c r="G161" s="79"/>
      <x:c r="H161" s="33"/>
      <x:c r="I161" s="34"/>
      <x:c r="J161" s="35"/>
      <x:c r="K161" s="35"/>
      <x:c r="L161" s="35"/>
      <x:c r="M161" s="36" t="str">
        <x:f t="shared" si="2"/>
      </x:c>
    </x:row>
    <x:row r="162" ht="25" customHeight="1">
      <x:c r="A162" s="31"/>
      <x:c r="B162" s="108"/>
      <x:c r="C162" s="33"/>
      <x:c r="D162" s="33"/>
      <x:c r="E162" s="33"/>
      <x:c r="F162" s="79"/>
      <x:c r="G162" s="79"/>
      <x:c r="H162" s="33"/>
      <x:c r="I162" s="34"/>
      <x:c r="J162" s="35"/>
      <x:c r="K162" s="35"/>
      <x:c r="L162" s="35"/>
      <x:c r="M162" s="36" t="str">
        <x:f t="shared" si="2"/>
      </x:c>
    </x:row>
    <x:row r="163" ht="25" customHeight="1">
      <x:c r="A163" s="31"/>
      <x:c r="B163" s="108"/>
      <x:c r="C163" s="33"/>
      <x:c r="D163" s="33"/>
      <x:c r="E163" s="33"/>
      <x:c r="F163" s="79"/>
      <x:c r="G163" s="79"/>
      <x:c r="H163" s="33"/>
      <x:c r="I163" s="34"/>
      <x:c r="J163" s="35"/>
      <x:c r="K163" s="35"/>
      <x:c r="L163" s="35"/>
      <x:c r="M163" s="36" t="str">
        <x:f t="shared" si="2"/>
      </x:c>
    </x:row>
    <x:row r="164" ht="25" customHeight="1">
      <x:c r="A164" s="31"/>
      <x:c r="B164" s="108"/>
      <x:c r="C164" s="33"/>
      <x:c r="D164" s="33"/>
      <x:c r="E164" s="33"/>
      <x:c r="F164" s="79"/>
      <x:c r="G164" s="79"/>
      <x:c r="H164" s="33"/>
      <x:c r="I164" s="34"/>
      <x:c r="J164" s="35"/>
      <x:c r="K164" s="35"/>
      <x:c r="L164" s="35"/>
      <x:c r="M164" s="36" t="str">
        <x:f t="shared" si="2"/>
      </x:c>
    </x:row>
    <x:row r="165" ht="25" customHeight="1">
      <x:c r="A165" s="31"/>
      <x:c r="B165" s="108"/>
      <x:c r="C165" s="33"/>
      <x:c r="D165" s="33"/>
      <x:c r="E165" s="33"/>
      <x:c r="F165" s="79"/>
      <x:c r="G165" s="79"/>
      <x:c r="H165" s="33"/>
      <x:c r="I165" s="34"/>
      <x:c r="J165" s="35"/>
      <x:c r="K165" s="35"/>
      <x:c r="L165" s="35"/>
      <x:c r="M165" s="36" t="str">
        <x:f t="shared" si="2"/>
      </x:c>
    </x:row>
    <x:row r="166" ht="25" customHeight="1">
      <x:c r="A166" s="31"/>
      <x:c r="B166" s="108"/>
      <x:c r="C166" s="33"/>
      <x:c r="D166" s="33"/>
      <x:c r="E166" s="33"/>
      <x:c r="F166" s="79"/>
      <x:c r="G166" s="79"/>
      <x:c r="H166" s="33"/>
      <x:c r="I166" s="34"/>
      <x:c r="J166" s="35"/>
      <x:c r="K166" s="35"/>
      <x:c r="L166" s="35"/>
      <x:c r="M166" s="36" t="str">
        <x:f t="shared" si="2"/>
      </x:c>
    </x:row>
    <x:row r="167" ht="25" customHeight="1">
      <x:c r="A167" s="31"/>
      <x:c r="B167" s="108"/>
      <x:c r="C167" s="33"/>
      <x:c r="D167" s="33"/>
      <x:c r="E167" s="33"/>
      <x:c r="F167" s="79"/>
      <x:c r="G167" s="79"/>
      <x:c r="H167" s="33"/>
      <x:c r="I167" s="34"/>
      <x:c r="J167" s="35"/>
      <x:c r="K167" s="35"/>
      <x:c r="L167" s="35"/>
      <x:c r="M167" s="36" t="str">
        <x:f t="shared" si="2"/>
      </x:c>
    </x:row>
    <x:row r="168" ht="25" customHeight="1">
      <x:c r="A168" s="31"/>
      <x:c r="B168" s="108"/>
      <x:c r="C168" s="33"/>
      <x:c r="D168" s="33"/>
      <x:c r="E168" s="33"/>
      <x:c r="F168" s="79"/>
      <x:c r="G168" s="79"/>
      <x:c r="H168" s="33"/>
      <x:c r="I168" s="34"/>
      <x:c r="J168" s="35"/>
      <x:c r="K168" s="35"/>
      <x:c r="L168" s="35"/>
      <x:c r="M168" s="36" t="str">
        <x:f t="shared" si="2"/>
      </x:c>
    </x:row>
    <x:row r="169" ht="25" customHeight="1">
      <x:c r="A169" s="31"/>
      <x:c r="B169" s="108"/>
      <x:c r="C169" s="33"/>
      <x:c r="D169" s="33"/>
      <x:c r="E169" s="33"/>
      <x:c r="F169" s="79"/>
      <x:c r="G169" s="79"/>
      <x:c r="H169" s="33"/>
      <x:c r="I169" s="34"/>
      <x:c r="J169" s="35"/>
      <x:c r="K169" s="35"/>
      <x:c r="L169" s="35"/>
      <x:c r="M169" s="36" t="str">
        <x:f t="shared" si="2"/>
      </x:c>
    </x:row>
    <x:row r="170" ht="25" customHeight="1">
      <x:c r="A170" s="31"/>
      <x:c r="B170" s="108"/>
      <x:c r="C170" s="33"/>
      <x:c r="D170" s="33"/>
      <x:c r="E170" s="33"/>
      <x:c r="F170" s="79"/>
      <x:c r="G170" s="79"/>
      <x:c r="H170" s="33"/>
      <x:c r="I170" s="34"/>
      <x:c r="J170" s="35"/>
      <x:c r="K170" s="35"/>
      <x:c r="L170" s="35"/>
      <x:c r="M170" s="36" t="str">
        <x:f t="shared" si="2"/>
      </x:c>
    </x:row>
    <x:row r="171" ht="25" customHeight="1">
      <x:c r="A171" s="31"/>
      <x:c r="B171" s="108"/>
      <x:c r="C171" s="33"/>
      <x:c r="D171" s="33"/>
      <x:c r="E171" s="33"/>
      <x:c r="F171" s="79"/>
      <x:c r="G171" s="79"/>
      <x:c r="H171" s="33"/>
      <x:c r="I171" s="34"/>
      <x:c r="J171" s="35"/>
      <x:c r="K171" s="35"/>
      <x:c r="L171" s="35"/>
      <x:c r="M171" s="36" t="str">
        <x:f t="shared" si="2"/>
      </x:c>
    </x:row>
    <x:row r="172" ht="25" customHeight="1">
      <x:c r="A172" s="31"/>
      <x:c r="B172" s="108"/>
      <x:c r="C172" s="33"/>
      <x:c r="D172" s="33"/>
      <x:c r="E172" s="33"/>
      <x:c r="F172" s="79"/>
      <x:c r="G172" s="79"/>
      <x:c r="H172" s="33"/>
      <x:c r="I172" s="34"/>
      <x:c r="J172" s="35"/>
      <x:c r="K172" s="35"/>
      <x:c r="L172" s="35"/>
      <x:c r="M172" s="36" t="str">
        <x:f t="shared" si="2"/>
      </x:c>
    </x:row>
    <x:row r="173" ht="25" customHeight="1">
      <x:c r="A173" s="31"/>
      <x:c r="B173" s="108"/>
      <x:c r="C173" s="33"/>
      <x:c r="D173" s="33"/>
      <x:c r="E173" s="33"/>
      <x:c r="F173" s="79"/>
      <x:c r="G173" s="79"/>
      <x:c r="H173" s="33"/>
      <x:c r="I173" s="34"/>
      <x:c r="J173" s="35"/>
      <x:c r="K173" s="35"/>
      <x:c r="L173" s="35"/>
      <x:c r="M173" s="36" t="str">
        <x:f t="shared" si="2"/>
      </x:c>
    </x:row>
    <x:row r="174" ht="25" customHeight="1">
      <x:c r="A174" s="31"/>
      <x:c r="B174" s="108"/>
      <x:c r="C174" s="33"/>
      <x:c r="D174" s="33"/>
      <x:c r="E174" s="33"/>
      <x:c r="F174" s="79"/>
      <x:c r="G174" s="79"/>
      <x:c r="H174" s="33"/>
      <x:c r="I174" s="34"/>
      <x:c r="J174" s="35"/>
      <x:c r="K174" s="35"/>
      <x:c r="L174" s="35"/>
      <x:c r="M174" s="36" t="str">
        <x:f t="shared" si="2"/>
      </x:c>
    </x:row>
    <x:row r="175" ht="25" customHeight="1">
      <x:c r="A175" s="31"/>
      <x:c r="B175" s="108"/>
      <x:c r="C175" s="33"/>
      <x:c r="D175" s="33"/>
      <x:c r="E175" s="33"/>
      <x:c r="F175" s="79"/>
      <x:c r="G175" s="79"/>
      <x:c r="H175" s="33"/>
      <x:c r="I175" s="34"/>
      <x:c r="J175" s="35"/>
      <x:c r="K175" s="35"/>
      <x:c r="L175" s="35"/>
      <x:c r="M175" s="36" t="str">
        <x:f t="shared" si="2"/>
      </x:c>
    </x:row>
    <x:row r="176" ht="25" customHeight="1">
      <x:c r="A176" s="31"/>
      <x:c r="B176" s="108"/>
      <x:c r="C176" s="33"/>
      <x:c r="D176" s="33"/>
      <x:c r="E176" s="33"/>
      <x:c r="F176" s="79"/>
      <x:c r="G176" s="79"/>
      <x:c r="H176" s="33"/>
      <x:c r="I176" s="34"/>
      <x:c r="J176" s="35"/>
      <x:c r="K176" s="35"/>
      <x:c r="L176" s="35"/>
      <x:c r="M176" s="36" t="str">
        <x:f t="shared" si="2"/>
      </x:c>
    </x:row>
    <x:row r="177" ht="25" customHeight="1">
      <x:c r="A177" s="31"/>
      <x:c r="B177" s="108"/>
      <x:c r="C177" s="33"/>
      <x:c r="D177" s="33"/>
      <x:c r="E177" s="33"/>
      <x:c r="F177" s="79"/>
      <x:c r="G177" s="79"/>
      <x:c r="H177" s="33"/>
      <x:c r="I177" s="34"/>
      <x:c r="J177" s="35"/>
      <x:c r="K177" s="35"/>
      <x:c r="L177" s="35"/>
      <x:c r="M177" s="36" t="str">
        <x:f t="shared" si="2"/>
      </x:c>
    </x:row>
    <x:row r="178" ht="25" customHeight="1">
      <x:c r="A178" s="31"/>
      <x:c r="B178" s="108"/>
      <x:c r="C178" s="33"/>
      <x:c r="D178" s="33"/>
      <x:c r="E178" s="33"/>
      <x:c r="F178" s="79"/>
      <x:c r="G178" s="79"/>
      <x:c r="H178" s="33"/>
      <x:c r="I178" s="34"/>
      <x:c r="J178" s="35"/>
      <x:c r="K178" s="35"/>
      <x:c r="L178" s="35"/>
      <x:c r="M178" s="36" t="str">
        <x:f t="shared" si="2"/>
      </x:c>
    </x:row>
    <x:row r="179" ht="25" customHeight="1">
      <x:c r="A179" s="31"/>
      <x:c r="B179" s="108"/>
      <x:c r="C179" s="33"/>
      <x:c r="D179" s="33"/>
      <x:c r="E179" s="33"/>
      <x:c r="F179" s="79"/>
      <x:c r="G179" s="79"/>
      <x:c r="H179" s="33"/>
      <x:c r="I179" s="34"/>
      <x:c r="J179" s="35"/>
      <x:c r="K179" s="35"/>
      <x:c r="L179" s="35"/>
      <x:c r="M179" s="36" t="str">
        <x:f t="shared" si="2"/>
      </x:c>
    </x:row>
    <x:row r="180" ht="25" customHeight="1">
      <x:c r="A180" s="31"/>
      <x:c r="B180" s="108"/>
      <x:c r="C180" s="33"/>
      <x:c r="D180" s="33"/>
      <x:c r="E180" s="33"/>
      <x:c r="F180" s="79"/>
      <x:c r="G180" s="79"/>
      <x:c r="H180" s="33"/>
      <x:c r="I180" s="34"/>
      <x:c r="J180" s="35"/>
      <x:c r="K180" s="35"/>
      <x:c r="L180" s="35"/>
      <x:c r="M180" s="36" t="str">
        <x:f t="shared" si="2"/>
      </x:c>
    </x:row>
    <x:row r="181" ht="25" customHeight="1">
      <x:c r="A181" s="31"/>
      <x:c r="B181" s="108"/>
      <x:c r="C181" s="33"/>
      <x:c r="D181" s="33"/>
      <x:c r="E181" s="33"/>
      <x:c r="F181" s="79"/>
      <x:c r="G181" s="79"/>
      <x:c r="H181" s="33"/>
      <x:c r="I181" s="34"/>
      <x:c r="J181" s="35"/>
      <x:c r="K181" s="35"/>
      <x:c r="L181" s="35"/>
      <x:c r="M181" s="36" t="str">
        <x:f t="shared" si="2"/>
      </x:c>
    </x:row>
    <x:row r="182" ht="25" customHeight="1">
      <x:c r="A182" s="31"/>
      <x:c r="B182" s="108"/>
      <x:c r="C182" s="33"/>
      <x:c r="D182" s="33"/>
      <x:c r="E182" s="33"/>
      <x:c r="F182" s="79"/>
      <x:c r="G182" s="79"/>
      <x:c r="H182" s="33"/>
      <x:c r="I182" s="34"/>
      <x:c r="J182" s="35"/>
      <x:c r="K182" s="35"/>
      <x:c r="L182" s="35"/>
      <x:c r="M182" s="36" t="str">
        <x:f t="shared" si="2"/>
      </x:c>
    </x:row>
    <x:row r="183" ht="25" customHeight="1">
      <x:c r="A183" s="31"/>
      <x:c r="B183" s="108"/>
      <x:c r="C183" s="33"/>
      <x:c r="D183" s="33"/>
      <x:c r="E183" s="33"/>
      <x:c r="F183" s="79"/>
      <x:c r="G183" s="79"/>
      <x:c r="H183" s="33"/>
      <x:c r="I183" s="34"/>
      <x:c r="J183" s="35"/>
      <x:c r="K183" s="35"/>
      <x:c r="L183" s="35"/>
      <x:c r="M183" s="36" t="str">
        <x:f t="shared" si="2"/>
      </x:c>
    </x:row>
    <x:row r="184" ht="25" customHeight="1">
      <x:c r="A184" s="31"/>
      <x:c r="B184" s="108"/>
      <x:c r="C184" s="33"/>
      <x:c r="D184" s="33"/>
      <x:c r="E184" s="33"/>
      <x:c r="F184" s="79"/>
      <x:c r="G184" s="79"/>
      <x:c r="H184" s="33"/>
      <x:c r="I184" s="34"/>
      <x:c r="J184" s="35"/>
      <x:c r="K184" s="35"/>
      <x:c r="L184" s="35"/>
      <x:c r="M184" s="36" t="str">
        <x:f t="shared" si="2"/>
      </x:c>
    </x:row>
    <x:row r="185" ht="25" customHeight="1">
      <x:c r="A185" s="31"/>
      <x:c r="B185" s="108"/>
      <x:c r="C185" s="33"/>
      <x:c r="D185" s="33"/>
      <x:c r="E185" s="33"/>
      <x:c r="F185" s="79"/>
      <x:c r="G185" s="79"/>
      <x:c r="H185" s="33"/>
      <x:c r="I185" s="34"/>
      <x:c r="J185" s="35"/>
      <x:c r="K185" s="35"/>
      <x:c r="L185" s="35"/>
      <x:c r="M185" s="36" t="str">
        <x:f t="shared" si="2"/>
      </x:c>
    </x:row>
    <x:row r="186" ht="25" customHeight="1">
      <x:c r="A186" s="31"/>
      <x:c r="B186" s="108"/>
      <x:c r="C186" s="33"/>
      <x:c r="D186" s="33"/>
      <x:c r="E186" s="33"/>
      <x:c r="F186" s="79"/>
      <x:c r="G186" s="79"/>
      <x:c r="H186" s="33"/>
      <x:c r="I186" s="34"/>
      <x:c r="J186" s="35"/>
      <x:c r="K186" s="35"/>
      <x:c r="L186" s="35"/>
      <x:c r="M186" s="36" t="str">
        <x:f t="shared" si="2"/>
      </x:c>
    </x:row>
    <x:row r="187" ht="25" customHeight="1">
      <x:c r="A187" s="31"/>
      <x:c r="B187" s="108"/>
      <x:c r="C187" s="33"/>
      <x:c r="D187" s="33"/>
      <x:c r="E187" s="33"/>
      <x:c r="F187" s="79"/>
      <x:c r="G187" s="79"/>
      <x:c r="H187" s="33"/>
      <x:c r="I187" s="34"/>
      <x:c r="J187" s="35"/>
      <x:c r="K187" s="35"/>
      <x:c r="L187" s="35"/>
      <x:c r="M187" s="36" t="str">
        <x:f t="shared" si="2"/>
      </x:c>
    </x:row>
    <x:row r="188" ht="25" customHeight="1">
      <x:c r="A188" s="31"/>
      <x:c r="B188" s="108"/>
      <x:c r="C188" s="33"/>
      <x:c r="D188" s="33"/>
      <x:c r="E188" s="33"/>
      <x:c r="F188" s="79"/>
      <x:c r="G188" s="79"/>
      <x:c r="H188" s="33"/>
      <x:c r="I188" s="34"/>
      <x:c r="J188" s="35"/>
      <x:c r="K188" s="35"/>
      <x:c r="L188" s="35"/>
      <x:c r="M188" s="36" t="str">
        <x:f t="shared" si="2"/>
      </x:c>
    </x:row>
    <x:row r="189" ht="25" customHeight="1">
      <x:c r="A189" s="31"/>
      <x:c r="B189" s="108"/>
      <x:c r="C189" s="33"/>
      <x:c r="D189" s="33"/>
      <x:c r="E189" s="33"/>
      <x:c r="F189" s="79"/>
      <x:c r="G189" s="79"/>
      <x:c r="H189" s="33"/>
      <x:c r="I189" s="34"/>
      <x:c r="J189" s="35"/>
      <x:c r="K189" s="35"/>
      <x:c r="L189" s="35"/>
      <x:c r="M189" s="36" t="str">
        <x:f t="shared" si="2"/>
      </x:c>
    </x:row>
    <x:row r="190" ht="25" customHeight="1">
      <x:c r="A190" s="31"/>
      <x:c r="B190" s="108"/>
      <x:c r="C190" s="33"/>
      <x:c r="D190" s="33"/>
      <x:c r="E190" s="33"/>
      <x:c r="F190" s="79"/>
      <x:c r="G190" s="79"/>
      <x:c r="H190" s="33"/>
      <x:c r="I190" s="34"/>
      <x:c r="J190" s="35"/>
      <x:c r="K190" s="35"/>
      <x:c r="L190" s="35"/>
      <x:c r="M190" s="36" t="str">
        <x:f t="shared" si="2"/>
      </x:c>
    </x:row>
    <x:row r="191" ht="25" customHeight="1">
      <x:c r="A191" s="31"/>
      <x:c r="B191" s="108"/>
      <x:c r="C191" s="33"/>
      <x:c r="D191" s="33"/>
      <x:c r="E191" s="33"/>
      <x:c r="F191" s="79"/>
      <x:c r="G191" s="79"/>
      <x:c r="H191" s="33"/>
      <x:c r="I191" s="34"/>
      <x:c r="J191" s="35"/>
      <x:c r="K191" s="35"/>
      <x:c r="L191" s="35"/>
      <x:c r="M191" s="36" t="str">
        <x:f t="shared" si="2"/>
      </x:c>
    </x:row>
    <x:row r="192" ht="25" customHeight="1">
      <x:c r="A192" s="31"/>
      <x:c r="B192" s="108"/>
      <x:c r="C192" s="33"/>
      <x:c r="D192" s="33"/>
      <x:c r="E192" s="33"/>
      <x:c r="F192" s="79"/>
      <x:c r="G192" s="79"/>
      <x:c r="H192" s="33"/>
      <x:c r="I192" s="34"/>
      <x:c r="J192" s="35"/>
      <x:c r="K192" s="35"/>
      <x:c r="L192" s="35"/>
      <x:c r="M192" s="36" t="str">
        <x:f t="shared" si="2"/>
      </x:c>
    </x:row>
    <x:row r="193" ht="25" customHeight="1">
      <x:c r="A193" s="31"/>
      <x:c r="B193" s="108"/>
      <x:c r="C193" s="33"/>
      <x:c r="D193" s="33"/>
      <x:c r="E193" s="33"/>
      <x:c r="F193" s="79"/>
      <x:c r="G193" s="79"/>
      <x:c r="H193" s="33"/>
      <x:c r="I193" s="34"/>
      <x:c r="J193" s="35"/>
      <x:c r="K193" s="35"/>
      <x:c r="L193" s="35"/>
      <x:c r="M193" s="36" t="str">
        <x:f t="shared" si="2"/>
      </x:c>
    </x:row>
    <x:row r="194" ht="25" customHeight="1">
      <x:c r="A194" s="31"/>
      <x:c r="B194" s="108"/>
      <x:c r="C194" s="33"/>
      <x:c r="D194" s="33"/>
      <x:c r="E194" s="33"/>
      <x:c r="F194" s="79"/>
      <x:c r="G194" s="79"/>
      <x:c r="H194" s="33"/>
      <x:c r="I194" s="34"/>
      <x:c r="J194" s="35"/>
      <x:c r="K194" s="35"/>
      <x:c r="L194" s="35"/>
      <x:c r="M194" s="36" t="str">
        <x:f t="shared" ref="M194:M257" si="3">IF(A194="","",IF(NOT(ISNUMBER(F194)),"확인 필요",IF(G194="","재직 중",IF(NOT(ISNUMBER(G194)),"확인 필요",IF(G194&lt;F194,"확인 필요",(G194-F194+1)&amp;"일")))))</x:f>
      </x:c>
    </x:row>
    <x:row r="195" ht="25" customHeight="1">
      <x:c r="A195" s="31"/>
      <x:c r="B195" s="108"/>
      <x:c r="C195" s="33"/>
      <x:c r="D195" s="33"/>
      <x:c r="E195" s="33"/>
      <x:c r="F195" s="79"/>
      <x:c r="G195" s="79"/>
      <x:c r="H195" s="33"/>
      <x:c r="I195" s="34"/>
      <x:c r="J195" s="35"/>
      <x:c r="K195" s="35"/>
      <x:c r="L195" s="35"/>
      <x:c r="M195" s="36" t="str">
        <x:f t="shared" si="3"/>
      </x:c>
    </x:row>
    <x:row r="196" ht="25" customHeight="1">
      <x:c r="A196" s="31"/>
      <x:c r="B196" s="108"/>
      <x:c r="C196" s="33"/>
      <x:c r="D196" s="33"/>
      <x:c r="E196" s="33"/>
      <x:c r="F196" s="79"/>
      <x:c r="G196" s="79"/>
      <x:c r="H196" s="33"/>
      <x:c r="I196" s="34"/>
      <x:c r="J196" s="35"/>
      <x:c r="K196" s="35"/>
      <x:c r="L196" s="35"/>
      <x:c r="M196" s="36" t="str">
        <x:f t="shared" si="3"/>
      </x:c>
    </x:row>
    <x:row r="197" ht="25" customHeight="1">
      <x:c r="A197" s="31"/>
      <x:c r="B197" s="108"/>
      <x:c r="C197" s="33"/>
      <x:c r="D197" s="33"/>
      <x:c r="E197" s="33"/>
      <x:c r="F197" s="79"/>
      <x:c r="G197" s="79"/>
      <x:c r="H197" s="33"/>
      <x:c r="I197" s="34"/>
      <x:c r="J197" s="35"/>
      <x:c r="K197" s="35"/>
      <x:c r="L197" s="35"/>
      <x:c r="M197" s="36" t="str">
        <x:f t="shared" si="3"/>
      </x:c>
    </x:row>
    <x:row r="198" ht="25" customHeight="1">
      <x:c r="A198" s="31"/>
      <x:c r="B198" s="108"/>
      <x:c r="C198" s="33"/>
      <x:c r="D198" s="33"/>
      <x:c r="E198" s="33"/>
      <x:c r="F198" s="79"/>
      <x:c r="G198" s="79"/>
      <x:c r="H198" s="33"/>
      <x:c r="I198" s="34"/>
      <x:c r="J198" s="35"/>
      <x:c r="K198" s="35"/>
      <x:c r="L198" s="35"/>
      <x:c r="M198" s="36" t="str">
        <x:f t="shared" si="3"/>
      </x:c>
    </x:row>
    <x:row r="199" ht="25" customHeight="1">
      <x:c r="A199" s="31"/>
      <x:c r="B199" s="108"/>
      <x:c r="C199" s="33"/>
      <x:c r="D199" s="33"/>
      <x:c r="E199" s="33"/>
      <x:c r="F199" s="79"/>
      <x:c r="G199" s="79"/>
      <x:c r="H199" s="33"/>
      <x:c r="I199" s="34"/>
      <x:c r="J199" s="35"/>
      <x:c r="K199" s="35"/>
      <x:c r="L199" s="35"/>
      <x:c r="M199" s="36" t="str">
        <x:f t="shared" si="3"/>
      </x:c>
    </x:row>
    <x:row r="200" ht="25" customHeight="1">
      <x:c r="A200" s="31"/>
      <x:c r="B200" s="108"/>
      <x:c r="C200" s="33"/>
      <x:c r="D200" s="33"/>
      <x:c r="E200" s="33"/>
      <x:c r="F200" s="79"/>
      <x:c r="G200" s="79"/>
      <x:c r="H200" s="33"/>
      <x:c r="I200" s="34"/>
      <x:c r="J200" s="35"/>
      <x:c r="K200" s="35"/>
      <x:c r="L200" s="35"/>
      <x:c r="M200" s="36" t="str">
        <x:f t="shared" si="3"/>
      </x:c>
    </x:row>
    <x:row r="201" ht="25" customHeight="1">
      <x:c r="A201" s="31"/>
      <x:c r="B201" s="108"/>
      <x:c r="C201" s="33"/>
      <x:c r="D201" s="33"/>
      <x:c r="E201" s="33"/>
      <x:c r="F201" s="79"/>
      <x:c r="G201" s="79"/>
      <x:c r="H201" s="33"/>
      <x:c r="I201" s="34"/>
      <x:c r="J201" s="35"/>
      <x:c r="K201" s="35"/>
      <x:c r="L201" s="35"/>
      <x:c r="M201" s="36" t="str">
        <x:f t="shared" si="3"/>
      </x:c>
    </x:row>
    <x:row r="202" ht="25" customHeight="1">
      <x:c r="A202" s="31"/>
      <x:c r="B202" s="108"/>
      <x:c r="C202" s="33"/>
      <x:c r="D202" s="33"/>
      <x:c r="E202" s="33"/>
      <x:c r="F202" s="79"/>
      <x:c r="G202" s="79"/>
      <x:c r="H202" s="33"/>
      <x:c r="I202" s="34"/>
      <x:c r="J202" s="35"/>
      <x:c r="K202" s="35"/>
      <x:c r="L202" s="35"/>
      <x:c r="M202" s="36" t="str">
        <x:f t="shared" si="3"/>
      </x:c>
    </x:row>
    <x:row r="203" ht="25" customHeight="1">
      <x:c r="A203" s="31"/>
      <x:c r="B203" s="108"/>
      <x:c r="C203" s="33"/>
      <x:c r="D203" s="33"/>
      <x:c r="E203" s="33"/>
      <x:c r="F203" s="79"/>
      <x:c r="G203" s="79"/>
      <x:c r="H203" s="33"/>
      <x:c r="I203" s="34"/>
      <x:c r="J203" s="35"/>
      <x:c r="K203" s="35"/>
      <x:c r="L203" s="35"/>
      <x:c r="M203" s="36" t="str">
        <x:f t="shared" si="3"/>
      </x:c>
    </x:row>
    <x:row r="204" ht="25" customHeight="1">
      <x:c r="A204" s="31"/>
      <x:c r="B204" s="108"/>
      <x:c r="C204" s="33"/>
      <x:c r="D204" s="33"/>
      <x:c r="E204" s="33"/>
      <x:c r="F204" s="79"/>
      <x:c r="G204" s="79"/>
      <x:c r="H204" s="33"/>
      <x:c r="I204" s="34"/>
      <x:c r="J204" s="35"/>
      <x:c r="K204" s="35"/>
      <x:c r="L204" s="35"/>
      <x:c r="M204" s="36" t="str">
        <x:f t="shared" si="3"/>
      </x:c>
    </x:row>
    <x:row r="205" ht="25" customHeight="1">
      <x:c r="A205" s="31"/>
      <x:c r="B205" s="108"/>
      <x:c r="C205" s="33"/>
      <x:c r="D205" s="33"/>
      <x:c r="E205" s="33"/>
      <x:c r="F205" s="79"/>
      <x:c r="G205" s="79"/>
      <x:c r="H205" s="33"/>
      <x:c r="I205" s="34"/>
      <x:c r="J205" s="35"/>
      <x:c r="K205" s="35"/>
      <x:c r="L205" s="35"/>
      <x:c r="M205" s="36" t="str">
        <x:f t="shared" si="3"/>
      </x:c>
    </x:row>
    <x:row r="206" ht="25" customHeight="1">
      <x:c r="A206" s="31"/>
      <x:c r="B206" s="108"/>
      <x:c r="C206" s="33"/>
      <x:c r="D206" s="33"/>
      <x:c r="E206" s="33"/>
      <x:c r="F206" s="79"/>
      <x:c r="G206" s="79"/>
      <x:c r="H206" s="33"/>
      <x:c r="I206" s="34"/>
      <x:c r="J206" s="35"/>
      <x:c r="K206" s="35"/>
      <x:c r="L206" s="35"/>
      <x:c r="M206" s="36" t="str">
        <x:f t="shared" si="3"/>
      </x:c>
    </x:row>
    <x:row r="207" ht="25" customHeight="1">
      <x:c r="A207" s="31"/>
      <x:c r="B207" s="108"/>
      <x:c r="C207" s="33"/>
      <x:c r="D207" s="33"/>
      <x:c r="E207" s="33"/>
      <x:c r="F207" s="79"/>
      <x:c r="G207" s="79"/>
      <x:c r="H207" s="33"/>
      <x:c r="I207" s="34"/>
      <x:c r="J207" s="35"/>
      <x:c r="K207" s="35"/>
      <x:c r="L207" s="35"/>
      <x:c r="M207" s="36" t="str">
        <x:f t="shared" si="3"/>
      </x:c>
    </x:row>
    <x:row r="208" ht="25" customHeight="1">
      <x:c r="A208" s="31"/>
      <x:c r="B208" s="108"/>
      <x:c r="C208" s="33"/>
      <x:c r="D208" s="33"/>
      <x:c r="E208" s="33"/>
      <x:c r="F208" s="79"/>
      <x:c r="G208" s="79"/>
      <x:c r="H208" s="33"/>
      <x:c r="I208" s="34"/>
      <x:c r="J208" s="35"/>
      <x:c r="K208" s="35"/>
      <x:c r="L208" s="35"/>
      <x:c r="M208" s="36" t="str">
        <x:f t="shared" si="3"/>
      </x:c>
    </x:row>
    <x:row r="209" ht="25" customHeight="1">
      <x:c r="A209" s="31"/>
      <x:c r="B209" s="108"/>
      <x:c r="C209" s="33"/>
      <x:c r="D209" s="33"/>
      <x:c r="E209" s="33"/>
      <x:c r="F209" s="79"/>
      <x:c r="G209" s="79"/>
      <x:c r="H209" s="33"/>
      <x:c r="I209" s="34"/>
      <x:c r="J209" s="35"/>
      <x:c r="K209" s="35"/>
      <x:c r="L209" s="35"/>
      <x:c r="M209" s="36" t="str">
        <x:f t="shared" si="3"/>
      </x:c>
    </x:row>
    <x:row r="210" ht="25" customHeight="1">
      <x:c r="A210" s="31"/>
      <x:c r="B210" s="108"/>
      <x:c r="C210" s="33"/>
      <x:c r="D210" s="33"/>
      <x:c r="E210" s="33"/>
      <x:c r="F210" s="79"/>
      <x:c r="G210" s="79"/>
      <x:c r="H210" s="33"/>
      <x:c r="I210" s="34"/>
      <x:c r="J210" s="35"/>
      <x:c r="K210" s="35"/>
      <x:c r="L210" s="35"/>
      <x:c r="M210" s="36" t="str">
        <x:f t="shared" si="3"/>
      </x:c>
    </x:row>
    <x:row r="211" ht="25" customHeight="1">
      <x:c r="A211" s="31"/>
      <x:c r="B211" s="108"/>
      <x:c r="C211" s="33"/>
      <x:c r="D211" s="33"/>
      <x:c r="E211" s="33"/>
      <x:c r="F211" s="79"/>
      <x:c r="G211" s="79"/>
      <x:c r="H211" s="33"/>
      <x:c r="I211" s="34"/>
      <x:c r="J211" s="35"/>
      <x:c r="K211" s="35"/>
      <x:c r="L211" s="35"/>
      <x:c r="M211" s="36" t="str">
        <x:f t="shared" si="3"/>
      </x:c>
    </x:row>
    <x:row r="212" ht="25" customHeight="1">
      <x:c r="A212" s="31"/>
      <x:c r="B212" s="108"/>
      <x:c r="C212" s="33"/>
      <x:c r="D212" s="33"/>
      <x:c r="E212" s="33"/>
      <x:c r="F212" s="79"/>
      <x:c r="G212" s="79"/>
      <x:c r="H212" s="33"/>
      <x:c r="I212" s="34"/>
      <x:c r="J212" s="35"/>
      <x:c r="K212" s="35"/>
      <x:c r="L212" s="35"/>
      <x:c r="M212" s="36" t="str">
        <x:f t="shared" si="3"/>
      </x:c>
    </x:row>
    <x:row r="213" ht="25" customHeight="1">
      <x:c r="A213" s="31"/>
      <x:c r="B213" s="108"/>
      <x:c r="C213" s="33"/>
      <x:c r="D213" s="33"/>
      <x:c r="E213" s="33"/>
      <x:c r="F213" s="79"/>
      <x:c r="G213" s="79"/>
      <x:c r="H213" s="33"/>
      <x:c r="I213" s="34"/>
      <x:c r="J213" s="35"/>
      <x:c r="K213" s="35"/>
      <x:c r="L213" s="35"/>
      <x:c r="M213" s="36" t="str">
        <x:f t="shared" si="3"/>
      </x:c>
    </x:row>
    <x:row r="214" ht="25" customHeight="1">
      <x:c r="A214" s="31"/>
      <x:c r="B214" s="108"/>
      <x:c r="C214" s="33"/>
      <x:c r="D214" s="33"/>
      <x:c r="E214" s="33"/>
      <x:c r="F214" s="79"/>
      <x:c r="G214" s="79"/>
      <x:c r="H214" s="33"/>
      <x:c r="I214" s="34"/>
      <x:c r="J214" s="35"/>
      <x:c r="K214" s="35"/>
      <x:c r="L214" s="35"/>
      <x:c r="M214" s="36" t="str">
        <x:f t="shared" si="3"/>
      </x:c>
    </x:row>
    <x:row r="215" ht="25" customHeight="1">
      <x:c r="A215" s="31"/>
      <x:c r="B215" s="108"/>
      <x:c r="C215" s="33"/>
      <x:c r="D215" s="33"/>
      <x:c r="E215" s="33"/>
      <x:c r="F215" s="79"/>
      <x:c r="G215" s="79"/>
      <x:c r="H215" s="33"/>
      <x:c r="I215" s="34"/>
      <x:c r="J215" s="35"/>
      <x:c r="K215" s="35"/>
      <x:c r="L215" s="35"/>
      <x:c r="M215" s="36" t="str">
        <x:f t="shared" si="3"/>
      </x:c>
    </x:row>
    <x:row r="216" ht="25" customHeight="1">
      <x:c r="A216" s="31"/>
      <x:c r="B216" s="108"/>
      <x:c r="C216" s="33"/>
      <x:c r="D216" s="33"/>
      <x:c r="E216" s="33"/>
      <x:c r="F216" s="79"/>
      <x:c r="G216" s="79"/>
      <x:c r="H216" s="33"/>
      <x:c r="I216" s="34"/>
      <x:c r="J216" s="35"/>
      <x:c r="K216" s="35"/>
      <x:c r="L216" s="35"/>
      <x:c r="M216" s="36" t="str">
        <x:f t="shared" si="3"/>
      </x:c>
    </x:row>
    <x:row r="217" ht="25" customHeight="1">
      <x:c r="A217" s="31"/>
      <x:c r="B217" s="108"/>
      <x:c r="C217" s="33"/>
      <x:c r="D217" s="33"/>
      <x:c r="E217" s="33"/>
      <x:c r="F217" s="79"/>
      <x:c r="G217" s="79"/>
      <x:c r="H217" s="33"/>
      <x:c r="I217" s="34"/>
      <x:c r="J217" s="35"/>
      <x:c r="K217" s="35"/>
      <x:c r="L217" s="35"/>
      <x:c r="M217" s="36" t="str">
        <x:f t="shared" si="3"/>
      </x:c>
    </x:row>
    <x:row r="218" ht="25" customHeight="1">
      <x:c r="A218" s="31"/>
      <x:c r="B218" s="108"/>
      <x:c r="C218" s="33"/>
      <x:c r="D218" s="33"/>
      <x:c r="E218" s="33"/>
      <x:c r="F218" s="79"/>
      <x:c r="G218" s="79"/>
      <x:c r="H218" s="33"/>
      <x:c r="I218" s="34"/>
      <x:c r="J218" s="35"/>
      <x:c r="K218" s="35"/>
      <x:c r="L218" s="35"/>
      <x:c r="M218" s="36" t="str">
        <x:f t="shared" si="3"/>
      </x:c>
    </x:row>
    <x:row r="219" ht="25" customHeight="1">
      <x:c r="A219" s="31"/>
      <x:c r="B219" s="108"/>
      <x:c r="C219" s="33"/>
      <x:c r="D219" s="33"/>
      <x:c r="E219" s="33"/>
      <x:c r="F219" s="79"/>
      <x:c r="G219" s="79"/>
      <x:c r="H219" s="33"/>
      <x:c r="I219" s="34"/>
      <x:c r="J219" s="35"/>
      <x:c r="K219" s="35"/>
      <x:c r="L219" s="35"/>
      <x:c r="M219" s="36" t="str">
        <x:f t="shared" si="3"/>
      </x:c>
    </x:row>
    <x:row r="220" ht="25" customHeight="1">
      <x:c r="A220" s="31"/>
      <x:c r="B220" s="108"/>
      <x:c r="C220" s="33"/>
      <x:c r="D220" s="33"/>
      <x:c r="E220" s="33"/>
      <x:c r="F220" s="79"/>
      <x:c r="G220" s="79"/>
      <x:c r="H220" s="33"/>
      <x:c r="I220" s="34"/>
      <x:c r="J220" s="35"/>
      <x:c r="K220" s="35"/>
      <x:c r="L220" s="35"/>
      <x:c r="M220" s="36" t="str">
        <x:f t="shared" si="3"/>
      </x:c>
    </x:row>
    <x:row r="221" ht="25" customHeight="1">
      <x:c r="A221" s="31"/>
      <x:c r="B221" s="108"/>
      <x:c r="C221" s="33"/>
      <x:c r="D221" s="33"/>
      <x:c r="E221" s="33"/>
      <x:c r="F221" s="79"/>
      <x:c r="G221" s="79"/>
      <x:c r="H221" s="33"/>
      <x:c r="I221" s="34"/>
      <x:c r="J221" s="35"/>
      <x:c r="K221" s="35"/>
      <x:c r="L221" s="35"/>
      <x:c r="M221" s="36" t="str">
        <x:f t="shared" si="3"/>
      </x:c>
    </x:row>
    <x:row r="222" ht="25" customHeight="1">
      <x:c r="A222" s="31"/>
      <x:c r="B222" s="108"/>
      <x:c r="C222" s="33"/>
      <x:c r="D222" s="33"/>
      <x:c r="E222" s="33"/>
      <x:c r="F222" s="79"/>
      <x:c r="G222" s="79"/>
      <x:c r="H222" s="33"/>
      <x:c r="I222" s="34"/>
      <x:c r="J222" s="35"/>
      <x:c r="K222" s="35"/>
      <x:c r="L222" s="35"/>
      <x:c r="M222" s="36" t="str">
        <x:f t="shared" si="3"/>
      </x:c>
    </x:row>
    <x:row r="223" ht="25" customHeight="1">
      <x:c r="A223" s="31"/>
      <x:c r="B223" s="108"/>
      <x:c r="C223" s="33"/>
      <x:c r="D223" s="33"/>
      <x:c r="E223" s="33"/>
      <x:c r="F223" s="79"/>
      <x:c r="G223" s="79"/>
      <x:c r="H223" s="33"/>
      <x:c r="I223" s="34"/>
      <x:c r="J223" s="35"/>
      <x:c r="K223" s="35"/>
      <x:c r="L223" s="35"/>
      <x:c r="M223" s="36" t="str">
        <x:f t="shared" si="3"/>
      </x:c>
    </x:row>
    <x:row r="224" ht="25" customHeight="1">
      <x:c r="A224" s="31"/>
      <x:c r="B224" s="108"/>
      <x:c r="C224" s="33"/>
      <x:c r="D224" s="33"/>
      <x:c r="E224" s="33"/>
      <x:c r="F224" s="79"/>
      <x:c r="G224" s="79"/>
      <x:c r="H224" s="33"/>
      <x:c r="I224" s="34"/>
      <x:c r="J224" s="35"/>
      <x:c r="K224" s="35"/>
      <x:c r="L224" s="35"/>
      <x:c r="M224" s="36" t="str">
        <x:f t="shared" si="3"/>
      </x:c>
    </x:row>
    <x:row r="225" ht="25" customHeight="1">
      <x:c r="A225" s="31"/>
      <x:c r="B225" s="108"/>
      <x:c r="C225" s="33"/>
      <x:c r="D225" s="33"/>
      <x:c r="E225" s="33"/>
      <x:c r="F225" s="79"/>
      <x:c r="G225" s="79"/>
      <x:c r="H225" s="33"/>
      <x:c r="I225" s="34"/>
      <x:c r="J225" s="35"/>
      <x:c r="K225" s="35"/>
      <x:c r="L225" s="35"/>
      <x:c r="M225" s="36" t="str">
        <x:f t="shared" si="3"/>
      </x:c>
    </x:row>
    <x:row r="226" ht="25" customHeight="1">
      <x:c r="A226" s="31"/>
      <x:c r="B226" s="108"/>
      <x:c r="C226" s="33"/>
      <x:c r="D226" s="33"/>
      <x:c r="E226" s="33"/>
      <x:c r="F226" s="79"/>
      <x:c r="G226" s="79"/>
      <x:c r="H226" s="33"/>
      <x:c r="I226" s="34"/>
      <x:c r="J226" s="35"/>
      <x:c r="K226" s="35"/>
      <x:c r="L226" s="35"/>
      <x:c r="M226" s="36" t="str">
        <x:f t="shared" si="3"/>
      </x:c>
    </x:row>
    <x:row r="227" ht="25" customHeight="1">
      <x:c r="A227" s="31"/>
      <x:c r="B227" s="108"/>
      <x:c r="C227" s="33"/>
      <x:c r="D227" s="33"/>
      <x:c r="E227" s="33"/>
      <x:c r="F227" s="79"/>
      <x:c r="G227" s="79"/>
      <x:c r="H227" s="33"/>
      <x:c r="I227" s="34"/>
      <x:c r="J227" s="35"/>
      <x:c r="K227" s="35"/>
      <x:c r="L227" s="35"/>
      <x:c r="M227" s="36" t="str">
        <x:f t="shared" si="3"/>
      </x:c>
    </x:row>
    <x:row r="228" ht="25" customHeight="1">
      <x:c r="A228" s="31"/>
      <x:c r="B228" s="108"/>
      <x:c r="C228" s="33"/>
      <x:c r="D228" s="33"/>
      <x:c r="E228" s="33"/>
      <x:c r="F228" s="79"/>
      <x:c r="G228" s="79"/>
      <x:c r="H228" s="33"/>
      <x:c r="I228" s="34"/>
      <x:c r="J228" s="35"/>
      <x:c r="K228" s="35"/>
      <x:c r="L228" s="35"/>
      <x:c r="M228" s="36" t="str">
        <x:f t="shared" si="3"/>
      </x:c>
    </x:row>
    <x:row r="229" ht="25" customHeight="1">
      <x:c r="A229" s="31"/>
      <x:c r="B229" s="108"/>
      <x:c r="C229" s="33"/>
      <x:c r="D229" s="33"/>
      <x:c r="E229" s="33"/>
      <x:c r="F229" s="79"/>
      <x:c r="G229" s="79"/>
      <x:c r="H229" s="33"/>
      <x:c r="I229" s="34"/>
      <x:c r="J229" s="35"/>
      <x:c r="K229" s="35"/>
      <x:c r="L229" s="35"/>
      <x:c r="M229" s="36" t="str">
        <x:f t="shared" si="3"/>
      </x:c>
    </x:row>
    <x:row r="230" ht="25" customHeight="1">
      <x:c r="A230" s="31"/>
      <x:c r="B230" s="108"/>
      <x:c r="C230" s="33"/>
      <x:c r="D230" s="33"/>
      <x:c r="E230" s="33"/>
      <x:c r="F230" s="79"/>
      <x:c r="G230" s="79"/>
      <x:c r="H230" s="33"/>
      <x:c r="I230" s="34"/>
      <x:c r="J230" s="35"/>
      <x:c r="K230" s="35"/>
      <x:c r="L230" s="35"/>
      <x:c r="M230" s="36" t="str">
        <x:f t="shared" si="3"/>
      </x:c>
    </x:row>
    <x:row r="231" ht="25" customHeight="1">
      <x:c r="A231" s="31"/>
      <x:c r="B231" s="108"/>
      <x:c r="C231" s="33"/>
      <x:c r="D231" s="33"/>
      <x:c r="E231" s="33"/>
      <x:c r="F231" s="79"/>
      <x:c r="G231" s="79"/>
      <x:c r="H231" s="33"/>
      <x:c r="I231" s="34"/>
      <x:c r="J231" s="35"/>
      <x:c r="K231" s="35"/>
      <x:c r="L231" s="35"/>
      <x:c r="M231" s="36" t="str">
        <x:f t="shared" si="3"/>
      </x:c>
    </x:row>
    <x:row r="232" ht="25" customHeight="1">
      <x:c r="A232" s="31"/>
      <x:c r="B232" s="108"/>
      <x:c r="C232" s="33"/>
      <x:c r="D232" s="33"/>
      <x:c r="E232" s="33"/>
      <x:c r="F232" s="79"/>
      <x:c r="G232" s="79"/>
      <x:c r="H232" s="33"/>
      <x:c r="I232" s="34"/>
      <x:c r="J232" s="35"/>
      <x:c r="K232" s="35"/>
      <x:c r="L232" s="35"/>
      <x:c r="M232" s="36" t="str">
        <x:f t="shared" si="3"/>
      </x:c>
    </x:row>
    <x:row r="233" ht="25" customHeight="1">
      <x:c r="A233" s="31"/>
      <x:c r="B233" s="108"/>
      <x:c r="C233" s="33"/>
      <x:c r="D233" s="33"/>
      <x:c r="E233" s="33"/>
      <x:c r="F233" s="79"/>
      <x:c r="G233" s="79"/>
      <x:c r="H233" s="33"/>
      <x:c r="I233" s="34"/>
      <x:c r="J233" s="35"/>
      <x:c r="K233" s="35"/>
      <x:c r="L233" s="35"/>
      <x:c r="M233" s="36" t="str">
        <x:f t="shared" si="3"/>
      </x:c>
    </x:row>
    <x:row r="234" ht="25" customHeight="1">
      <x:c r="A234" s="31"/>
      <x:c r="B234" s="108"/>
      <x:c r="C234" s="33"/>
      <x:c r="D234" s="33"/>
      <x:c r="E234" s="33"/>
      <x:c r="F234" s="79"/>
      <x:c r="G234" s="79"/>
      <x:c r="H234" s="33"/>
      <x:c r="I234" s="34"/>
      <x:c r="J234" s="35"/>
      <x:c r="K234" s="35"/>
      <x:c r="L234" s="35"/>
      <x:c r="M234" s="36" t="str">
        <x:f t="shared" si="3"/>
      </x:c>
    </x:row>
    <x:row r="235" ht="25" customHeight="1">
      <x:c r="A235" s="31"/>
      <x:c r="B235" s="108"/>
      <x:c r="C235" s="33"/>
      <x:c r="D235" s="33"/>
      <x:c r="E235" s="33"/>
      <x:c r="F235" s="79"/>
      <x:c r="G235" s="79"/>
      <x:c r="H235" s="33"/>
      <x:c r="I235" s="34"/>
      <x:c r="J235" s="35"/>
      <x:c r="K235" s="35"/>
      <x:c r="L235" s="35"/>
      <x:c r="M235" s="36" t="str">
        <x:f t="shared" si="3"/>
      </x:c>
    </x:row>
    <x:row r="236" ht="25" customHeight="1">
      <x:c r="A236" s="31"/>
      <x:c r="B236" s="108"/>
      <x:c r="C236" s="33"/>
      <x:c r="D236" s="33"/>
      <x:c r="E236" s="33"/>
      <x:c r="F236" s="79"/>
      <x:c r="G236" s="79"/>
      <x:c r="H236" s="33"/>
      <x:c r="I236" s="34"/>
      <x:c r="J236" s="35"/>
      <x:c r="K236" s="35"/>
      <x:c r="L236" s="35"/>
      <x:c r="M236" s="36" t="str">
        <x:f t="shared" si="3"/>
      </x:c>
    </x:row>
    <x:row r="237" ht="25" customHeight="1">
      <x:c r="A237" s="31"/>
      <x:c r="B237" s="108"/>
      <x:c r="C237" s="33"/>
      <x:c r="D237" s="33"/>
      <x:c r="E237" s="33"/>
      <x:c r="F237" s="79"/>
      <x:c r="G237" s="79"/>
      <x:c r="H237" s="33"/>
      <x:c r="I237" s="34"/>
      <x:c r="J237" s="35"/>
      <x:c r="K237" s="35"/>
      <x:c r="L237" s="35"/>
      <x:c r="M237" s="36" t="str">
        <x:f t="shared" si="3"/>
      </x:c>
    </x:row>
    <x:row r="238" ht="25" customHeight="1">
      <x:c r="A238" s="31"/>
      <x:c r="B238" s="108"/>
      <x:c r="C238" s="33"/>
      <x:c r="D238" s="33"/>
      <x:c r="E238" s="33"/>
      <x:c r="F238" s="79"/>
      <x:c r="G238" s="79"/>
      <x:c r="H238" s="33"/>
      <x:c r="I238" s="34"/>
      <x:c r="J238" s="35"/>
      <x:c r="K238" s="35"/>
      <x:c r="L238" s="35"/>
      <x:c r="M238" s="36" t="str">
        <x:f t="shared" si="3"/>
      </x:c>
    </x:row>
    <x:row r="239" ht="25" customHeight="1">
      <x:c r="A239" s="31"/>
      <x:c r="B239" s="108"/>
      <x:c r="C239" s="33"/>
      <x:c r="D239" s="33"/>
      <x:c r="E239" s="33"/>
      <x:c r="F239" s="79"/>
      <x:c r="G239" s="79"/>
      <x:c r="H239" s="33"/>
      <x:c r="I239" s="34"/>
      <x:c r="J239" s="35"/>
      <x:c r="K239" s="35"/>
      <x:c r="L239" s="35"/>
      <x:c r="M239" s="36" t="str">
        <x:f t="shared" si="3"/>
      </x:c>
    </x:row>
    <x:row r="240" ht="25" customHeight="1">
      <x:c r="A240" s="31"/>
      <x:c r="B240" s="108"/>
      <x:c r="C240" s="33"/>
      <x:c r="D240" s="33"/>
      <x:c r="E240" s="33"/>
      <x:c r="F240" s="79"/>
      <x:c r="G240" s="79"/>
      <x:c r="H240" s="33"/>
      <x:c r="I240" s="34"/>
      <x:c r="J240" s="35"/>
      <x:c r="K240" s="35"/>
      <x:c r="L240" s="35"/>
      <x:c r="M240" s="36" t="str">
        <x:f t="shared" si="3"/>
      </x:c>
    </x:row>
    <x:row r="241" ht="25" customHeight="1">
      <x:c r="A241" s="31"/>
      <x:c r="B241" s="108"/>
      <x:c r="C241" s="33"/>
      <x:c r="D241" s="33"/>
      <x:c r="E241" s="33"/>
      <x:c r="F241" s="79"/>
      <x:c r="G241" s="79"/>
      <x:c r="H241" s="33"/>
      <x:c r="I241" s="34"/>
      <x:c r="J241" s="35"/>
      <x:c r="K241" s="35"/>
      <x:c r="L241" s="35"/>
      <x:c r="M241" s="36" t="str">
        <x:f t="shared" si="3"/>
      </x:c>
    </x:row>
    <x:row r="242" ht="25" customHeight="1">
      <x:c r="A242" s="31"/>
      <x:c r="B242" s="108"/>
      <x:c r="C242" s="33"/>
      <x:c r="D242" s="33"/>
      <x:c r="E242" s="33"/>
      <x:c r="F242" s="79"/>
      <x:c r="G242" s="79"/>
      <x:c r="H242" s="33"/>
      <x:c r="I242" s="34"/>
      <x:c r="J242" s="35"/>
      <x:c r="K242" s="35"/>
      <x:c r="L242" s="35"/>
      <x:c r="M242" s="36" t="str">
        <x:f t="shared" si="3"/>
      </x:c>
    </x:row>
    <x:row r="243" ht="25" customHeight="1">
      <x:c r="A243" s="31"/>
      <x:c r="B243" s="108"/>
      <x:c r="C243" s="33"/>
      <x:c r="D243" s="33"/>
      <x:c r="E243" s="33"/>
      <x:c r="F243" s="79"/>
      <x:c r="G243" s="79"/>
      <x:c r="H243" s="33"/>
      <x:c r="I243" s="34"/>
      <x:c r="J243" s="35"/>
      <x:c r="K243" s="35"/>
      <x:c r="L243" s="35"/>
      <x:c r="M243" s="36" t="str">
        <x:f t="shared" si="3"/>
      </x:c>
    </x:row>
    <x:row r="244" ht="25" customHeight="1">
      <x:c r="A244" s="31"/>
      <x:c r="B244" s="108"/>
      <x:c r="C244" s="33"/>
      <x:c r="D244" s="33"/>
      <x:c r="E244" s="33"/>
      <x:c r="F244" s="79"/>
      <x:c r="G244" s="79"/>
      <x:c r="H244" s="33"/>
      <x:c r="I244" s="34"/>
      <x:c r="J244" s="35"/>
      <x:c r="K244" s="35"/>
      <x:c r="L244" s="35"/>
      <x:c r="M244" s="36" t="str">
        <x:f t="shared" si="3"/>
      </x:c>
    </x:row>
    <x:row r="245" ht="25" customHeight="1">
      <x:c r="A245" s="31"/>
      <x:c r="B245" s="108"/>
      <x:c r="C245" s="33"/>
      <x:c r="D245" s="33"/>
      <x:c r="E245" s="33"/>
      <x:c r="F245" s="79"/>
      <x:c r="G245" s="79"/>
      <x:c r="H245" s="33"/>
      <x:c r="I245" s="34"/>
      <x:c r="J245" s="35"/>
      <x:c r="K245" s="35"/>
      <x:c r="L245" s="35"/>
      <x:c r="M245" s="36" t="str">
        <x:f t="shared" si="3"/>
      </x:c>
    </x:row>
    <x:row r="246" ht="25" customHeight="1">
      <x:c r="A246" s="31"/>
      <x:c r="B246" s="108"/>
      <x:c r="C246" s="33"/>
      <x:c r="D246" s="33"/>
      <x:c r="E246" s="33"/>
      <x:c r="F246" s="79"/>
      <x:c r="G246" s="79"/>
      <x:c r="H246" s="33"/>
      <x:c r="I246" s="34"/>
      <x:c r="J246" s="35"/>
      <x:c r="K246" s="35"/>
      <x:c r="L246" s="35"/>
      <x:c r="M246" s="36" t="str">
        <x:f t="shared" si="3"/>
      </x:c>
    </x:row>
    <x:row r="247" ht="25" customHeight="1">
      <x:c r="A247" s="31"/>
      <x:c r="B247" s="108"/>
      <x:c r="C247" s="33"/>
      <x:c r="D247" s="33"/>
      <x:c r="E247" s="33"/>
      <x:c r="F247" s="79"/>
      <x:c r="G247" s="79"/>
      <x:c r="H247" s="33"/>
      <x:c r="I247" s="34"/>
      <x:c r="J247" s="35"/>
      <x:c r="K247" s="35"/>
      <x:c r="L247" s="35"/>
      <x:c r="M247" s="36" t="str">
        <x:f t="shared" si="3"/>
      </x:c>
    </x:row>
    <x:row r="248" ht="25" customHeight="1">
      <x:c r="A248" s="31"/>
      <x:c r="B248" s="108"/>
      <x:c r="C248" s="33"/>
      <x:c r="D248" s="33"/>
      <x:c r="E248" s="33"/>
      <x:c r="F248" s="79"/>
      <x:c r="G248" s="79"/>
      <x:c r="H248" s="33"/>
      <x:c r="I248" s="34"/>
      <x:c r="J248" s="35"/>
      <x:c r="K248" s="35"/>
      <x:c r="L248" s="35"/>
      <x:c r="M248" s="36" t="str">
        <x:f t="shared" si="3"/>
      </x:c>
    </x:row>
    <x:row r="249" ht="25" customHeight="1">
      <x:c r="A249" s="31"/>
      <x:c r="B249" s="108"/>
      <x:c r="C249" s="33"/>
      <x:c r="D249" s="33"/>
      <x:c r="E249" s="33"/>
      <x:c r="F249" s="79"/>
      <x:c r="G249" s="79"/>
      <x:c r="H249" s="33"/>
      <x:c r="I249" s="34"/>
      <x:c r="J249" s="35"/>
      <x:c r="K249" s="35"/>
      <x:c r="L249" s="35"/>
      <x:c r="M249" s="36" t="str">
        <x:f t="shared" si="3"/>
      </x:c>
    </x:row>
    <x:row r="250" ht="25" customHeight="1">
      <x:c r="A250" s="31"/>
      <x:c r="B250" s="108"/>
      <x:c r="C250" s="33"/>
      <x:c r="D250" s="33"/>
      <x:c r="E250" s="33"/>
      <x:c r="F250" s="79"/>
      <x:c r="G250" s="79"/>
      <x:c r="H250" s="33"/>
      <x:c r="I250" s="34"/>
      <x:c r="J250" s="35"/>
      <x:c r="K250" s="35"/>
      <x:c r="L250" s="35"/>
      <x:c r="M250" s="36" t="str">
        <x:f t="shared" si="3"/>
      </x:c>
    </x:row>
    <x:row r="251" ht="25" customHeight="1">
      <x:c r="A251" s="31"/>
      <x:c r="B251" s="108"/>
      <x:c r="C251" s="33"/>
      <x:c r="D251" s="33"/>
      <x:c r="E251" s="33"/>
      <x:c r="F251" s="79"/>
      <x:c r="G251" s="79"/>
      <x:c r="H251" s="33"/>
      <x:c r="I251" s="34"/>
      <x:c r="J251" s="35"/>
      <x:c r="K251" s="35"/>
      <x:c r="L251" s="35"/>
      <x:c r="M251" s="36" t="str">
        <x:f t="shared" si="3"/>
      </x:c>
    </x:row>
    <x:row r="252" ht="25" customHeight="1">
      <x:c r="A252" s="31"/>
      <x:c r="B252" s="108"/>
      <x:c r="C252" s="33"/>
      <x:c r="D252" s="33"/>
      <x:c r="E252" s="33"/>
      <x:c r="F252" s="79"/>
      <x:c r="G252" s="79"/>
      <x:c r="H252" s="33"/>
      <x:c r="I252" s="34"/>
      <x:c r="J252" s="35"/>
      <x:c r="K252" s="35"/>
      <x:c r="L252" s="35"/>
      <x:c r="M252" s="36" t="str">
        <x:f t="shared" si="3"/>
      </x:c>
    </x:row>
    <x:row r="253" ht="25" customHeight="1">
      <x:c r="A253" s="31"/>
      <x:c r="B253" s="108"/>
      <x:c r="C253" s="33"/>
      <x:c r="D253" s="33"/>
      <x:c r="E253" s="33"/>
      <x:c r="F253" s="79"/>
      <x:c r="G253" s="79"/>
      <x:c r="H253" s="33"/>
      <x:c r="I253" s="34"/>
      <x:c r="J253" s="35"/>
      <x:c r="K253" s="35"/>
      <x:c r="L253" s="35"/>
      <x:c r="M253" s="36" t="str">
        <x:f t="shared" si="3"/>
      </x:c>
    </x:row>
    <x:row r="254" ht="25" customHeight="1">
      <x:c r="A254" s="31"/>
      <x:c r="B254" s="108"/>
      <x:c r="C254" s="33"/>
      <x:c r="D254" s="33"/>
      <x:c r="E254" s="33"/>
      <x:c r="F254" s="79"/>
      <x:c r="G254" s="79"/>
      <x:c r="H254" s="33"/>
      <x:c r="I254" s="34"/>
      <x:c r="J254" s="35"/>
      <x:c r="K254" s="35"/>
      <x:c r="L254" s="35"/>
      <x:c r="M254" s="36" t="str">
        <x:f t="shared" si="3"/>
      </x:c>
    </x:row>
    <x:row r="255" ht="25" customHeight="1">
      <x:c r="A255" s="31"/>
      <x:c r="B255" s="108"/>
      <x:c r="C255" s="33"/>
      <x:c r="D255" s="33"/>
      <x:c r="E255" s="33"/>
      <x:c r="F255" s="79"/>
      <x:c r="G255" s="79"/>
      <x:c r="H255" s="33"/>
      <x:c r="I255" s="34"/>
      <x:c r="J255" s="35"/>
      <x:c r="K255" s="35"/>
      <x:c r="L255" s="35"/>
      <x:c r="M255" s="36" t="str">
        <x:f t="shared" si="3"/>
      </x:c>
    </x:row>
    <x:row r="256" ht="25" customHeight="1">
      <x:c r="A256" s="31"/>
      <x:c r="B256" s="108"/>
      <x:c r="C256" s="33"/>
      <x:c r="D256" s="33"/>
      <x:c r="E256" s="33"/>
      <x:c r="F256" s="79"/>
      <x:c r="G256" s="79"/>
      <x:c r="H256" s="33"/>
      <x:c r="I256" s="34"/>
      <x:c r="J256" s="35"/>
      <x:c r="K256" s="35"/>
      <x:c r="L256" s="35"/>
      <x:c r="M256" s="36" t="str">
        <x:f t="shared" si="3"/>
      </x:c>
    </x:row>
    <x:row r="257" ht="25" customHeight="1">
      <x:c r="A257" s="31"/>
      <x:c r="B257" s="108"/>
      <x:c r="C257" s="33"/>
      <x:c r="D257" s="33"/>
      <x:c r="E257" s="33"/>
      <x:c r="F257" s="79"/>
      <x:c r="G257" s="79"/>
      <x:c r="H257" s="33"/>
      <x:c r="I257" s="34"/>
      <x:c r="J257" s="35"/>
      <x:c r="K257" s="35"/>
      <x:c r="L257" s="35"/>
      <x:c r="M257" s="36" t="str">
        <x:f t="shared" si="3"/>
      </x:c>
    </x:row>
    <x:row r="258" ht="25" customHeight="1">
      <x:c r="A258" s="31"/>
      <x:c r="B258" s="108"/>
      <x:c r="C258" s="33"/>
      <x:c r="D258" s="33"/>
      <x:c r="E258" s="33"/>
      <x:c r="F258" s="79"/>
      <x:c r="G258" s="79"/>
      <x:c r="H258" s="33"/>
      <x:c r="I258" s="34"/>
      <x:c r="J258" s="35"/>
      <x:c r="K258" s="35"/>
      <x:c r="L258" s="35"/>
      <x:c r="M258" s="36" t="str">
        <x:f t="shared" ref="M258:M321" si="4">IF(A258="","",IF(NOT(ISNUMBER(F258)),"확인 필요",IF(G258="","재직 중",IF(NOT(ISNUMBER(G258)),"확인 필요",IF(G258&lt;F258,"확인 필요",(G258-F258+1)&amp;"일")))))</x:f>
      </x:c>
    </x:row>
    <x:row r="259" ht="25" customHeight="1">
      <x:c r="A259" s="31"/>
      <x:c r="B259" s="108"/>
      <x:c r="C259" s="33"/>
      <x:c r="D259" s="33"/>
      <x:c r="E259" s="33"/>
      <x:c r="F259" s="79"/>
      <x:c r="G259" s="79"/>
      <x:c r="H259" s="33"/>
      <x:c r="I259" s="34"/>
      <x:c r="J259" s="35"/>
      <x:c r="K259" s="35"/>
      <x:c r="L259" s="35"/>
      <x:c r="M259" s="36" t="str">
        <x:f t="shared" si="4"/>
      </x:c>
    </x:row>
    <x:row r="260" ht="25" customHeight="1">
      <x:c r="A260" s="31"/>
      <x:c r="B260" s="108"/>
      <x:c r="C260" s="33"/>
      <x:c r="D260" s="33"/>
      <x:c r="E260" s="33"/>
      <x:c r="F260" s="79"/>
      <x:c r="G260" s="79"/>
      <x:c r="H260" s="33"/>
      <x:c r="I260" s="34"/>
      <x:c r="J260" s="35"/>
      <x:c r="K260" s="35"/>
      <x:c r="L260" s="35"/>
      <x:c r="M260" s="36" t="str">
        <x:f t="shared" si="4"/>
      </x:c>
    </x:row>
    <x:row r="261" ht="25" customHeight="1">
      <x:c r="A261" s="31"/>
      <x:c r="B261" s="108"/>
      <x:c r="C261" s="33"/>
      <x:c r="D261" s="33"/>
      <x:c r="E261" s="33"/>
      <x:c r="F261" s="79"/>
      <x:c r="G261" s="79"/>
      <x:c r="H261" s="33"/>
      <x:c r="I261" s="34"/>
      <x:c r="J261" s="35"/>
      <x:c r="K261" s="35"/>
      <x:c r="L261" s="35"/>
      <x:c r="M261" s="36" t="str">
        <x:f t="shared" si="4"/>
      </x:c>
    </x:row>
    <x:row r="262" ht="25" customHeight="1">
      <x:c r="A262" s="31"/>
      <x:c r="B262" s="108"/>
      <x:c r="C262" s="33"/>
      <x:c r="D262" s="33"/>
      <x:c r="E262" s="33"/>
      <x:c r="F262" s="79"/>
      <x:c r="G262" s="79"/>
      <x:c r="H262" s="33"/>
      <x:c r="I262" s="34"/>
      <x:c r="J262" s="35"/>
      <x:c r="K262" s="35"/>
      <x:c r="L262" s="35"/>
      <x:c r="M262" s="36" t="str">
        <x:f t="shared" si="4"/>
      </x:c>
    </x:row>
    <x:row r="263" ht="25" customHeight="1">
      <x:c r="A263" s="31"/>
      <x:c r="B263" s="108"/>
      <x:c r="C263" s="33"/>
      <x:c r="D263" s="33"/>
      <x:c r="E263" s="33"/>
      <x:c r="F263" s="79"/>
      <x:c r="G263" s="79"/>
      <x:c r="H263" s="33"/>
      <x:c r="I263" s="34"/>
      <x:c r="J263" s="35"/>
      <x:c r="K263" s="35"/>
      <x:c r="L263" s="35"/>
      <x:c r="M263" s="36" t="str">
        <x:f t="shared" si="4"/>
      </x:c>
    </x:row>
    <x:row r="264" ht="25" customHeight="1">
      <x:c r="A264" s="31"/>
      <x:c r="B264" s="108"/>
      <x:c r="C264" s="33"/>
      <x:c r="D264" s="33"/>
      <x:c r="E264" s="33"/>
      <x:c r="F264" s="79"/>
      <x:c r="G264" s="79"/>
      <x:c r="H264" s="33"/>
      <x:c r="I264" s="34"/>
      <x:c r="J264" s="35"/>
      <x:c r="K264" s="35"/>
      <x:c r="L264" s="35"/>
      <x:c r="M264" s="36" t="str">
        <x:f t="shared" si="4"/>
      </x:c>
    </x:row>
    <x:row r="265" ht="25" customHeight="1">
      <x:c r="A265" s="31"/>
      <x:c r="B265" s="108"/>
      <x:c r="C265" s="33"/>
      <x:c r="D265" s="33"/>
      <x:c r="E265" s="33"/>
      <x:c r="F265" s="79"/>
      <x:c r="G265" s="79"/>
      <x:c r="H265" s="33"/>
      <x:c r="I265" s="34"/>
      <x:c r="J265" s="35"/>
      <x:c r="K265" s="35"/>
      <x:c r="L265" s="35"/>
      <x:c r="M265" s="36" t="str">
        <x:f t="shared" si="4"/>
      </x:c>
    </x:row>
    <x:row r="266" ht="25" customHeight="1">
      <x:c r="A266" s="31"/>
      <x:c r="B266" s="108"/>
      <x:c r="C266" s="33"/>
      <x:c r="D266" s="33"/>
      <x:c r="E266" s="33"/>
      <x:c r="F266" s="79"/>
      <x:c r="G266" s="79"/>
      <x:c r="H266" s="33"/>
      <x:c r="I266" s="34"/>
      <x:c r="J266" s="35"/>
      <x:c r="K266" s="35"/>
      <x:c r="L266" s="35"/>
      <x:c r="M266" s="36" t="str">
        <x:f t="shared" si="4"/>
      </x:c>
    </x:row>
    <x:row r="267" ht="25" customHeight="1">
      <x:c r="A267" s="31"/>
      <x:c r="B267" s="108"/>
      <x:c r="C267" s="33"/>
      <x:c r="D267" s="33"/>
      <x:c r="E267" s="33"/>
      <x:c r="F267" s="79"/>
      <x:c r="G267" s="79"/>
      <x:c r="H267" s="33"/>
      <x:c r="I267" s="34"/>
      <x:c r="J267" s="35"/>
      <x:c r="K267" s="35"/>
      <x:c r="L267" s="35"/>
      <x:c r="M267" s="36" t="str">
        <x:f t="shared" si="4"/>
      </x:c>
    </x:row>
    <x:row r="268" ht="25" customHeight="1">
      <x:c r="A268" s="31"/>
      <x:c r="B268" s="108"/>
      <x:c r="C268" s="33"/>
      <x:c r="D268" s="33"/>
      <x:c r="E268" s="33"/>
      <x:c r="F268" s="79"/>
      <x:c r="G268" s="79"/>
      <x:c r="H268" s="33"/>
      <x:c r="I268" s="34"/>
      <x:c r="J268" s="35"/>
      <x:c r="K268" s="35"/>
      <x:c r="L268" s="35"/>
      <x:c r="M268" s="36" t="str">
        <x:f t="shared" si="4"/>
      </x:c>
    </x:row>
    <x:row r="269" ht="25" customHeight="1">
      <x:c r="A269" s="31"/>
      <x:c r="B269" s="108"/>
      <x:c r="C269" s="33"/>
      <x:c r="D269" s="33"/>
      <x:c r="E269" s="33"/>
      <x:c r="F269" s="79"/>
      <x:c r="G269" s="79"/>
      <x:c r="H269" s="33"/>
      <x:c r="I269" s="34"/>
      <x:c r="J269" s="35"/>
      <x:c r="K269" s="35"/>
      <x:c r="L269" s="35"/>
      <x:c r="M269" s="36" t="str">
        <x:f t="shared" si="4"/>
      </x:c>
    </x:row>
    <x:row r="270" ht="25" customHeight="1">
      <x:c r="A270" s="31"/>
      <x:c r="B270" s="108"/>
      <x:c r="C270" s="33"/>
      <x:c r="D270" s="33"/>
      <x:c r="E270" s="33"/>
      <x:c r="F270" s="79"/>
      <x:c r="G270" s="79"/>
      <x:c r="H270" s="33"/>
      <x:c r="I270" s="34"/>
      <x:c r="J270" s="35"/>
      <x:c r="K270" s="35"/>
      <x:c r="L270" s="35"/>
      <x:c r="M270" s="36" t="str">
        <x:f t="shared" si="4"/>
      </x:c>
    </x:row>
    <x:row r="271" ht="25" customHeight="1">
      <x:c r="A271" s="31"/>
      <x:c r="B271" s="108"/>
      <x:c r="C271" s="33"/>
      <x:c r="D271" s="33"/>
      <x:c r="E271" s="33"/>
      <x:c r="F271" s="79"/>
      <x:c r="G271" s="79"/>
      <x:c r="H271" s="33"/>
      <x:c r="I271" s="34"/>
      <x:c r="J271" s="35"/>
      <x:c r="K271" s="35"/>
      <x:c r="L271" s="35"/>
      <x:c r="M271" s="36" t="str">
        <x:f t="shared" si="4"/>
      </x:c>
    </x:row>
    <x:row r="272" ht="25" customHeight="1">
      <x:c r="A272" s="31"/>
      <x:c r="B272" s="108"/>
      <x:c r="C272" s="33"/>
      <x:c r="D272" s="33"/>
      <x:c r="E272" s="33"/>
      <x:c r="F272" s="79"/>
      <x:c r="G272" s="79"/>
      <x:c r="H272" s="33"/>
      <x:c r="I272" s="34"/>
      <x:c r="J272" s="35"/>
      <x:c r="K272" s="35"/>
      <x:c r="L272" s="35"/>
      <x:c r="M272" s="36" t="str">
        <x:f t="shared" si="4"/>
      </x:c>
    </x:row>
    <x:row r="273" ht="25" customHeight="1">
      <x:c r="A273" s="31"/>
      <x:c r="B273" s="108"/>
      <x:c r="C273" s="33"/>
      <x:c r="D273" s="33"/>
      <x:c r="E273" s="33"/>
      <x:c r="F273" s="79"/>
      <x:c r="G273" s="79"/>
      <x:c r="H273" s="33"/>
      <x:c r="I273" s="34"/>
      <x:c r="J273" s="35"/>
      <x:c r="K273" s="35"/>
      <x:c r="L273" s="35"/>
      <x:c r="M273" s="36" t="str">
        <x:f t="shared" si="4"/>
      </x:c>
    </x:row>
    <x:row r="274" ht="25" customHeight="1">
      <x:c r="A274" s="31"/>
      <x:c r="B274" s="108"/>
      <x:c r="C274" s="33"/>
      <x:c r="D274" s="33"/>
      <x:c r="E274" s="33"/>
      <x:c r="F274" s="79"/>
      <x:c r="G274" s="79"/>
      <x:c r="H274" s="33"/>
      <x:c r="I274" s="34"/>
      <x:c r="J274" s="35"/>
      <x:c r="K274" s="35"/>
      <x:c r="L274" s="35"/>
      <x:c r="M274" s="36" t="str">
        <x:f t="shared" si="4"/>
      </x:c>
    </x:row>
    <x:row r="275" ht="25" customHeight="1">
      <x:c r="A275" s="31"/>
      <x:c r="B275" s="108"/>
      <x:c r="C275" s="33"/>
      <x:c r="D275" s="33"/>
      <x:c r="E275" s="33"/>
      <x:c r="F275" s="79"/>
      <x:c r="G275" s="79"/>
      <x:c r="H275" s="33"/>
      <x:c r="I275" s="34"/>
      <x:c r="J275" s="35"/>
      <x:c r="K275" s="35"/>
      <x:c r="L275" s="35"/>
      <x:c r="M275" s="36" t="str">
        <x:f t="shared" si="4"/>
      </x:c>
    </x:row>
    <x:row r="276" ht="25" customHeight="1">
      <x:c r="A276" s="31"/>
      <x:c r="B276" s="108"/>
      <x:c r="C276" s="33"/>
      <x:c r="D276" s="33"/>
      <x:c r="E276" s="33"/>
      <x:c r="F276" s="79"/>
      <x:c r="G276" s="79"/>
      <x:c r="H276" s="33"/>
      <x:c r="I276" s="34"/>
      <x:c r="J276" s="35"/>
      <x:c r="K276" s="35"/>
      <x:c r="L276" s="35"/>
      <x:c r="M276" s="36" t="str">
        <x:f t="shared" si="4"/>
      </x:c>
    </x:row>
    <x:row r="277" ht="25" customHeight="1">
      <x:c r="A277" s="31"/>
      <x:c r="B277" s="108"/>
      <x:c r="C277" s="33"/>
      <x:c r="D277" s="33"/>
      <x:c r="E277" s="33"/>
      <x:c r="F277" s="79"/>
      <x:c r="G277" s="79"/>
      <x:c r="H277" s="33"/>
      <x:c r="I277" s="34"/>
      <x:c r="J277" s="35"/>
      <x:c r="K277" s="35"/>
      <x:c r="L277" s="35"/>
      <x:c r="M277" s="36" t="str">
        <x:f t="shared" si="4"/>
      </x:c>
    </x:row>
    <x:row r="278" ht="25" customHeight="1">
      <x:c r="A278" s="31"/>
      <x:c r="B278" s="108"/>
      <x:c r="C278" s="33"/>
      <x:c r="D278" s="33"/>
      <x:c r="E278" s="33"/>
      <x:c r="F278" s="79"/>
      <x:c r="G278" s="79"/>
      <x:c r="H278" s="33"/>
      <x:c r="I278" s="34"/>
      <x:c r="J278" s="35"/>
      <x:c r="K278" s="35"/>
      <x:c r="L278" s="35"/>
      <x:c r="M278" s="36" t="str">
        <x:f t="shared" si="4"/>
      </x:c>
    </x:row>
    <x:row r="279" ht="25" customHeight="1">
      <x:c r="A279" s="31"/>
      <x:c r="B279" s="108"/>
      <x:c r="C279" s="33"/>
      <x:c r="D279" s="33"/>
      <x:c r="E279" s="33"/>
      <x:c r="F279" s="79"/>
      <x:c r="G279" s="79"/>
      <x:c r="H279" s="33"/>
      <x:c r="I279" s="34"/>
      <x:c r="J279" s="35"/>
      <x:c r="K279" s="35"/>
      <x:c r="L279" s="35"/>
      <x:c r="M279" s="36" t="str">
        <x:f t="shared" si="4"/>
      </x:c>
    </x:row>
    <x:row r="280" ht="25" customHeight="1">
      <x:c r="A280" s="31"/>
      <x:c r="B280" s="108"/>
      <x:c r="C280" s="33"/>
      <x:c r="D280" s="33"/>
      <x:c r="E280" s="33"/>
      <x:c r="F280" s="79"/>
      <x:c r="G280" s="79"/>
      <x:c r="H280" s="33"/>
      <x:c r="I280" s="34"/>
      <x:c r="J280" s="35"/>
      <x:c r="K280" s="35"/>
      <x:c r="L280" s="35"/>
      <x:c r="M280" s="36" t="str">
        <x:f t="shared" si="4"/>
      </x:c>
    </x:row>
    <x:row r="281" ht="25" customHeight="1">
      <x:c r="A281" s="31"/>
      <x:c r="B281" s="108"/>
      <x:c r="C281" s="33"/>
      <x:c r="D281" s="33"/>
      <x:c r="E281" s="33"/>
      <x:c r="F281" s="79"/>
      <x:c r="G281" s="79"/>
      <x:c r="H281" s="33"/>
      <x:c r="I281" s="34"/>
      <x:c r="J281" s="35"/>
      <x:c r="K281" s="35"/>
      <x:c r="L281" s="35"/>
      <x:c r="M281" s="36" t="str">
        <x:f t="shared" si="4"/>
      </x:c>
    </x:row>
    <x:row r="282" ht="25" customHeight="1">
      <x:c r="A282" s="31"/>
      <x:c r="B282" s="108"/>
      <x:c r="C282" s="33"/>
      <x:c r="D282" s="33"/>
      <x:c r="E282" s="33"/>
      <x:c r="F282" s="79"/>
      <x:c r="G282" s="79"/>
      <x:c r="H282" s="33"/>
      <x:c r="I282" s="34"/>
      <x:c r="J282" s="35"/>
      <x:c r="K282" s="35"/>
      <x:c r="L282" s="35"/>
      <x:c r="M282" s="36" t="str">
        <x:f t="shared" si="4"/>
      </x:c>
    </x:row>
    <x:row r="283" ht="25" customHeight="1">
      <x:c r="A283" s="31"/>
      <x:c r="B283" s="108"/>
      <x:c r="C283" s="33"/>
      <x:c r="D283" s="33"/>
      <x:c r="E283" s="33"/>
      <x:c r="F283" s="79"/>
      <x:c r="G283" s="79"/>
      <x:c r="H283" s="33"/>
      <x:c r="I283" s="34"/>
      <x:c r="J283" s="35"/>
      <x:c r="K283" s="35"/>
      <x:c r="L283" s="35"/>
      <x:c r="M283" s="36" t="str">
        <x:f t="shared" si="4"/>
      </x:c>
    </x:row>
    <x:row r="284" ht="25" customHeight="1">
      <x:c r="A284" s="31"/>
      <x:c r="B284" s="108"/>
      <x:c r="C284" s="33"/>
      <x:c r="D284" s="33"/>
      <x:c r="E284" s="33"/>
      <x:c r="F284" s="79"/>
      <x:c r="G284" s="79"/>
      <x:c r="H284" s="33"/>
      <x:c r="I284" s="34"/>
      <x:c r="J284" s="35"/>
      <x:c r="K284" s="35"/>
      <x:c r="L284" s="35"/>
      <x:c r="M284" s="36" t="str">
        <x:f t="shared" si="4"/>
      </x:c>
    </x:row>
    <x:row r="285" ht="25" customHeight="1">
      <x:c r="A285" s="31"/>
      <x:c r="B285" s="108"/>
      <x:c r="C285" s="33"/>
      <x:c r="D285" s="33"/>
      <x:c r="E285" s="33"/>
      <x:c r="F285" s="79"/>
      <x:c r="G285" s="79"/>
      <x:c r="H285" s="33"/>
      <x:c r="I285" s="34"/>
      <x:c r="J285" s="35"/>
      <x:c r="K285" s="35"/>
      <x:c r="L285" s="35"/>
      <x:c r="M285" s="36" t="str">
        <x:f t="shared" si="4"/>
      </x:c>
    </x:row>
    <x:row r="286" ht="25" customHeight="1">
      <x:c r="A286" s="31"/>
      <x:c r="B286" s="108"/>
      <x:c r="C286" s="33"/>
      <x:c r="D286" s="33"/>
      <x:c r="E286" s="33"/>
      <x:c r="F286" s="79"/>
      <x:c r="G286" s="79"/>
      <x:c r="H286" s="33"/>
      <x:c r="I286" s="34"/>
      <x:c r="J286" s="35"/>
      <x:c r="K286" s="35"/>
      <x:c r="L286" s="35"/>
      <x:c r="M286" s="36" t="str">
        <x:f t="shared" si="4"/>
      </x:c>
    </x:row>
    <x:row r="287" ht="25" customHeight="1">
      <x:c r="A287" s="31"/>
      <x:c r="B287" s="108"/>
      <x:c r="C287" s="33"/>
      <x:c r="D287" s="33"/>
      <x:c r="E287" s="33"/>
      <x:c r="F287" s="79"/>
      <x:c r="G287" s="79"/>
      <x:c r="H287" s="33"/>
      <x:c r="I287" s="34"/>
      <x:c r="J287" s="35"/>
      <x:c r="K287" s="35"/>
      <x:c r="L287" s="35"/>
      <x:c r="M287" s="36" t="str">
        <x:f t="shared" si="4"/>
      </x:c>
    </x:row>
    <x:row r="288" ht="25" customHeight="1">
      <x:c r="A288" s="31"/>
      <x:c r="B288" s="108"/>
      <x:c r="C288" s="33"/>
      <x:c r="D288" s="33"/>
      <x:c r="E288" s="33"/>
      <x:c r="F288" s="79"/>
      <x:c r="G288" s="79"/>
      <x:c r="H288" s="33"/>
      <x:c r="I288" s="34"/>
      <x:c r="J288" s="35"/>
      <x:c r="K288" s="35"/>
      <x:c r="L288" s="35"/>
      <x:c r="M288" s="36" t="str">
        <x:f t="shared" si="4"/>
      </x:c>
    </x:row>
    <x:row r="289" ht="25" customHeight="1">
      <x:c r="A289" s="31"/>
      <x:c r="B289" s="108"/>
      <x:c r="C289" s="33"/>
      <x:c r="D289" s="33"/>
      <x:c r="E289" s="33"/>
      <x:c r="F289" s="79"/>
      <x:c r="G289" s="79"/>
      <x:c r="H289" s="33"/>
      <x:c r="I289" s="34"/>
      <x:c r="J289" s="35"/>
      <x:c r="K289" s="35"/>
      <x:c r="L289" s="35"/>
      <x:c r="M289" s="36" t="str">
        <x:f t="shared" si="4"/>
      </x:c>
    </x:row>
    <x:row r="290" ht="25" customHeight="1">
      <x:c r="A290" s="31"/>
      <x:c r="B290" s="108"/>
      <x:c r="C290" s="33"/>
      <x:c r="D290" s="33"/>
      <x:c r="E290" s="33"/>
      <x:c r="F290" s="79"/>
      <x:c r="G290" s="79"/>
      <x:c r="H290" s="33"/>
      <x:c r="I290" s="34"/>
      <x:c r="J290" s="35"/>
      <x:c r="K290" s="35"/>
      <x:c r="L290" s="35"/>
      <x:c r="M290" s="36" t="str">
        <x:f t="shared" si="4"/>
      </x:c>
    </x:row>
    <x:row r="291" ht="25" customHeight="1">
      <x:c r="A291" s="31"/>
      <x:c r="B291" s="108"/>
      <x:c r="C291" s="33"/>
      <x:c r="D291" s="33"/>
      <x:c r="E291" s="33"/>
      <x:c r="F291" s="79"/>
      <x:c r="G291" s="79"/>
      <x:c r="H291" s="33"/>
      <x:c r="I291" s="34"/>
      <x:c r="J291" s="35"/>
      <x:c r="K291" s="35"/>
      <x:c r="L291" s="35"/>
      <x:c r="M291" s="36" t="str">
        <x:f t="shared" si="4"/>
      </x:c>
    </x:row>
    <x:row r="292" ht="25" customHeight="1">
      <x:c r="A292" s="31"/>
      <x:c r="B292" s="108"/>
      <x:c r="C292" s="33"/>
      <x:c r="D292" s="33"/>
      <x:c r="E292" s="33"/>
      <x:c r="F292" s="79"/>
      <x:c r="G292" s="79"/>
      <x:c r="H292" s="33"/>
      <x:c r="I292" s="34"/>
      <x:c r="J292" s="35"/>
      <x:c r="K292" s="35"/>
      <x:c r="L292" s="35"/>
      <x:c r="M292" s="36" t="str">
        <x:f t="shared" si="4"/>
      </x:c>
    </x:row>
    <x:row r="293" ht="25" customHeight="1">
      <x:c r="A293" s="31"/>
      <x:c r="B293" s="108"/>
      <x:c r="C293" s="33"/>
      <x:c r="D293" s="33"/>
      <x:c r="E293" s="33"/>
      <x:c r="F293" s="79"/>
      <x:c r="G293" s="79"/>
      <x:c r="H293" s="33"/>
      <x:c r="I293" s="34"/>
      <x:c r="J293" s="35"/>
      <x:c r="K293" s="35"/>
      <x:c r="L293" s="35"/>
      <x:c r="M293" s="36" t="str">
        <x:f t="shared" si="4"/>
      </x:c>
    </x:row>
    <x:row r="294" ht="25" customHeight="1">
      <x:c r="A294" s="31"/>
      <x:c r="B294" s="108"/>
      <x:c r="C294" s="33"/>
      <x:c r="D294" s="33"/>
      <x:c r="E294" s="33"/>
      <x:c r="F294" s="79"/>
      <x:c r="G294" s="79"/>
      <x:c r="H294" s="33"/>
      <x:c r="I294" s="34"/>
      <x:c r="J294" s="35"/>
      <x:c r="K294" s="35"/>
      <x:c r="L294" s="35"/>
      <x:c r="M294" s="36" t="str">
        <x:f t="shared" si="4"/>
      </x:c>
    </x:row>
    <x:row r="295" ht="25" customHeight="1">
      <x:c r="A295" s="31"/>
      <x:c r="B295" s="108"/>
      <x:c r="C295" s="33"/>
      <x:c r="D295" s="33"/>
      <x:c r="E295" s="33"/>
      <x:c r="F295" s="79"/>
      <x:c r="G295" s="79"/>
      <x:c r="H295" s="33"/>
      <x:c r="I295" s="34"/>
      <x:c r="J295" s="35"/>
      <x:c r="K295" s="35"/>
      <x:c r="L295" s="35"/>
      <x:c r="M295" s="36" t="str">
        <x:f t="shared" si="4"/>
      </x:c>
    </x:row>
    <x:row r="296" ht="25" customHeight="1">
      <x:c r="A296" s="31"/>
      <x:c r="B296" s="108"/>
      <x:c r="C296" s="33"/>
      <x:c r="D296" s="33"/>
      <x:c r="E296" s="33"/>
      <x:c r="F296" s="79"/>
      <x:c r="G296" s="79"/>
      <x:c r="H296" s="33"/>
      <x:c r="I296" s="34"/>
      <x:c r="J296" s="35"/>
      <x:c r="K296" s="35"/>
      <x:c r="L296" s="35"/>
      <x:c r="M296" s="36" t="str">
        <x:f t="shared" si="4"/>
      </x:c>
    </x:row>
    <x:row r="297" ht="25" customHeight="1">
      <x:c r="A297" s="31"/>
      <x:c r="B297" s="108"/>
      <x:c r="C297" s="33"/>
      <x:c r="D297" s="33"/>
      <x:c r="E297" s="33"/>
      <x:c r="F297" s="79"/>
      <x:c r="G297" s="79"/>
      <x:c r="H297" s="33"/>
      <x:c r="I297" s="34"/>
      <x:c r="J297" s="35"/>
      <x:c r="K297" s="35"/>
      <x:c r="L297" s="35"/>
      <x:c r="M297" s="36" t="str">
        <x:f t="shared" si="4"/>
      </x:c>
    </x:row>
    <x:row r="298" ht="25" customHeight="1">
      <x:c r="A298" s="31"/>
      <x:c r="B298" s="108"/>
      <x:c r="C298" s="33"/>
      <x:c r="D298" s="33"/>
      <x:c r="E298" s="33"/>
      <x:c r="F298" s="79"/>
      <x:c r="G298" s="79"/>
      <x:c r="H298" s="33"/>
      <x:c r="I298" s="34"/>
      <x:c r="J298" s="35"/>
      <x:c r="K298" s="35"/>
      <x:c r="L298" s="35"/>
      <x:c r="M298" s="36" t="str">
        <x:f t="shared" si="4"/>
      </x:c>
    </x:row>
    <x:row r="299" ht="25" customHeight="1">
      <x:c r="A299" s="31"/>
      <x:c r="B299" s="108"/>
      <x:c r="C299" s="33"/>
      <x:c r="D299" s="33"/>
      <x:c r="E299" s="33"/>
      <x:c r="F299" s="79"/>
      <x:c r="G299" s="79"/>
      <x:c r="H299" s="33"/>
      <x:c r="I299" s="34"/>
      <x:c r="J299" s="35"/>
      <x:c r="K299" s="35"/>
      <x:c r="L299" s="35"/>
      <x:c r="M299" s="36" t="str">
        <x:f t="shared" si="4"/>
      </x:c>
    </x:row>
    <x:row r="300" ht="25" customHeight="1">
      <x:c r="A300" s="31"/>
      <x:c r="B300" s="108"/>
      <x:c r="C300" s="33"/>
      <x:c r="D300" s="33"/>
      <x:c r="E300" s="33"/>
      <x:c r="F300" s="79"/>
      <x:c r="G300" s="79"/>
      <x:c r="H300" s="33"/>
      <x:c r="I300" s="34"/>
      <x:c r="J300" s="35"/>
      <x:c r="K300" s="35"/>
      <x:c r="L300" s="35"/>
      <x:c r="M300" s="36" t="str">
        <x:f t="shared" si="4"/>
      </x:c>
    </x:row>
    <x:row r="301" ht="25" customHeight="1">
      <x:c r="A301" s="31"/>
      <x:c r="B301" s="108"/>
      <x:c r="C301" s="33"/>
      <x:c r="D301" s="33"/>
      <x:c r="E301" s="33"/>
      <x:c r="F301" s="79"/>
      <x:c r="G301" s="79"/>
      <x:c r="H301" s="33"/>
      <x:c r="I301" s="34"/>
      <x:c r="J301" s="35"/>
      <x:c r="K301" s="35"/>
      <x:c r="L301" s="35"/>
      <x:c r="M301" s="36" t="str">
        <x:f t="shared" si="4"/>
      </x:c>
    </x:row>
    <x:row r="302" ht="25" customHeight="1">
      <x:c r="A302" s="31"/>
      <x:c r="B302" s="108"/>
      <x:c r="C302" s="33"/>
      <x:c r="D302" s="33"/>
      <x:c r="E302" s="33"/>
      <x:c r="F302" s="79"/>
      <x:c r="G302" s="79"/>
      <x:c r="H302" s="33"/>
      <x:c r="I302" s="34"/>
      <x:c r="J302" s="35"/>
      <x:c r="K302" s="35"/>
      <x:c r="L302" s="35"/>
      <x:c r="M302" s="36" t="str">
        <x:f t="shared" si="4"/>
      </x:c>
    </x:row>
    <x:row r="303" ht="25" customHeight="1">
      <x:c r="A303" s="31"/>
      <x:c r="B303" s="108"/>
      <x:c r="C303" s="33"/>
      <x:c r="D303" s="33"/>
      <x:c r="E303" s="33"/>
      <x:c r="F303" s="79"/>
      <x:c r="G303" s="79"/>
      <x:c r="H303" s="33"/>
      <x:c r="I303" s="34"/>
      <x:c r="J303" s="35"/>
      <x:c r="K303" s="35"/>
      <x:c r="L303" s="35"/>
      <x:c r="M303" s="36" t="str">
        <x:f t="shared" si="4"/>
      </x:c>
    </x:row>
    <x:row r="304" ht="25" customHeight="1">
      <x:c r="A304" s="31"/>
      <x:c r="B304" s="108"/>
      <x:c r="C304" s="33"/>
      <x:c r="D304" s="33"/>
      <x:c r="E304" s="33"/>
      <x:c r="F304" s="79"/>
      <x:c r="G304" s="79"/>
      <x:c r="H304" s="33"/>
      <x:c r="I304" s="34"/>
      <x:c r="J304" s="35"/>
      <x:c r="K304" s="35"/>
      <x:c r="L304" s="35"/>
      <x:c r="M304" s="36" t="str">
        <x:f t="shared" si="4"/>
      </x:c>
    </x:row>
    <x:row r="305" ht="25" customHeight="1">
      <x:c r="A305" s="31"/>
      <x:c r="B305" s="108"/>
      <x:c r="C305" s="33"/>
      <x:c r="D305" s="33"/>
      <x:c r="E305" s="33"/>
      <x:c r="F305" s="79"/>
      <x:c r="G305" s="79"/>
      <x:c r="H305" s="33"/>
      <x:c r="I305" s="34"/>
      <x:c r="J305" s="35"/>
      <x:c r="K305" s="35"/>
      <x:c r="L305" s="35"/>
      <x:c r="M305" s="36" t="str">
        <x:f t="shared" si="4"/>
      </x:c>
    </x:row>
    <x:row r="306" ht="25" customHeight="1">
      <x:c r="A306" s="31"/>
      <x:c r="B306" s="108"/>
      <x:c r="C306" s="33"/>
      <x:c r="D306" s="33"/>
      <x:c r="E306" s="33"/>
      <x:c r="F306" s="79"/>
      <x:c r="G306" s="79"/>
      <x:c r="H306" s="33"/>
      <x:c r="I306" s="34"/>
      <x:c r="J306" s="35"/>
      <x:c r="K306" s="35"/>
      <x:c r="L306" s="35"/>
      <x:c r="M306" s="36" t="str">
        <x:f t="shared" si="4"/>
      </x:c>
    </x:row>
    <x:row r="307" ht="25" customHeight="1">
      <x:c r="A307" s="31"/>
      <x:c r="B307" s="108"/>
      <x:c r="C307" s="33"/>
      <x:c r="D307" s="33"/>
      <x:c r="E307" s="33"/>
      <x:c r="F307" s="79"/>
      <x:c r="G307" s="79"/>
      <x:c r="H307" s="33"/>
      <x:c r="I307" s="34"/>
      <x:c r="J307" s="35"/>
      <x:c r="K307" s="35"/>
      <x:c r="L307" s="35"/>
      <x:c r="M307" s="36" t="str">
        <x:f t="shared" si="4"/>
      </x:c>
    </x:row>
    <x:row r="308" ht="25" customHeight="1">
      <x:c r="A308" s="31"/>
      <x:c r="B308" s="108"/>
      <x:c r="C308" s="33"/>
      <x:c r="D308" s="33"/>
      <x:c r="E308" s="33"/>
      <x:c r="F308" s="79"/>
      <x:c r="G308" s="79"/>
      <x:c r="H308" s="33"/>
      <x:c r="I308" s="34"/>
      <x:c r="J308" s="35"/>
      <x:c r="K308" s="35"/>
      <x:c r="L308" s="35"/>
      <x:c r="M308" s="36" t="str">
        <x:f t="shared" si="4"/>
      </x:c>
    </x:row>
    <x:row r="309" ht="25" customHeight="1">
      <x:c r="A309" s="31"/>
      <x:c r="B309" s="108"/>
      <x:c r="C309" s="33"/>
      <x:c r="D309" s="33"/>
      <x:c r="E309" s="33"/>
      <x:c r="F309" s="79"/>
      <x:c r="G309" s="79"/>
      <x:c r="H309" s="33"/>
      <x:c r="I309" s="34"/>
      <x:c r="J309" s="35"/>
      <x:c r="K309" s="35"/>
      <x:c r="L309" s="35"/>
      <x:c r="M309" s="36" t="str">
        <x:f t="shared" si="4"/>
      </x:c>
    </x:row>
    <x:row r="310" ht="25" customHeight="1">
      <x:c r="A310" s="31"/>
      <x:c r="B310" s="108"/>
      <x:c r="C310" s="33"/>
      <x:c r="D310" s="33"/>
      <x:c r="E310" s="33"/>
      <x:c r="F310" s="79"/>
      <x:c r="G310" s="79"/>
      <x:c r="H310" s="33"/>
      <x:c r="I310" s="34"/>
      <x:c r="J310" s="35"/>
      <x:c r="K310" s="35"/>
      <x:c r="L310" s="35"/>
      <x:c r="M310" s="36" t="str">
        <x:f t="shared" si="4"/>
      </x:c>
    </x:row>
    <x:row r="311" ht="25" customHeight="1">
      <x:c r="A311" s="31"/>
      <x:c r="B311" s="108"/>
      <x:c r="C311" s="33"/>
      <x:c r="D311" s="33"/>
      <x:c r="E311" s="33"/>
      <x:c r="F311" s="79"/>
      <x:c r="G311" s="79"/>
      <x:c r="H311" s="33"/>
      <x:c r="I311" s="34"/>
      <x:c r="J311" s="35"/>
      <x:c r="K311" s="35"/>
      <x:c r="L311" s="35"/>
      <x:c r="M311" s="36" t="str">
        <x:f t="shared" si="4"/>
      </x:c>
    </x:row>
    <x:row r="312" ht="25" customHeight="1">
      <x:c r="A312" s="31"/>
      <x:c r="B312" s="108"/>
      <x:c r="C312" s="33"/>
      <x:c r="D312" s="33"/>
      <x:c r="E312" s="33"/>
      <x:c r="F312" s="79"/>
      <x:c r="G312" s="79"/>
      <x:c r="H312" s="33"/>
      <x:c r="I312" s="34"/>
      <x:c r="J312" s="35"/>
      <x:c r="K312" s="35"/>
      <x:c r="L312" s="35"/>
      <x:c r="M312" s="36" t="str">
        <x:f t="shared" si="4"/>
      </x:c>
    </x:row>
    <x:row r="313" ht="25" customHeight="1">
      <x:c r="A313" s="31"/>
      <x:c r="B313" s="108"/>
      <x:c r="C313" s="33"/>
      <x:c r="D313" s="33"/>
      <x:c r="E313" s="33"/>
      <x:c r="F313" s="79"/>
      <x:c r="G313" s="79"/>
      <x:c r="H313" s="33"/>
      <x:c r="I313" s="34"/>
      <x:c r="J313" s="35"/>
      <x:c r="K313" s="35"/>
      <x:c r="L313" s="35"/>
      <x:c r="M313" s="36" t="str">
        <x:f t="shared" si="4"/>
      </x:c>
    </x:row>
    <x:row r="314" ht="25" customHeight="1">
      <x:c r="A314" s="31"/>
      <x:c r="B314" s="108"/>
      <x:c r="C314" s="33"/>
      <x:c r="D314" s="33"/>
      <x:c r="E314" s="33"/>
      <x:c r="F314" s="79"/>
      <x:c r="G314" s="79"/>
      <x:c r="H314" s="33"/>
      <x:c r="I314" s="34"/>
      <x:c r="J314" s="35"/>
      <x:c r="K314" s="35"/>
      <x:c r="L314" s="35"/>
      <x:c r="M314" s="36" t="str">
        <x:f t="shared" si="4"/>
      </x:c>
    </x:row>
    <x:row r="315" ht="25" customHeight="1">
      <x:c r="A315" s="31"/>
      <x:c r="B315" s="108"/>
      <x:c r="C315" s="33"/>
      <x:c r="D315" s="33"/>
      <x:c r="E315" s="33"/>
      <x:c r="F315" s="79"/>
      <x:c r="G315" s="79"/>
      <x:c r="H315" s="33"/>
      <x:c r="I315" s="34"/>
      <x:c r="J315" s="35"/>
      <x:c r="K315" s="35"/>
      <x:c r="L315" s="35"/>
      <x:c r="M315" s="36" t="str">
        <x:f t="shared" si="4"/>
      </x:c>
    </x:row>
    <x:row r="316" ht="25" customHeight="1">
      <x:c r="A316" s="31"/>
      <x:c r="B316" s="108"/>
      <x:c r="C316" s="33"/>
      <x:c r="D316" s="33"/>
      <x:c r="E316" s="33"/>
      <x:c r="F316" s="79"/>
      <x:c r="G316" s="79"/>
      <x:c r="H316" s="33"/>
      <x:c r="I316" s="34"/>
      <x:c r="J316" s="35"/>
      <x:c r="K316" s="35"/>
      <x:c r="L316" s="35"/>
      <x:c r="M316" s="36" t="str">
        <x:f t="shared" si="4"/>
      </x:c>
    </x:row>
    <x:row r="317" ht="25" customHeight="1">
      <x:c r="A317" s="31"/>
      <x:c r="B317" s="108"/>
      <x:c r="C317" s="33"/>
      <x:c r="D317" s="33"/>
      <x:c r="E317" s="33"/>
      <x:c r="F317" s="79"/>
      <x:c r="G317" s="79"/>
      <x:c r="H317" s="33"/>
      <x:c r="I317" s="34"/>
      <x:c r="J317" s="35"/>
      <x:c r="K317" s="35"/>
      <x:c r="L317" s="35"/>
      <x:c r="M317" s="36" t="str">
        <x:f t="shared" si="4"/>
      </x:c>
    </x:row>
    <x:row r="318" ht="25" customHeight="1">
      <x:c r="A318" s="31"/>
      <x:c r="B318" s="108"/>
      <x:c r="C318" s="33"/>
      <x:c r="D318" s="33"/>
      <x:c r="E318" s="33"/>
      <x:c r="F318" s="79"/>
      <x:c r="G318" s="79"/>
      <x:c r="H318" s="33"/>
      <x:c r="I318" s="34"/>
      <x:c r="J318" s="35"/>
      <x:c r="K318" s="35"/>
      <x:c r="L318" s="35"/>
      <x:c r="M318" s="36" t="str">
        <x:f t="shared" si="4"/>
      </x:c>
    </x:row>
    <x:row r="319" ht="25" customHeight="1">
      <x:c r="A319" s="31"/>
      <x:c r="B319" s="108"/>
      <x:c r="C319" s="33"/>
      <x:c r="D319" s="33"/>
      <x:c r="E319" s="33"/>
      <x:c r="F319" s="79"/>
      <x:c r="G319" s="79"/>
      <x:c r="H319" s="33"/>
      <x:c r="I319" s="34"/>
      <x:c r="J319" s="35"/>
      <x:c r="K319" s="35"/>
      <x:c r="L319" s="35"/>
      <x:c r="M319" s="36" t="str">
        <x:f t="shared" si="4"/>
      </x:c>
    </x:row>
    <x:row r="320" ht="25" customHeight="1">
      <x:c r="A320" s="31"/>
      <x:c r="B320" s="108"/>
      <x:c r="C320" s="33"/>
      <x:c r="D320" s="33"/>
      <x:c r="E320" s="33"/>
      <x:c r="F320" s="79"/>
      <x:c r="G320" s="79"/>
      <x:c r="H320" s="33"/>
      <x:c r="I320" s="34"/>
      <x:c r="J320" s="35"/>
      <x:c r="K320" s="35"/>
      <x:c r="L320" s="35"/>
      <x:c r="M320" s="36" t="str">
        <x:f t="shared" si="4"/>
      </x:c>
    </x:row>
    <x:row r="321" ht="25" customHeight="1">
      <x:c r="A321" s="31"/>
      <x:c r="B321" s="108"/>
      <x:c r="C321" s="33"/>
      <x:c r="D321" s="33"/>
      <x:c r="E321" s="33"/>
      <x:c r="F321" s="79"/>
      <x:c r="G321" s="79"/>
      <x:c r="H321" s="33"/>
      <x:c r="I321" s="34"/>
      <x:c r="J321" s="35"/>
      <x:c r="K321" s="35"/>
      <x:c r="L321" s="35"/>
      <x:c r="M321" s="36" t="str">
        <x:f t="shared" si="4"/>
      </x:c>
    </x:row>
    <x:row r="322" ht="25" customHeight="1">
      <x:c r="A322" s="31"/>
      <x:c r="B322" s="108"/>
      <x:c r="C322" s="33"/>
      <x:c r="D322" s="33"/>
      <x:c r="E322" s="33"/>
      <x:c r="F322" s="79"/>
      <x:c r="G322" s="79"/>
      <x:c r="H322" s="33"/>
      <x:c r="I322" s="34"/>
      <x:c r="J322" s="35"/>
      <x:c r="K322" s="35"/>
      <x:c r="L322" s="35"/>
      <x:c r="M322" s="36" t="str">
        <x:f t="shared" ref="M322:M385" si="5">IF(A322="","",IF(NOT(ISNUMBER(F322)),"확인 필요",IF(G322="","재직 중",IF(NOT(ISNUMBER(G322)),"확인 필요",IF(G322&lt;F322,"확인 필요",(G322-F322+1)&amp;"일")))))</x:f>
      </x:c>
    </x:row>
    <x:row r="323" ht="25" customHeight="1">
      <x:c r="A323" s="31"/>
      <x:c r="B323" s="108"/>
      <x:c r="C323" s="33"/>
      <x:c r="D323" s="33"/>
      <x:c r="E323" s="33"/>
      <x:c r="F323" s="79"/>
      <x:c r="G323" s="79"/>
      <x:c r="H323" s="33"/>
      <x:c r="I323" s="34"/>
      <x:c r="J323" s="35"/>
      <x:c r="K323" s="35"/>
      <x:c r="L323" s="35"/>
      <x:c r="M323" s="36" t="str">
        <x:f t="shared" si="5"/>
      </x:c>
    </x:row>
    <x:row r="324" ht="25" customHeight="1">
      <x:c r="A324" s="31"/>
      <x:c r="B324" s="108"/>
      <x:c r="C324" s="33"/>
      <x:c r="D324" s="33"/>
      <x:c r="E324" s="33"/>
      <x:c r="F324" s="79"/>
      <x:c r="G324" s="79"/>
      <x:c r="H324" s="33"/>
      <x:c r="I324" s="34"/>
      <x:c r="J324" s="35"/>
      <x:c r="K324" s="35"/>
      <x:c r="L324" s="35"/>
      <x:c r="M324" s="36" t="str">
        <x:f t="shared" si="5"/>
      </x:c>
    </x:row>
    <x:row r="325" ht="25" customHeight="1">
      <x:c r="A325" s="31"/>
      <x:c r="B325" s="108"/>
      <x:c r="C325" s="33"/>
      <x:c r="D325" s="33"/>
      <x:c r="E325" s="33"/>
      <x:c r="F325" s="79"/>
      <x:c r="G325" s="79"/>
      <x:c r="H325" s="33"/>
      <x:c r="I325" s="34"/>
      <x:c r="J325" s="35"/>
      <x:c r="K325" s="35"/>
      <x:c r="L325" s="35"/>
      <x:c r="M325" s="36" t="str">
        <x:f t="shared" si="5"/>
      </x:c>
    </x:row>
    <x:row r="326" ht="25" customHeight="1">
      <x:c r="A326" s="31"/>
      <x:c r="B326" s="108"/>
      <x:c r="C326" s="33"/>
      <x:c r="D326" s="33"/>
      <x:c r="E326" s="33"/>
      <x:c r="F326" s="79"/>
      <x:c r="G326" s="79"/>
      <x:c r="H326" s="33"/>
      <x:c r="I326" s="34"/>
      <x:c r="J326" s="35"/>
      <x:c r="K326" s="35"/>
      <x:c r="L326" s="35"/>
      <x:c r="M326" s="36" t="str">
        <x:f t="shared" si="5"/>
      </x:c>
    </x:row>
    <x:row r="327" ht="25" customHeight="1">
      <x:c r="A327" s="31"/>
      <x:c r="B327" s="108"/>
      <x:c r="C327" s="33"/>
      <x:c r="D327" s="33"/>
      <x:c r="E327" s="33"/>
      <x:c r="F327" s="79"/>
      <x:c r="G327" s="79"/>
      <x:c r="H327" s="33"/>
      <x:c r="I327" s="34"/>
      <x:c r="J327" s="35"/>
      <x:c r="K327" s="35"/>
      <x:c r="L327" s="35"/>
      <x:c r="M327" s="36" t="str">
        <x:f t="shared" si="5"/>
      </x:c>
    </x:row>
    <x:row r="328" ht="25" customHeight="1">
      <x:c r="A328" s="31"/>
      <x:c r="B328" s="108"/>
      <x:c r="C328" s="33"/>
      <x:c r="D328" s="33"/>
      <x:c r="E328" s="33"/>
      <x:c r="F328" s="79"/>
      <x:c r="G328" s="79"/>
      <x:c r="H328" s="33"/>
      <x:c r="I328" s="34"/>
      <x:c r="J328" s="35"/>
      <x:c r="K328" s="35"/>
      <x:c r="L328" s="35"/>
      <x:c r="M328" s="36" t="str">
        <x:f t="shared" si="5"/>
      </x:c>
    </x:row>
    <x:row r="329" ht="25" customHeight="1">
      <x:c r="A329" s="31"/>
      <x:c r="B329" s="108"/>
      <x:c r="C329" s="33"/>
      <x:c r="D329" s="33"/>
      <x:c r="E329" s="33"/>
      <x:c r="F329" s="79"/>
      <x:c r="G329" s="79"/>
      <x:c r="H329" s="33"/>
      <x:c r="I329" s="34"/>
      <x:c r="J329" s="35"/>
      <x:c r="K329" s="35"/>
      <x:c r="L329" s="35"/>
      <x:c r="M329" s="36" t="str">
        <x:f t="shared" si="5"/>
      </x:c>
    </x:row>
    <x:row r="330" ht="25" customHeight="1">
      <x:c r="A330" s="31"/>
      <x:c r="B330" s="108"/>
      <x:c r="C330" s="33"/>
      <x:c r="D330" s="33"/>
      <x:c r="E330" s="33"/>
      <x:c r="F330" s="79"/>
      <x:c r="G330" s="79"/>
      <x:c r="H330" s="33"/>
      <x:c r="I330" s="34"/>
      <x:c r="J330" s="35"/>
      <x:c r="K330" s="35"/>
      <x:c r="L330" s="35"/>
      <x:c r="M330" s="36" t="str">
        <x:f t="shared" si="5"/>
      </x:c>
    </x:row>
    <x:row r="331" ht="25" customHeight="1">
      <x:c r="A331" s="31"/>
      <x:c r="B331" s="108"/>
      <x:c r="C331" s="33"/>
      <x:c r="D331" s="33"/>
      <x:c r="E331" s="33"/>
      <x:c r="F331" s="79"/>
      <x:c r="G331" s="79"/>
      <x:c r="H331" s="33"/>
      <x:c r="I331" s="34"/>
      <x:c r="J331" s="35"/>
      <x:c r="K331" s="35"/>
      <x:c r="L331" s="35"/>
      <x:c r="M331" s="36" t="str">
        <x:f t="shared" si="5"/>
      </x:c>
    </x:row>
    <x:row r="332" ht="25" customHeight="1">
      <x:c r="A332" s="31"/>
      <x:c r="B332" s="108"/>
      <x:c r="C332" s="33"/>
      <x:c r="D332" s="33"/>
      <x:c r="E332" s="33"/>
      <x:c r="F332" s="79"/>
      <x:c r="G332" s="79"/>
      <x:c r="H332" s="33"/>
      <x:c r="I332" s="34"/>
      <x:c r="J332" s="35"/>
      <x:c r="K332" s="35"/>
      <x:c r="L332" s="35"/>
      <x:c r="M332" s="36" t="str">
        <x:f t="shared" si="5"/>
      </x:c>
    </x:row>
    <x:row r="333" ht="25" customHeight="1">
      <x:c r="A333" s="31"/>
      <x:c r="B333" s="108"/>
      <x:c r="C333" s="33"/>
      <x:c r="D333" s="33"/>
      <x:c r="E333" s="33"/>
      <x:c r="F333" s="79"/>
      <x:c r="G333" s="79"/>
      <x:c r="H333" s="33"/>
      <x:c r="I333" s="34"/>
      <x:c r="J333" s="35"/>
      <x:c r="K333" s="35"/>
      <x:c r="L333" s="35"/>
      <x:c r="M333" s="36" t="str">
        <x:f t="shared" si="5"/>
      </x:c>
    </x:row>
    <x:row r="334" ht="25" customHeight="1">
      <x:c r="A334" s="31"/>
      <x:c r="B334" s="108"/>
      <x:c r="C334" s="33"/>
      <x:c r="D334" s="33"/>
      <x:c r="E334" s="33"/>
      <x:c r="F334" s="79"/>
      <x:c r="G334" s="79"/>
      <x:c r="H334" s="33"/>
      <x:c r="I334" s="34"/>
      <x:c r="J334" s="35"/>
      <x:c r="K334" s="35"/>
      <x:c r="L334" s="35"/>
      <x:c r="M334" s="36" t="str">
        <x:f t="shared" si="5"/>
      </x:c>
    </x:row>
    <x:row r="335" ht="25" customHeight="1">
      <x:c r="A335" s="31"/>
      <x:c r="B335" s="108"/>
      <x:c r="C335" s="33"/>
      <x:c r="D335" s="33"/>
      <x:c r="E335" s="33"/>
      <x:c r="F335" s="79"/>
      <x:c r="G335" s="79"/>
      <x:c r="H335" s="33"/>
      <x:c r="I335" s="34"/>
      <x:c r="J335" s="35"/>
      <x:c r="K335" s="35"/>
      <x:c r="L335" s="35"/>
      <x:c r="M335" s="36" t="str">
        <x:f t="shared" si="5"/>
      </x:c>
    </x:row>
    <x:row r="336" ht="25" customHeight="1">
      <x:c r="A336" s="31"/>
      <x:c r="B336" s="108"/>
      <x:c r="C336" s="33"/>
      <x:c r="D336" s="33"/>
      <x:c r="E336" s="33"/>
      <x:c r="F336" s="79"/>
      <x:c r="G336" s="79"/>
      <x:c r="H336" s="33"/>
      <x:c r="I336" s="34"/>
      <x:c r="J336" s="35"/>
      <x:c r="K336" s="35"/>
      <x:c r="L336" s="35"/>
      <x:c r="M336" s="36" t="str">
        <x:f t="shared" si="5"/>
      </x:c>
    </x:row>
    <x:row r="337" ht="25" customHeight="1">
      <x:c r="A337" s="31"/>
      <x:c r="B337" s="108"/>
      <x:c r="C337" s="33"/>
      <x:c r="D337" s="33"/>
      <x:c r="E337" s="33"/>
      <x:c r="F337" s="79"/>
      <x:c r="G337" s="79"/>
      <x:c r="H337" s="33"/>
      <x:c r="I337" s="34"/>
      <x:c r="J337" s="35"/>
      <x:c r="K337" s="35"/>
      <x:c r="L337" s="35"/>
      <x:c r="M337" s="36" t="str">
        <x:f t="shared" si="5"/>
      </x:c>
    </x:row>
    <x:row r="338" ht="25" customHeight="1">
      <x:c r="A338" s="31"/>
      <x:c r="B338" s="108"/>
      <x:c r="C338" s="33"/>
      <x:c r="D338" s="33"/>
      <x:c r="E338" s="33"/>
      <x:c r="F338" s="79"/>
      <x:c r="G338" s="79"/>
      <x:c r="H338" s="33"/>
      <x:c r="I338" s="34"/>
      <x:c r="J338" s="35"/>
      <x:c r="K338" s="35"/>
      <x:c r="L338" s="35"/>
      <x:c r="M338" s="36" t="str">
        <x:f t="shared" si="5"/>
      </x:c>
    </x:row>
    <x:row r="339" ht="25" customHeight="1">
      <x:c r="A339" s="31"/>
      <x:c r="B339" s="108"/>
      <x:c r="C339" s="33"/>
      <x:c r="D339" s="33"/>
      <x:c r="E339" s="33"/>
      <x:c r="F339" s="79"/>
      <x:c r="G339" s="79"/>
      <x:c r="H339" s="33"/>
      <x:c r="I339" s="34"/>
      <x:c r="J339" s="35"/>
      <x:c r="K339" s="35"/>
      <x:c r="L339" s="35"/>
      <x:c r="M339" s="36" t="str">
        <x:f t="shared" si="5"/>
      </x:c>
    </x:row>
    <x:row r="340" ht="25" customHeight="1">
      <x:c r="A340" s="31"/>
      <x:c r="B340" s="108"/>
      <x:c r="C340" s="33"/>
      <x:c r="D340" s="33"/>
      <x:c r="E340" s="33"/>
      <x:c r="F340" s="79"/>
      <x:c r="G340" s="79"/>
      <x:c r="H340" s="33"/>
      <x:c r="I340" s="34"/>
      <x:c r="J340" s="35"/>
      <x:c r="K340" s="35"/>
      <x:c r="L340" s="35"/>
      <x:c r="M340" s="36" t="str">
        <x:f t="shared" si="5"/>
      </x:c>
    </x:row>
    <x:row r="341" ht="25" customHeight="1">
      <x:c r="A341" s="31"/>
      <x:c r="B341" s="108"/>
      <x:c r="C341" s="33"/>
      <x:c r="D341" s="33"/>
      <x:c r="E341" s="33"/>
      <x:c r="F341" s="79"/>
      <x:c r="G341" s="79"/>
      <x:c r="H341" s="33"/>
      <x:c r="I341" s="34"/>
      <x:c r="J341" s="35"/>
      <x:c r="K341" s="35"/>
      <x:c r="L341" s="35"/>
      <x:c r="M341" s="36" t="str">
        <x:f t="shared" si="5"/>
      </x:c>
    </x:row>
    <x:row r="342" ht="25" customHeight="1">
      <x:c r="A342" s="31"/>
      <x:c r="B342" s="108"/>
      <x:c r="C342" s="33"/>
      <x:c r="D342" s="33"/>
      <x:c r="E342" s="33"/>
      <x:c r="F342" s="79"/>
      <x:c r="G342" s="79"/>
      <x:c r="H342" s="33"/>
      <x:c r="I342" s="34"/>
      <x:c r="J342" s="35"/>
      <x:c r="K342" s="35"/>
      <x:c r="L342" s="35"/>
      <x:c r="M342" s="36" t="str">
        <x:f t="shared" si="5"/>
      </x:c>
    </x:row>
    <x:row r="343" ht="25" customHeight="1">
      <x:c r="A343" s="31"/>
      <x:c r="B343" s="108"/>
      <x:c r="C343" s="33"/>
      <x:c r="D343" s="33"/>
      <x:c r="E343" s="33"/>
      <x:c r="F343" s="79"/>
      <x:c r="G343" s="79"/>
      <x:c r="H343" s="33"/>
      <x:c r="I343" s="34"/>
      <x:c r="J343" s="35"/>
      <x:c r="K343" s="35"/>
      <x:c r="L343" s="35"/>
      <x:c r="M343" s="36" t="str">
        <x:f t="shared" si="5"/>
      </x:c>
    </x:row>
    <x:row r="344" ht="25" customHeight="1">
      <x:c r="A344" s="31"/>
      <x:c r="B344" s="108"/>
      <x:c r="C344" s="33"/>
      <x:c r="D344" s="33"/>
      <x:c r="E344" s="33"/>
      <x:c r="F344" s="79"/>
      <x:c r="G344" s="79"/>
      <x:c r="H344" s="33"/>
      <x:c r="I344" s="34"/>
      <x:c r="J344" s="35"/>
      <x:c r="K344" s="35"/>
      <x:c r="L344" s="35"/>
      <x:c r="M344" s="36" t="str">
        <x:f t="shared" si="5"/>
      </x:c>
    </x:row>
    <x:row r="345" ht="25" customHeight="1">
      <x:c r="A345" s="31"/>
      <x:c r="B345" s="108"/>
      <x:c r="C345" s="33"/>
      <x:c r="D345" s="33"/>
      <x:c r="E345" s="33"/>
      <x:c r="F345" s="79"/>
      <x:c r="G345" s="79"/>
      <x:c r="H345" s="33"/>
      <x:c r="I345" s="34"/>
      <x:c r="J345" s="35"/>
      <x:c r="K345" s="35"/>
      <x:c r="L345" s="35"/>
      <x:c r="M345" s="36" t="str">
        <x:f t="shared" si="5"/>
      </x:c>
    </x:row>
    <x:row r="346" ht="25" customHeight="1">
      <x:c r="A346" s="31"/>
      <x:c r="B346" s="108"/>
      <x:c r="C346" s="33"/>
      <x:c r="D346" s="33"/>
      <x:c r="E346" s="33"/>
      <x:c r="F346" s="79"/>
      <x:c r="G346" s="79"/>
      <x:c r="H346" s="33"/>
      <x:c r="I346" s="34"/>
      <x:c r="J346" s="35"/>
      <x:c r="K346" s="35"/>
      <x:c r="L346" s="35"/>
      <x:c r="M346" s="36" t="str">
        <x:f t="shared" si="5"/>
      </x:c>
    </x:row>
    <x:row r="347" ht="25" customHeight="1">
      <x:c r="A347" s="31"/>
      <x:c r="B347" s="108"/>
      <x:c r="C347" s="33"/>
      <x:c r="D347" s="33"/>
      <x:c r="E347" s="33"/>
      <x:c r="F347" s="79"/>
      <x:c r="G347" s="79"/>
      <x:c r="H347" s="33"/>
      <x:c r="I347" s="34"/>
      <x:c r="J347" s="35"/>
      <x:c r="K347" s="35"/>
      <x:c r="L347" s="35"/>
      <x:c r="M347" s="36" t="str">
        <x:f t="shared" si="5"/>
      </x:c>
    </x:row>
    <x:row r="348" ht="25" customHeight="1">
      <x:c r="A348" s="31"/>
      <x:c r="B348" s="108"/>
      <x:c r="C348" s="33"/>
      <x:c r="D348" s="33"/>
      <x:c r="E348" s="33"/>
      <x:c r="F348" s="79"/>
      <x:c r="G348" s="79"/>
      <x:c r="H348" s="33"/>
      <x:c r="I348" s="34"/>
      <x:c r="J348" s="35"/>
      <x:c r="K348" s="35"/>
      <x:c r="L348" s="35"/>
      <x:c r="M348" s="36" t="str">
        <x:f t="shared" si="5"/>
      </x:c>
    </x:row>
    <x:row r="349" ht="25" customHeight="1">
      <x:c r="A349" s="31"/>
      <x:c r="B349" s="108"/>
      <x:c r="C349" s="33"/>
      <x:c r="D349" s="33"/>
      <x:c r="E349" s="33"/>
      <x:c r="F349" s="79"/>
      <x:c r="G349" s="79"/>
      <x:c r="H349" s="33"/>
      <x:c r="I349" s="34"/>
      <x:c r="J349" s="35"/>
      <x:c r="K349" s="35"/>
      <x:c r="L349" s="35"/>
      <x:c r="M349" s="36" t="str">
        <x:f t="shared" si="5"/>
      </x:c>
    </x:row>
    <x:row r="350" ht="25" customHeight="1">
      <x:c r="A350" s="31"/>
      <x:c r="B350" s="108"/>
      <x:c r="C350" s="33"/>
      <x:c r="D350" s="33"/>
      <x:c r="E350" s="33"/>
      <x:c r="F350" s="79"/>
      <x:c r="G350" s="79"/>
      <x:c r="H350" s="33"/>
      <x:c r="I350" s="34"/>
      <x:c r="J350" s="35"/>
      <x:c r="K350" s="35"/>
      <x:c r="L350" s="35"/>
      <x:c r="M350" s="36" t="str">
        <x:f t="shared" si="5"/>
      </x:c>
    </x:row>
    <x:row r="351" ht="25" customHeight="1">
      <x:c r="A351" s="31"/>
      <x:c r="B351" s="108"/>
      <x:c r="C351" s="33"/>
      <x:c r="D351" s="33"/>
      <x:c r="E351" s="33"/>
      <x:c r="F351" s="79"/>
      <x:c r="G351" s="79"/>
      <x:c r="H351" s="33"/>
      <x:c r="I351" s="34"/>
      <x:c r="J351" s="35"/>
      <x:c r="K351" s="35"/>
      <x:c r="L351" s="35"/>
      <x:c r="M351" s="36" t="str">
        <x:f t="shared" si="5"/>
      </x:c>
    </x:row>
    <x:row r="352" ht="25" customHeight="1">
      <x:c r="A352" s="31"/>
      <x:c r="B352" s="108"/>
      <x:c r="C352" s="33"/>
      <x:c r="D352" s="33"/>
      <x:c r="E352" s="33"/>
      <x:c r="F352" s="79"/>
      <x:c r="G352" s="79"/>
      <x:c r="H352" s="33"/>
      <x:c r="I352" s="34"/>
      <x:c r="J352" s="35"/>
      <x:c r="K352" s="35"/>
      <x:c r="L352" s="35"/>
      <x:c r="M352" s="36" t="str">
        <x:f t="shared" si="5"/>
      </x:c>
    </x:row>
    <x:row r="353" ht="25" customHeight="1">
      <x:c r="A353" s="31"/>
      <x:c r="B353" s="108"/>
      <x:c r="C353" s="33"/>
      <x:c r="D353" s="33"/>
      <x:c r="E353" s="33"/>
      <x:c r="F353" s="79"/>
      <x:c r="G353" s="79"/>
      <x:c r="H353" s="33"/>
      <x:c r="I353" s="34"/>
      <x:c r="J353" s="35"/>
      <x:c r="K353" s="35"/>
      <x:c r="L353" s="35"/>
      <x:c r="M353" s="36" t="str">
        <x:f t="shared" si="5"/>
      </x:c>
    </x:row>
    <x:row r="354" ht="25" customHeight="1">
      <x:c r="A354" s="31"/>
      <x:c r="B354" s="108"/>
      <x:c r="C354" s="33"/>
      <x:c r="D354" s="33"/>
      <x:c r="E354" s="33"/>
      <x:c r="F354" s="79"/>
      <x:c r="G354" s="79"/>
      <x:c r="H354" s="33"/>
      <x:c r="I354" s="34"/>
      <x:c r="J354" s="35"/>
      <x:c r="K354" s="35"/>
      <x:c r="L354" s="35"/>
      <x:c r="M354" s="36" t="str">
        <x:f t="shared" si="5"/>
      </x:c>
    </x:row>
    <x:row r="355" ht="25" customHeight="1">
      <x:c r="A355" s="31"/>
      <x:c r="B355" s="108"/>
      <x:c r="C355" s="33"/>
      <x:c r="D355" s="33"/>
      <x:c r="E355" s="33"/>
      <x:c r="F355" s="79"/>
      <x:c r="G355" s="79"/>
      <x:c r="H355" s="33"/>
      <x:c r="I355" s="34"/>
      <x:c r="J355" s="35"/>
      <x:c r="K355" s="35"/>
      <x:c r="L355" s="35"/>
      <x:c r="M355" s="36" t="str">
        <x:f t="shared" si="5"/>
      </x:c>
    </x:row>
    <x:row r="356" ht="25" customHeight="1">
      <x:c r="A356" s="31"/>
      <x:c r="B356" s="108"/>
      <x:c r="C356" s="33"/>
      <x:c r="D356" s="33"/>
      <x:c r="E356" s="33"/>
      <x:c r="F356" s="79"/>
      <x:c r="G356" s="79"/>
      <x:c r="H356" s="33"/>
      <x:c r="I356" s="34"/>
      <x:c r="J356" s="35"/>
      <x:c r="K356" s="35"/>
      <x:c r="L356" s="35"/>
      <x:c r="M356" s="36" t="str">
        <x:f t="shared" si="5"/>
      </x:c>
    </x:row>
    <x:row r="357" ht="25" customHeight="1">
      <x:c r="A357" s="31"/>
      <x:c r="B357" s="108"/>
      <x:c r="C357" s="33"/>
      <x:c r="D357" s="33"/>
      <x:c r="E357" s="33"/>
      <x:c r="F357" s="79"/>
      <x:c r="G357" s="79"/>
      <x:c r="H357" s="33"/>
      <x:c r="I357" s="34"/>
      <x:c r="J357" s="35"/>
      <x:c r="K357" s="35"/>
      <x:c r="L357" s="35"/>
      <x:c r="M357" s="36" t="str">
        <x:f t="shared" si="5"/>
      </x:c>
    </x:row>
    <x:row r="358" ht="25" customHeight="1">
      <x:c r="A358" s="31"/>
      <x:c r="B358" s="108"/>
      <x:c r="C358" s="33"/>
      <x:c r="D358" s="33"/>
      <x:c r="E358" s="33"/>
      <x:c r="F358" s="79"/>
      <x:c r="G358" s="79"/>
      <x:c r="H358" s="33"/>
      <x:c r="I358" s="34"/>
      <x:c r="J358" s="35"/>
      <x:c r="K358" s="35"/>
      <x:c r="L358" s="35"/>
      <x:c r="M358" s="36" t="str">
        <x:f t="shared" si="5"/>
      </x:c>
    </x:row>
    <x:row r="359" ht="25" customHeight="1">
      <x:c r="A359" s="31"/>
      <x:c r="B359" s="108"/>
      <x:c r="C359" s="33"/>
      <x:c r="D359" s="33"/>
      <x:c r="E359" s="33"/>
      <x:c r="F359" s="79"/>
      <x:c r="G359" s="79"/>
      <x:c r="H359" s="33"/>
      <x:c r="I359" s="34"/>
      <x:c r="J359" s="35"/>
      <x:c r="K359" s="35"/>
      <x:c r="L359" s="35"/>
      <x:c r="M359" s="36" t="str">
        <x:f t="shared" si="5"/>
      </x:c>
    </x:row>
    <x:row r="360" ht="25" customHeight="1">
      <x:c r="A360" s="31"/>
      <x:c r="B360" s="108"/>
      <x:c r="C360" s="33"/>
      <x:c r="D360" s="33"/>
      <x:c r="E360" s="33"/>
      <x:c r="F360" s="79"/>
      <x:c r="G360" s="79"/>
      <x:c r="H360" s="33"/>
      <x:c r="I360" s="34"/>
      <x:c r="J360" s="35"/>
      <x:c r="K360" s="35"/>
      <x:c r="L360" s="35"/>
      <x:c r="M360" s="36" t="str">
        <x:f t="shared" si="5"/>
      </x:c>
    </x:row>
    <x:row r="361" ht="25" customHeight="1">
      <x:c r="A361" s="31"/>
      <x:c r="B361" s="108"/>
      <x:c r="C361" s="33"/>
      <x:c r="D361" s="33"/>
      <x:c r="E361" s="33"/>
      <x:c r="F361" s="79"/>
      <x:c r="G361" s="79"/>
      <x:c r="H361" s="33"/>
      <x:c r="I361" s="34"/>
      <x:c r="J361" s="35"/>
      <x:c r="K361" s="35"/>
      <x:c r="L361" s="35"/>
      <x:c r="M361" s="36" t="str">
        <x:f t="shared" si="5"/>
      </x:c>
    </x:row>
    <x:row r="362" ht="25" customHeight="1">
      <x:c r="A362" s="31"/>
      <x:c r="B362" s="108"/>
      <x:c r="C362" s="33"/>
      <x:c r="D362" s="33"/>
      <x:c r="E362" s="33"/>
      <x:c r="F362" s="79"/>
      <x:c r="G362" s="79"/>
      <x:c r="H362" s="33"/>
      <x:c r="I362" s="34"/>
      <x:c r="J362" s="35"/>
      <x:c r="K362" s="35"/>
      <x:c r="L362" s="35"/>
      <x:c r="M362" s="36" t="str">
        <x:f t="shared" si="5"/>
      </x:c>
    </x:row>
    <x:row r="363" ht="25" customHeight="1">
      <x:c r="A363" s="31"/>
      <x:c r="B363" s="108"/>
      <x:c r="C363" s="33"/>
      <x:c r="D363" s="33"/>
      <x:c r="E363" s="33"/>
      <x:c r="F363" s="79"/>
      <x:c r="G363" s="79"/>
      <x:c r="H363" s="33"/>
      <x:c r="I363" s="34"/>
      <x:c r="J363" s="35"/>
      <x:c r="K363" s="35"/>
      <x:c r="L363" s="35"/>
      <x:c r="M363" s="36" t="str">
        <x:f t="shared" si="5"/>
      </x:c>
    </x:row>
    <x:row r="364" ht="25" customHeight="1">
      <x:c r="A364" s="31"/>
      <x:c r="B364" s="108"/>
      <x:c r="C364" s="33"/>
      <x:c r="D364" s="33"/>
      <x:c r="E364" s="33"/>
      <x:c r="F364" s="79"/>
      <x:c r="G364" s="79"/>
      <x:c r="H364" s="33"/>
      <x:c r="I364" s="34"/>
      <x:c r="J364" s="35"/>
      <x:c r="K364" s="35"/>
      <x:c r="L364" s="35"/>
      <x:c r="M364" s="36" t="str">
        <x:f t="shared" si="5"/>
      </x:c>
    </x:row>
    <x:row r="365" ht="25" customHeight="1">
      <x:c r="A365" s="31"/>
      <x:c r="B365" s="108"/>
      <x:c r="C365" s="33"/>
      <x:c r="D365" s="33"/>
      <x:c r="E365" s="33"/>
      <x:c r="F365" s="79"/>
      <x:c r="G365" s="79"/>
      <x:c r="H365" s="33"/>
      <x:c r="I365" s="34"/>
      <x:c r="J365" s="35"/>
      <x:c r="K365" s="35"/>
      <x:c r="L365" s="35"/>
      <x:c r="M365" s="36" t="str">
        <x:f t="shared" si="5"/>
      </x:c>
    </x:row>
    <x:row r="366" ht="25" customHeight="1">
      <x:c r="A366" s="31"/>
      <x:c r="B366" s="108"/>
      <x:c r="C366" s="33"/>
      <x:c r="D366" s="33"/>
      <x:c r="E366" s="33"/>
      <x:c r="F366" s="79"/>
      <x:c r="G366" s="79"/>
      <x:c r="H366" s="33"/>
      <x:c r="I366" s="34"/>
      <x:c r="J366" s="35"/>
      <x:c r="K366" s="35"/>
      <x:c r="L366" s="35"/>
      <x:c r="M366" s="36" t="str">
        <x:f t="shared" si="5"/>
      </x:c>
    </x:row>
    <x:row r="367" ht="25" customHeight="1">
      <x:c r="A367" s="31"/>
      <x:c r="B367" s="108"/>
      <x:c r="C367" s="33"/>
      <x:c r="D367" s="33"/>
      <x:c r="E367" s="33"/>
      <x:c r="F367" s="79"/>
      <x:c r="G367" s="79"/>
      <x:c r="H367" s="33"/>
      <x:c r="I367" s="34"/>
      <x:c r="J367" s="35"/>
      <x:c r="K367" s="35"/>
      <x:c r="L367" s="35"/>
      <x:c r="M367" s="36" t="str">
        <x:f t="shared" si="5"/>
      </x:c>
    </x:row>
    <x:row r="368" ht="25" customHeight="1">
      <x:c r="A368" s="31"/>
      <x:c r="B368" s="108"/>
      <x:c r="C368" s="33"/>
      <x:c r="D368" s="33"/>
      <x:c r="E368" s="33"/>
      <x:c r="F368" s="79"/>
      <x:c r="G368" s="79"/>
      <x:c r="H368" s="33"/>
      <x:c r="I368" s="34"/>
      <x:c r="J368" s="35"/>
      <x:c r="K368" s="35"/>
      <x:c r="L368" s="35"/>
      <x:c r="M368" s="36" t="str">
        <x:f t="shared" si="5"/>
      </x:c>
    </x:row>
    <x:row r="369" ht="25" customHeight="1">
      <x:c r="A369" s="31"/>
      <x:c r="B369" s="108"/>
      <x:c r="C369" s="33"/>
      <x:c r="D369" s="33"/>
      <x:c r="E369" s="33"/>
      <x:c r="F369" s="79"/>
      <x:c r="G369" s="79"/>
      <x:c r="H369" s="33"/>
      <x:c r="I369" s="34"/>
      <x:c r="J369" s="35"/>
      <x:c r="K369" s="35"/>
      <x:c r="L369" s="35"/>
      <x:c r="M369" s="36" t="str">
        <x:f t="shared" si="5"/>
      </x:c>
    </x:row>
    <x:row r="370" ht="25" customHeight="1">
      <x:c r="A370" s="31"/>
      <x:c r="B370" s="108"/>
      <x:c r="C370" s="33"/>
      <x:c r="D370" s="33"/>
      <x:c r="E370" s="33"/>
      <x:c r="F370" s="79"/>
      <x:c r="G370" s="79"/>
      <x:c r="H370" s="33"/>
      <x:c r="I370" s="34"/>
      <x:c r="J370" s="35"/>
      <x:c r="K370" s="35"/>
      <x:c r="L370" s="35"/>
      <x:c r="M370" s="36" t="str">
        <x:f t="shared" si="5"/>
      </x:c>
    </x:row>
    <x:row r="371" ht="25" customHeight="1">
      <x:c r="A371" s="31"/>
      <x:c r="B371" s="108"/>
      <x:c r="C371" s="33"/>
      <x:c r="D371" s="33"/>
      <x:c r="E371" s="33"/>
      <x:c r="F371" s="79"/>
      <x:c r="G371" s="79"/>
      <x:c r="H371" s="33"/>
      <x:c r="I371" s="34"/>
      <x:c r="J371" s="35"/>
      <x:c r="K371" s="35"/>
      <x:c r="L371" s="35"/>
      <x:c r="M371" s="36" t="str">
        <x:f t="shared" si="5"/>
      </x:c>
    </x:row>
    <x:row r="372" ht="25" customHeight="1">
      <x:c r="A372" s="31"/>
      <x:c r="B372" s="108"/>
      <x:c r="C372" s="33"/>
      <x:c r="D372" s="33"/>
      <x:c r="E372" s="33"/>
      <x:c r="F372" s="79"/>
      <x:c r="G372" s="79"/>
      <x:c r="H372" s="33"/>
      <x:c r="I372" s="34"/>
      <x:c r="J372" s="35"/>
      <x:c r="K372" s="35"/>
      <x:c r="L372" s="35"/>
      <x:c r="M372" s="36" t="str">
        <x:f t="shared" si="5"/>
      </x:c>
    </x:row>
    <x:row r="373" ht="25" customHeight="1">
      <x:c r="A373" s="31"/>
      <x:c r="B373" s="108"/>
      <x:c r="C373" s="33"/>
      <x:c r="D373" s="33"/>
      <x:c r="E373" s="33"/>
      <x:c r="F373" s="79"/>
      <x:c r="G373" s="79"/>
      <x:c r="H373" s="33"/>
      <x:c r="I373" s="34"/>
      <x:c r="J373" s="35"/>
      <x:c r="K373" s="35"/>
      <x:c r="L373" s="35"/>
      <x:c r="M373" s="36" t="str">
        <x:f t="shared" si="5"/>
      </x:c>
    </x:row>
    <x:row r="374" ht="25" customHeight="1">
      <x:c r="A374" s="31"/>
      <x:c r="B374" s="108"/>
      <x:c r="C374" s="33"/>
      <x:c r="D374" s="33"/>
      <x:c r="E374" s="33"/>
      <x:c r="F374" s="79"/>
      <x:c r="G374" s="79"/>
      <x:c r="H374" s="33"/>
      <x:c r="I374" s="34"/>
      <x:c r="J374" s="35"/>
      <x:c r="K374" s="35"/>
      <x:c r="L374" s="35"/>
      <x:c r="M374" s="36" t="str">
        <x:f t="shared" si="5"/>
      </x:c>
    </x:row>
    <x:row r="375" ht="25" customHeight="1">
      <x:c r="A375" s="31"/>
      <x:c r="B375" s="108"/>
      <x:c r="C375" s="33"/>
      <x:c r="D375" s="33"/>
      <x:c r="E375" s="33"/>
      <x:c r="F375" s="79"/>
      <x:c r="G375" s="79"/>
      <x:c r="H375" s="33"/>
      <x:c r="I375" s="34"/>
      <x:c r="J375" s="35"/>
      <x:c r="K375" s="35"/>
      <x:c r="L375" s="35"/>
      <x:c r="M375" s="36" t="str">
        <x:f t="shared" si="5"/>
      </x:c>
    </x:row>
    <x:row r="376" ht="25" customHeight="1">
      <x:c r="A376" s="31"/>
      <x:c r="B376" s="108"/>
      <x:c r="C376" s="33"/>
      <x:c r="D376" s="33"/>
      <x:c r="E376" s="33"/>
      <x:c r="F376" s="79"/>
      <x:c r="G376" s="79"/>
      <x:c r="H376" s="33"/>
      <x:c r="I376" s="34"/>
      <x:c r="J376" s="35"/>
      <x:c r="K376" s="35"/>
      <x:c r="L376" s="35"/>
      <x:c r="M376" s="36" t="str">
        <x:f t="shared" si="5"/>
      </x:c>
    </x:row>
    <x:row r="377" ht="25" customHeight="1">
      <x:c r="A377" s="31"/>
      <x:c r="B377" s="108"/>
      <x:c r="C377" s="33"/>
      <x:c r="D377" s="33"/>
      <x:c r="E377" s="33"/>
      <x:c r="F377" s="79"/>
      <x:c r="G377" s="79"/>
      <x:c r="H377" s="33"/>
      <x:c r="I377" s="34"/>
      <x:c r="J377" s="35"/>
      <x:c r="K377" s="35"/>
      <x:c r="L377" s="35"/>
      <x:c r="M377" s="36" t="str">
        <x:f t="shared" si="5"/>
      </x:c>
    </x:row>
    <x:row r="378" ht="25" customHeight="1">
      <x:c r="A378" s="31"/>
      <x:c r="B378" s="108"/>
      <x:c r="C378" s="33"/>
      <x:c r="D378" s="33"/>
      <x:c r="E378" s="33"/>
      <x:c r="F378" s="79"/>
      <x:c r="G378" s="79"/>
      <x:c r="H378" s="33"/>
      <x:c r="I378" s="34"/>
      <x:c r="J378" s="35"/>
      <x:c r="K378" s="35"/>
      <x:c r="L378" s="35"/>
      <x:c r="M378" s="36" t="str">
        <x:f t="shared" si="5"/>
      </x:c>
    </x:row>
    <x:row r="379" ht="25" customHeight="1">
      <x:c r="A379" s="31"/>
      <x:c r="B379" s="108"/>
      <x:c r="C379" s="33"/>
      <x:c r="D379" s="33"/>
      <x:c r="E379" s="33"/>
      <x:c r="F379" s="79"/>
      <x:c r="G379" s="79"/>
      <x:c r="H379" s="33"/>
      <x:c r="I379" s="34"/>
      <x:c r="J379" s="35"/>
      <x:c r="K379" s="35"/>
      <x:c r="L379" s="35"/>
      <x:c r="M379" s="36" t="str">
        <x:f t="shared" si="5"/>
      </x:c>
    </x:row>
    <x:row r="380" ht="25" customHeight="1">
      <x:c r="A380" s="31"/>
      <x:c r="B380" s="108"/>
      <x:c r="C380" s="33"/>
      <x:c r="D380" s="33"/>
      <x:c r="E380" s="33"/>
      <x:c r="F380" s="79"/>
      <x:c r="G380" s="79"/>
      <x:c r="H380" s="33"/>
      <x:c r="I380" s="34"/>
      <x:c r="J380" s="35"/>
      <x:c r="K380" s="35"/>
      <x:c r="L380" s="35"/>
      <x:c r="M380" s="36" t="str">
        <x:f t="shared" si="5"/>
      </x:c>
    </x:row>
    <x:row r="381" ht="25" customHeight="1">
      <x:c r="A381" s="31"/>
      <x:c r="B381" s="108"/>
      <x:c r="C381" s="33"/>
      <x:c r="D381" s="33"/>
      <x:c r="E381" s="33"/>
      <x:c r="F381" s="79"/>
      <x:c r="G381" s="79"/>
      <x:c r="H381" s="33"/>
      <x:c r="I381" s="34"/>
      <x:c r="J381" s="35"/>
      <x:c r="K381" s="35"/>
      <x:c r="L381" s="35"/>
      <x:c r="M381" s="36" t="str">
        <x:f t="shared" si="5"/>
      </x:c>
    </x:row>
    <x:row r="382" ht="25" customHeight="1">
      <x:c r="A382" s="31"/>
      <x:c r="B382" s="108"/>
      <x:c r="C382" s="33"/>
      <x:c r="D382" s="33"/>
      <x:c r="E382" s="33"/>
      <x:c r="F382" s="79"/>
      <x:c r="G382" s="79"/>
      <x:c r="H382" s="33"/>
      <x:c r="I382" s="34"/>
      <x:c r="J382" s="35"/>
      <x:c r="K382" s="35"/>
      <x:c r="L382" s="35"/>
      <x:c r="M382" s="36" t="str">
        <x:f t="shared" si="5"/>
      </x:c>
    </x:row>
    <x:row r="383" ht="25" customHeight="1">
      <x:c r="A383" s="31"/>
      <x:c r="B383" s="108"/>
      <x:c r="C383" s="33"/>
      <x:c r="D383" s="33"/>
      <x:c r="E383" s="33"/>
      <x:c r="F383" s="79"/>
      <x:c r="G383" s="79"/>
      <x:c r="H383" s="33"/>
      <x:c r="I383" s="34"/>
      <x:c r="J383" s="35"/>
      <x:c r="K383" s="35"/>
      <x:c r="L383" s="35"/>
      <x:c r="M383" s="36" t="str">
        <x:f t="shared" si="5"/>
      </x:c>
    </x:row>
    <x:row r="384" ht="25" customHeight="1">
      <x:c r="A384" s="31"/>
      <x:c r="B384" s="108"/>
      <x:c r="C384" s="33"/>
      <x:c r="D384" s="33"/>
      <x:c r="E384" s="33"/>
      <x:c r="F384" s="79"/>
      <x:c r="G384" s="79"/>
      <x:c r="H384" s="33"/>
      <x:c r="I384" s="34"/>
      <x:c r="J384" s="35"/>
      <x:c r="K384" s="35"/>
      <x:c r="L384" s="35"/>
      <x:c r="M384" s="36" t="str">
        <x:f t="shared" si="5"/>
      </x:c>
    </x:row>
    <x:row r="385" ht="25" customHeight="1">
      <x:c r="A385" s="31"/>
      <x:c r="B385" s="108"/>
      <x:c r="C385" s="33"/>
      <x:c r="D385" s="33"/>
      <x:c r="E385" s="33"/>
      <x:c r="F385" s="79"/>
      <x:c r="G385" s="79"/>
      <x:c r="H385" s="33"/>
      <x:c r="I385" s="34"/>
      <x:c r="J385" s="35"/>
      <x:c r="K385" s="35"/>
      <x:c r="L385" s="35"/>
      <x:c r="M385" s="36" t="str">
        <x:f t="shared" si="5"/>
      </x:c>
    </x:row>
    <x:row r="386" ht="25" customHeight="1">
      <x:c r="A386" s="31"/>
      <x:c r="B386" s="108"/>
      <x:c r="C386" s="33"/>
      <x:c r="D386" s="33"/>
      <x:c r="E386" s="33"/>
      <x:c r="F386" s="79"/>
      <x:c r="G386" s="79"/>
      <x:c r="H386" s="33"/>
      <x:c r="I386" s="34"/>
      <x:c r="J386" s="35"/>
      <x:c r="K386" s="35"/>
      <x:c r="L386" s="35"/>
      <x:c r="M386" s="36" t="str">
        <x:f t="shared" ref="M386:M449" si="6">IF(A386="","",IF(NOT(ISNUMBER(F386)),"확인 필요",IF(G386="","재직 중",IF(NOT(ISNUMBER(G386)),"확인 필요",IF(G386&lt;F386,"확인 필요",(G386-F386+1)&amp;"일")))))</x:f>
      </x:c>
    </x:row>
    <x:row r="387" ht="25" customHeight="1">
      <x:c r="A387" s="31"/>
      <x:c r="B387" s="108"/>
      <x:c r="C387" s="33"/>
      <x:c r="D387" s="33"/>
      <x:c r="E387" s="33"/>
      <x:c r="F387" s="79"/>
      <x:c r="G387" s="79"/>
      <x:c r="H387" s="33"/>
      <x:c r="I387" s="34"/>
      <x:c r="J387" s="35"/>
      <x:c r="K387" s="35"/>
      <x:c r="L387" s="35"/>
      <x:c r="M387" s="36" t="str">
        <x:f t="shared" si="6"/>
      </x:c>
    </x:row>
    <x:row r="388" ht="25" customHeight="1">
      <x:c r="A388" s="31"/>
      <x:c r="B388" s="108"/>
      <x:c r="C388" s="33"/>
      <x:c r="D388" s="33"/>
      <x:c r="E388" s="33"/>
      <x:c r="F388" s="79"/>
      <x:c r="G388" s="79"/>
      <x:c r="H388" s="33"/>
      <x:c r="I388" s="34"/>
      <x:c r="J388" s="35"/>
      <x:c r="K388" s="35"/>
      <x:c r="L388" s="35"/>
      <x:c r="M388" s="36" t="str">
        <x:f t="shared" si="6"/>
      </x:c>
    </x:row>
    <x:row r="389" ht="25" customHeight="1">
      <x:c r="A389" s="31"/>
      <x:c r="B389" s="108"/>
      <x:c r="C389" s="33"/>
      <x:c r="D389" s="33"/>
      <x:c r="E389" s="33"/>
      <x:c r="F389" s="79"/>
      <x:c r="G389" s="79"/>
      <x:c r="H389" s="33"/>
      <x:c r="I389" s="34"/>
      <x:c r="J389" s="35"/>
      <x:c r="K389" s="35"/>
      <x:c r="L389" s="35"/>
      <x:c r="M389" s="36" t="str">
        <x:f t="shared" si="6"/>
      </x:c>
    </x:row>
    <x:row r="390" ht="25" customHeight="1">
      <x:c r="A390" s="31"/>
      <x:c r="B390" s="108"/>
      <x:c r="C390" s="33"/>
      <x:c r="D390" s="33"/>
      <x:c r="E390" s="33"/>
      <x:c r="F390" s="79"/>
      <x:c r="G390" s="79"/>
      <x:c r="H390" s="33"/>
      <x:c r="I390" s="34"/>
      <x:c r="J390" s="35"/>
      <x:c r="K390" s="35"/>
      <x:c r="L390" s="35"/>
      <x:c r="M390" s="36" t="str">
        <x:f t="shared" si="6"/>
      </x:c>
    </x:row>
    <x:row r="391" ht="25" customHeight="1">
      <x:c r="A391" s="31"/>
      <x:c r="B391" s="108"/>
      <x:c r="C391" s="33"/>
      <x:c r="D391" s="33"/>
      <x:c r="E391" s="33"/>
      <x:c r="F391" s="79"/>
      <x:c r="G391" s="79"/>
      <x:c r="H391" s="33"/>
      <x:c r="I391" s="34"/>
      <x:c r="J391" s="35"/>
      <x:c r="K391" s="35"/>
      <x:c r="L391" s="35"/>
      <x:c r="M391" s="36" t="str">
        <x:f t="shared" si="6"/>
      </x:c>
    </x:row>
    <x:row r="392" ht="25" customHeight="1">
      <x:c r="A392" s="31"/>
      <x:c r="B392" s="108"/>
      <x:c r="C392" s="33"/>
      <x:c r="D392" s="33"/>
      <x:c r="E392" s="33"/>
      <x:c r="F392" s="79"/>
      <x:c r="G392" s="79"/>
      <x:c r="H392" s="33"/>
      <x:c r="I392" s="34"/>
      <x:c r="J392" s="35"/>
      <x:c r="K392" s="35"/>
      <x:c r="L392" s="35"/>
      <x:c r="M392" s="36" t="str">
        <x:f t="shared" si="6"/>
      </x:c>
    </x:row>
    <x:row r="393" ht="25" customHeight="1">
      <x:c r="A393" s="31"/>
      <x:c r="B393" s="108"/>
      <x:c r="C393" s="33"/>
      <x:c r="D393" s="33"/>
      <x:c r="E393" s="33"/>
      <x:c r="F393" s="79"/>
      <x:c r="G393" s="79"/>
      <x:c r="H393" s="33"/>
      <x:c r="I393" s="34"/>
      <x:c r="J393" s="35"/>
      <x:c r="K393" s="35"/>
      <x:c r="L393" s="35"/>
      <x:c r="M393" s="36" t="str">
        <x:f t="shared" si="6"/>
      </x:c>
    </x:row>
    <x:row r="394" ht="25" customHeight="1">
      <x:c r="A394" s="31"/>
      <x:c r="B394" s="108"/>
      <x:c r="C394" s="33"/>
      <x:c r="D394" s="33"/>
      <x:c r="E394" s="33"/>
      <x:c r="F394" s="79"/>
      <x:c r="G394" s="79"/>
      <x:c r="H394" s="33"/>
      <x:c r="I394" s="34"/>
      <x:c r="J394" s="35"/>
      <x:c r="K394" s="35"/>
      <x:c r="L394" s="35"/>
      <x:c r="M394" s="36" t="str">
        <x:f t="shared" si="6"/>
      </x:c>
    </x:row>
    <x:row r="395" ht="25" customHeight="1">
      <x:c r="A395" s="31"/>
      <x:c r="B395" s="108"/>
      <x:c r="C395" s="33"/>
      <x:c r="D395" s="33"/>
      <x:c r="E395" s="33"/>
      <x:c r="F395" s="79"/>
      <x:c r="G395" s="79"/>
      <x:c r="H395" s="33"/>
      <x:c r="I395" s="34"/>
      <x:c r="J395" s="35"/>
      <x:c r="K395" s="35"/>
      <x:c r="L395" s="35"/>
      <x:c r="M395" s="36" t="str">
        <x:f t="shared" si="6"/>
      </x:c>
    </x:row>
    <x:row r="396" ht="25" customHeight="1">
      <x:c r="A396" s="31"/>
      <x:c r="B396" s="108"/>
      <x:c r="C396" s="33"/>
      <x:c r="D396" s="33"/>
      <x:c r="E396" s="33"/>
      <x:c r="F396" s="79"/>
      <x:c r="G396" s="79"/>
      <x:c r="H396" s="33"/>
      <x:c r="I396" s="34"/>
      <x:c r="J396" s="35"/>
      <x:c r="K396" s="35"/>
      <x:c r="L396" s="35"/>
      <x:c r="M396" s="36" t="str">
        <x:f t="shared" si="6"/>
      </x:c>
    </x:row>
    <x:row r="397" ht="25" customHeight="1">
      <x:c r="A397" s="31"/>
      <x:c r="B397" s="108"/>
      <x:c r="C397" s="33"/>
      <x:c r="D397" s="33"/>
      <x:c r="E397" s="33"/>
      <x:c r="F397" s="79"/>
      <x:c r="G397" s="79"/>
      <x:c r="H397" s="33"/>
      <x:c r="I397" s="34"/>
      <x:c r="J397" s="35"/>
      <x:c r="K397" s="35"/>
      <x:c r="L397" s="35"/>
      <x:c r="M397" s="36" t="str">
        <x:f t="shared" si="6"/>
      </x:c>
    </x:row>
    <x:row r="398" ht="25" customHeight="1">
      <x:c r="A398" s="31"/>
      <x:c r="B398" s="108"/>
      <x:c r="C398" s="33"/>
      <x:c r="D398" s="33"/>
      <x:c r="E398" s="33"/>
      <x:c r="F398" s="79"/>
      <x:c r="G398" s="79"/>
      <x:c r="H398" s="33"/>
      <x:c r="I398" s="34"/>
      <x:c r="J398" s="35"/>
      <x:c r="K398" s="35"/>
      <x:c r="L398" s="35"/>
      <x:c r="M398" s="36" t="str">
        <x:f t="shared" si="6"/>
      </x:c>
    </x:row>
    <x:row r="399" ht="25" customHeight="1">
      <x:c r="A399" s="31"/>
      <x:c r="B399" s="108"/>
      <x:c r="C399" s="33"/>
      <x:c r="D399" s="33"/>
      <x:c r="E399" s="33"/>
      <x:c r="F399" s="79"/>
      <x:c r="G399" s="79"/>
      <x:c r="H399" s="33"/>
      <x:c r="I399" s="34"/>
      <x:c r="J399" s="35"/>
      <x:c r="K399" s="35"/>
      <x:c r="L399" s="35"/>
      <x:c r="M399" s="36" t="str">
        <x:f t="shared" si="6"/>
      </x:c>
    </x:row>
    <x:row r="400" ht="25" customHeight="1">
      <x:c r="A400" s="31"/>
      <x:c r="B400" s="108"/>
      <x:c r="C400" s="33"/>
      <x:c r="D400" s="33"/>
      <x:c r="E400" s="33"/>
      <x:c r="F400" s="79"/>
      <x:c r="G400" s="79"/>
      <x:c r="H400" s="33"/>
      <x:c r="I400" s="34"/>
      <x:c r="J400" s="35"/>
      <x:c r="K400" s="35"/>
      <x:c r="L400" s="35"/>
      <x:c r="M400" s="36" t="str">
        <x:f t="shared" si="6"/>
      </x:c>
    </x:row>
    <x:row r="401" ht="25" customHeight="1">
      <x:c r="A401" s="31"/>
      <x:c r="B401" s="108"/>
      <x:c r="C401" s="33"/>
      <x:c r="D401" s="33"/>
      <x:c r="E401" s="33"/>
      <x:c r="F401" s="79"/>
      <x:c r="G401" s="79"/>
      <x:c r="H401" s="33"/>
      <x:c r="I401" s="34"/>
      <x:c r="J401" s="35"/>
      <x:c r="K401" s="35"/>
      <x:c r="L401" s="35"/>
      <x:c r="M401" s="36" t="str">
        <x:f t="shared" si="6"/>
      </x:c>
    </x:row>
    <x:row r="402" ht="25" customHeight="1">
      <x:c r="A402" s="31"/>
      <x:c r="B402" s="108"/>
      <x:c r="C402" s="33"/>
      <x:c r="D402" s="33"/>
      <x:c r="E402" s="33"/>
      <x:c r="F402" s="79"/>
      <x:c r="G402" s="79"/>
      <x:c r="H402" s="33"/>
      <x:c r="I402" s="34"/>
      <x:c r="J402" s="35"/>
      <x:c r="K402" s="35"/>
      <x:c r="L402" s="35"/>
      <x:c r="M402" s="36" t="str">
        <x:f t="shared" si="6"/>
      </x:c>
    </x:row>
    <x:row r="403" ht="25" customHeight="1">
      <x:c r="A403" s="31"/>
      <x:c r="B403" s="108"/>
      <x:c r="C403" s="33"/>
      <x:c r="D403" s="33"/>
      <x:c r="E403" s="33"/>
      <x:c r="F403" s="79"/>
      <x:c r="G403" s="79"/>
      <x:c r="H403" s="33"/>
      <x:c r="I403" s="34"/>
      <x:c r="J403" s="35"/>
      <x:c r="K403" s="35"/>
      <x:c r="L403" s="35"/>
      <x:c r="M403" s="36" t="str">
        <x:f t="shared" si="6"/>
      </x:c>
    </x:row>
    <x:row r="404" ht="25" customHeight="1">
      <x:c r="A404" s="31"/>
      <x:c r="B404" s="108"/>
      <x:c r="C404" s="33"/>
      <x:c r="D404" s="33"/>
      <x:c r="E404" s="33"/>
      <x:c r="F404" s="79"/>
      <x:c r="G404" s="79"/>
      <x:c r="H404" s="33"/>
      <x:c r="I404" s="34"/>
      <x:c r="J404" s="35"/>
      <x:c r="K404" s="35"/>
      <x:c r="L404" s="35"/>
      <x:c r="M404" s="36" t="str">
        <x:f t="shared" si="6"/>
      </x:c>
    </x:row>
    <x:row r="405" ht="25" customHeight="1">
      <x:c r="A405" s="31"/>
      <x:c r="B405" s="108"/>
      <x:c r="C405" s="33"/>
      <x:c r="D405" s="33"/>
      <x:c r="E405" s="33"/>
      <x:c r="F405" s="79"/>
      <x:c r="G405" s="79"/>
      <x:c r="H405" s="33"/>
      <x:c r="I405" s="34"/>
      <x:c r="J405" s="35"/>
      <x:c r="K405" s="35"/>
      <x:c r="L405" s="35"/>
      <x:c r="M405" s="36" t="str">
        <x:f t="shared" si="6"/>
      </x:c>
    </x:row>
    <x:row r="406" ht="25" customHeight="1">
      <x:c r="A406" s="31"/>
      <x:c r="B406" s="108"/>
      <x:c r="C406" s="33"/>
      <x:c r="D406" s="33"/>
      <x:c r="E406" s="33"/>
      <x:c r="F406" s="79"/>
      <x:c r="G406" s="79"/>
      <x:c r="H406" s="33"/>
      <x:c r="I406" s="34"/>
      <x:c r="J406" s="35"/>
      <x:c r="K406" s="35"/>
      <x:c r="L406" s="35"/>
      <x:c r="M406" s="36" t="str">
        <x:f t="shared" si="6"/>
      </x:c>
    </x:row>
    <x:row r="407" ht="25" customHeight="1">
      <x:c r="A407" s="31"/>
      <x:c r="B407" s="108"/>
      <x:c r="C407" s="33"/>
      <x:c r="D407" s="33"/>
      <x:c r="E407" s="33"/>
      <x:c r="F407" s="79"/>
      <x:c r="G407" s="79"/>
      <x:c r="H407" s="33"/>
      <x:c r="I407" s="34"/>
      <x:c r="J407" s="35"/>
      <x:c r="K407" s="35"/>
      <x:c r="L407" s="35"/>
      <x:c r="M407" s="36" t="str">
        <x:f t="shared" si="6"/>
      </x:c>
    </x:row>
    <x:row r="408" ht="25" customHeight="1">
      <x:c r="A408" s="31"/>
      <x:c r="B408" s="108"/>
      <x:c r="C408" s="33"/>
      <x:c r="D408" s="33"/>
      <x:c r="E408" s="33"/>
      <x:c r="F408" s="79"/>
      <x:c r="G408" s="79"/>
      <x:c r="H408" s="33"/>
      <x:c r="I408" s="34"/>
      <x:c r="J408" s="35"/>
      <x:c r="K408" s="35"/>
      <x:c r="L408" s="35"/>
      <x:c r="M408" s="36" t="str">
        <x:f t="shared" si="6"/>
      </x:c>
    </x:row>
    <x:row r="409" ht="25" customHeight="1">
      <x:c r="A409" s="31"/>
      <x:c r="B409" s="108"/>
      <x:c r="C409" s="33"/>
      <x:c r="D409" s="33"/>
      <x:c r="E409" s="33"/>
      <x:c r="F409" s="79"/>
      <x:c r="G409" s="79"/>
      <x:c r="H409" s="33"/>
      <x:c r="I409" s="34"/>
      <x:c r="J409" s="35"/>
      <x:c r="K409" s="35"/>
      <x:c r="L409" s="35"/>
      <x:c r="M409" s="36" t="str">
        <x:f t="shared" si="6"/>
      </x:c>
    </x:row>
    <x:row r="410" ht="25" customHeight="1">
      <x:c r="A410" s="31"/>
      <x:c r="B410" s="108"/>
      <x:c r="C410" s="33"/>
      <x:c r="D410" s="33"/>
      <x:c r="E410" s="33"/>
      <x:c r="F410" s="79"/>
      <x:c r="G410" s="79"/>
      <x:c r="H410" s="33"/>
      <x:c r="I410" s="34"/>
      <x:c r="J410" s="35"/>
      <x:c r="K410" s="35"/>
      <x:c r="L410" s="35"/>
      <x:c r="M410" s="36" t="str">
        <x:f t="shared" si="6"/>
      </x:c>
    </x:row>
    <x:row r="411" ht="25" customHeight="1">
      <x:c r="A411" s="31"/>
      <x:c r="B411" s="108"/>
      <x:c r="C411" s="33"/>
      <x:c r="D411" s="33"/>
      <x:c r="E411" s="33"/>
      <x:c r="F411" s="79"/>
      <x:c r="G411" s="79"/>
      <x:c r="H411" s="33"/>
      <x:c r="I411" s="34"/>
      <x:c r="J411" s="35"/>
      <x:c r="K411" s="35"/>
      <x:c r="L411" s="35"/>
      <x:c r="M411" s="36" t="str">
        <x:f t="shared" si="6"/>
      </x:c>
    </x:row>
    <x:row r="412" ht="25" customHeight="1">
      <x:c r="A412" s="31"/>
      <x:c r="B412" s="108"/>
      <x:c r="C412" s="33"/>
      <x:c r="D412" s="33"/>
      <x:c r="E412" s="33"/>
      <x:c r="F412" s="79"/>
      <x:c r="G412" s="79"/>
      <x:c r="H412" s="33"/>
      <x:c r="I412" s="34"/>
      <x:c r="J412" s="35"/>
      <x:c r="K412" s="35"/>
      <x:c r="L412" s="35"/>
      <x:c r="M412" s="36" t="str">
        <x:f t="shared" si="6"/>
      </x:c>
    </x:row>
    <x:row r="413" ht="25" customHeight="1">
      <x:c r="A413" s="31"/>
      <x:c r="B413" s="108"/>
      <x:c r="C413" s="33"/>
      <x:c r="D413" s="33"/>
      <x:c r="E413" s="33"/>
      <x:c r="F413" s="79"/>
      <x:c r="G413" s="79"/>
      <x:c r="H413" s="33"/>
      <x:c r="I413" s="34"/>
      <x:c r="J413" s="35"/>
      <x:c r="K413" s="35"/>
      <x:c r="L413" s="35"/>
      <x:c r="M413" s="36" t="str">
        <x:f t="shared" si="6"/>
      </x:c>
    </x:row>
    <x:row r="414" ht="25" customHeight="1">
      <x:c r="A414" s="31"/>
      <x:c r="B414" s="108"/>
      <x:c r="C414" s="33"/>
      <x:c r="D414" s="33"/>
      <x:c r="E414" s="33"/>
      <x:c r="F414" s="79"/>
      <x:c r="G414" s="79"/>
      <x:c r="H414" s="33"/>
      <x:c r="I414" s="34"/>
      <x:c r="J414" s="35"/>
      <x:c r="K414" s="35"/>
      <x:c r="L414" s="35"/>
      <x:c r="M414" s="36" t="str">
        <x:f t="shared" si="6"/>
      </x:c>
    </x:row>
    <x:row r="415" ht="25" customHeight="1">
      <x:c r="A415" s="31"/>
      <x:c r="B415" s="108"/>
      <x:c r="C415" s="33"/>
      <x:c r="D415" s="33"/>
      <x:c r="E415" s="33"/>
      <x:c r="F415" s="79"/>
      <x:c r="G415" s="79"/>
      <x:c r="H415" s="33"/>
      <x:c r="I415" s="34"/>
      <x:c r="J415" s="35"/>
      <x:c r="K415" s="35"/>
      <x:c r="L415" s="35"/>
      <x:c r="M415" s="36" t="str">
        <x:f t="shared" si="6"/>
      </x:c>
    </x:row>
    <x:row r="416" ht="25" customHeight="1">
      <x:c r="A416" s="31"/>
      <x:c r="B416" s="108"/>
      <x:c r="C416" s="33"/>
      <x:c r="D416" s="33"/>
      <x:c r="E416" s="33"/>
      <x:c r="F416" s="79"/>
      <x:c r="G416" s="79"/>
      <x:c r="H416" s="33"/>
      <x:c r="I416" s="34"/>
      <x:c r="J416" s="35"/>
      <x:c r="K416" s="35"/>
      <x:c r="L416" s="35"/>
      <x:c r="M416" s="36" t="str">
        <x:f t="shared" si="6"/>
      </x:c>
    </x:row>
    <x:row r="417" ht="25" customHeight="1">
      <x:c r="A417" s="31"/>
      <x:c r="B417" s="108"/>
      <x:c r="C417" s="33"/>
      <x:c r="D417" s="33"/>
      <x:c r="E417" s="33"/>
      <x:c r="F417" s="79"/>
      <x:c r="G417" s="79"/>
      <x:c r="H417" s="33"/>
      <x:c r="I417" s="34"/>
      <x:c r="J417" s="35"/>
      <x:c r="K417" s="35"/>
      <x:c r="L417" s="35"/>
      <x:c r="M417" s="36" t="str">
        <x:f t="shared" si="6"/>
      </x:c>
    </x:row>
    <x:row r="418" ht="25" customHeight="1">
      <x:c r="A418" s="31"/>
      <x:c r="B418" s="108"/>
      <x:c r="C418" s="33"/>
      <x:c r="D418" s="33"/>
      <x:c r="E418" s="33"/>
      <x:c r="F418" s="79"/>
      <x:c r="G418" s="79"/>
      <x:c r="H418" s="33"/>
      <x:c r="I418" s="34"/>
      <x:c r="J418" s="35"/>
      <x:c r="K418" s="35"/>
      <x:c r="L418" s="35"/>
      <x:c r="M418" s="36" t="str">
        <x:f t="shared" si="6"/>
      </x:c>
    </x:row>
    <x:row r="419" ht="25" customHeight="1">
      <x:c r="A419" s="31"/>
      <x:c r="B419" s="108"/>
      <x:c r="C419" s="33"/>
      <x:c r="D419" s="33"/>
      <x:c r="E419" s="33"/>
      <x:c r="F419" s="79"/>
      <x:c r="G419" s="79"/>
      <x:c r="H419" s="33"/>
      <x:c r="I419" s="34"/>
      <x:c r="J419" s="35"/>
      <x:c r="K419" s="35"/>
      <x:c r="L419" s="35"/>
      <x:c r="M419" s="36" t="str">
        <x:f t="shared" si="6"/>
      </x:c>
    </x:row>
    <x:row r="420" ht="25" customHeight="1">
      <x:c r="A420" s="31"/>
      <x:c r="B420" s="108"/>
      <x:c r="C420" s="33"/>
      <x:c r="D420" s="33"/>
      <x:c r="E420" s="33"/>
      <x:c r="F420" s="79"/>
      <x:c r="G420" s="79"/>
      <x:c r="H420" s="33"/>
      <x:c r="I420" s="34"/>
      <x:c r="J420" s="35"/>
      <x:c r="K420" s="35"/>
      <x:c r="L420" s="35"/>
      <x:c r="M420" s="36" t="str">
        <x:f t="shared" si="6"/>
      </x:c>
    </x:row>
    <x:row r="421" ht="25" customHeight="1">
      <x:c r="A421" s="31"/>
      <x:c r="B421" s="108"/>
      <x:c r="C421" s="33"/>
      <x:c r="D421" s="33"/>
      <x:c r="E421" s="33"/>
      <x:c r="F421" s="79"/>
      <x:c r="G421" s="79"/>
      <x:c r="H421" s="33"/>
      <x:c r="I421" s="34"/>
      <x:c r="J421" s="35"/>
      <x:c r="K421" s="35"/>
      <x:c r="L421" s="35"/>
      <x:c r="M421" s="36" t="str">
        <x:f t="shared" si="6"/>
      </x:c>
    </x:row>
    <x:row r="422" ht="25" customHeight="1">
      <x:c r="A422" s="31"/>
      <x:c r="B422" s="108"/>
      <x:c r="C422" s="33"/>
      <x:c r="D422" s="33"/>
      <x:c r="E422" s="33"/>
      <x:c r="F422" s="79"/>
      <x:c r="G422" s="79"/>
      <x:c r="H422" s="33"/>
      <x:c r="I422" s="34"/>
      <x:c r="J422" s="35"/>
      <x:c r="K422" s="35"/>
      <x:c r="L422" s="35"/>
      <x:c r="M422" s="36" t="str">
        <x:f t="shared" si="6"/>
      </x:c>
    </x:row>
    <x:row r="423" ht="25" customHeight="1">
      <x:c r="A423" s="31"/>
      <x:c r="B423" s="108"/>
      <x:c r="C423" s="33"/>
      <x:c r="D423" s="33"/>
      <x:c r="E423" s="33"/>
      <x:c r="F423" s="79"/>
      <x:c r="G423" s="79"/>
      <x:c r="H423" s="33"/>
      <x:c r="I423" s="34"/>
      <x:c r="J423" s="35"/>
      <x:c r="K423" s="35"/>
      <x:c r="L423" s="35"/>
      <x:c r="M423" s="36" t="str">
        <x:f t="shared" si="6"/>
      </x:c>
    </x:row>
    <x:row r="424" ht="25" customHeight="1">
      <x:c r="A424" s="31"/>
      <x:c r="B424" s="108"/>
      <x:c r="C424" s="33"/>
      <x:c r="D424" s="33"/>
      <x:c r="E424" s="33"/>
      <x:c r="F424" s="79"/>
      <x:c r="G424" s="79"/>
      <x:c r="H424" s="33"/>
      <x:c r="I424" s="34"/>
      <x:c r="J424" s="35"/>
      <x:c r="K424" s="35"/>
      <x:c r="L424" s="35"/>
      <x:c r="M424" s="36" t="str">
        <x:f t="shared" si="6"/>
      </x:c>
    </x:row>
    <x:row r="425" ht="25" customHeight="1">
      <x:c r="A425" s="31"/>
      <x:c r="B425" s="108"/>
      <x:c r="C425" s="33"/>
      <x:c r="D425" s="33"/>
      <x:c r="E425" s="33"/>
      <x:c r="F425" s="79"/>
      <x:c r="G425" s="79"/>
      <x:c r="H425" s="33"/>
      <x:c r="I425" s="34"/>
      <x:c r="J425" s="35"/>
      <x:c r="K425" s="35"/>
      <x:c r="L425" s="35"/>
      <x:c r="M425" s="36" t="str">
        <x:f t="shared" si="6"/>
      </x:c>
    </x:row>
    <x:row r="426" ht="25" customHeight="1">
      <x:c r="A426" s="31"/>
      <x:c r="B426" s="108"/>
      <x:c r="C426" s="33"/>
      <x:c r="D426" s="33"/>
      <x:c r="E426" s="33"/>
      <x:c r="F426" s="79"/>
      <x:c r="G426" s="79"/>
      <x:c r="H426" s="33"/>
      <x:c r="I426" s="34"/>
      <x:c r="J426" s="35"/>
      <x:c r="K426" s="35"/>
      <x:c r="L426" s="35"/>
      <x:c r="M426" s="36" t="str">
        <x:f t="shared" si="6"/>
      </x:c>
    </x:row>
    <x:row r="427" ht="25" customHeight="1">
      <x:c r="A427" s="31"/>
      <x:c r="B427" s="108"/>
      <x:c r="C427" s="33"/>
      <x:c r="D427" s="33"/>
      <x:c r="E427" s="33"/>
      <x:c r="F427" s="79"/>
      <x:c r="G427" s="79"/>
      <x:c r="H427" s="33"/>
      <x:c r="I427" s="34"/>
      <x:c r="J427" s="35"/>
      <x:c r="K427" s="35"/>
      <x:c r="L427" s="35"/>
      <x:c r="M427" s="36" t="str">
        <x:f t="shared" si="6"/>
      </x:c>
    </x:row>
    <x:row r="428" ht="25" customHeight="1">
      <x:c r="A428" s="31"/>
      <x:c r="B428" s="108"/>
      <x:c r="C428" s="33"/>
      <x:c r="D428" s="33"/>
      <x:c r="E428" s="33"/>
      <x:c r="F428" s="79"/>
      <x:c r="G428" s="79"/>
      <x:c r="H428" s="33"/>
      <x:c r="I428" s="34"/>
      <x:c r="J428" s="35"/>
      <x:c r="K428" s="35"/>
      <x:c r="L428" s="35"/>
      <x:c r="M428" s="36" t="str">
        <x:f t="shared" si="6"/>
      </x:c>
    </x:row>
    <x:row r="429" ht="25" customHeight="1">
      <x:c r="A429" s="31"/>
      <x:c r="B429" s="108"/>
      <x:c r="C429" s="33"/>
      <x:c r="D429" s="33"/>
      <x:c r="E429" s="33"/>
      <x:c r="F429" s="79"/>
      <x:c r="G429" s="79"/>
      <x:c r="H429" s="33"/>
      <x:c r="I429" s="34"/>
      <x:c r="J429" s="35"/>
      <x:c r="K429" s="35"/>
      <x:c r="L429" s="35"/>
      <x:c r="M429" s="36" t="str">
        <x:f t="shared" si="6"/>
      </x:c>
    </x:row>
    <x:row r="430" ht="25" customHeight="1">
      <x:c r="A430" s="31"/>
      <x:c r="B430" s="108"/>
      <x:c r="C430" s="33"/>
      <x:c r="D430" s="33"/>
      <x:c r="E430" s="33"/>
      <x:c r="F430" s="79"/>
      <x:c r="G430" s="79"/>
      <x:c r="H430" s="33"/>
      <x:c r="I430" s="34"/>
      <x:c r="J430" s="35"/>
      <x:c r="K430" s="35"/>
      <x:c r="L430" s="35"/>
      <x:c r="M430" s="36" t="str">
        <x:f t="shared" si="6"/>
      </x:c>
    </x:row>
    <x:row r="431" ht="25" customHeight="1">
      <x:c r="A431" s="31"/>
      <x:c r="B431" s="108"/>
      <x:c r="C431" s="33"/>
      <x:c r="D431" s="33"/>
      <x:c r="E431" s="33"/>
      <x:c r="F431" s="79"/>
      <x:c r="G431" s="79"/>
      <x:c r="H431" s="33"/>
      <x:c r="I431" s="34"/>
      <x:c r="J431" s="35"/>
      <x:c r="K431" s="35"/>
      <x:c r="L431" s="35"/>
      <x:c r="M431" s="36" t="str">
        <x:f t="shared" si="6"/>
      </x:c>
    </x:row>
    <x:row r="432" ht="25" customHeight="1">
      <x:c r="A432" s="31"/>
      <x:c r="B432" s="108"/>
      <x:c r="C432" s="33"/>
      <x:c r="D432" s="33"/>
      <x:c r="E432" s="33"/>
      <x:c r="F432" s="79"/>
      <x:c r="G432" s="79"/>
      <x:c r="H432" s="33"/>
      <x:c r="I432" s="34"/>
      <x:c r="J432" s="35"/>
      <x:c r="K432" s="35"/>
      <x:c r="L432" s="35"/>
      <x:c r="M432" s="36" t="str">
        <x:f t="shared" si="6"/>
      </x:c>
    </x:row>
    <x:row r="433" ht="25" customHeight="1">
      <x:c r="A433" s="31"/>
      <x:c r="B433" s="108"/>
      <x:c r="C433" s="33"/>
      <x:c r="D433" s="33"/>
      <x:c r="E433" s="33"/>
      <x:c r="F433" s="79"/>
      <x:c r="G433" s="79"/>
      <x:c r="H433" s="33"/>
      <x:c r="I433" s="34"/>
      <x:c r="J433" s="35"/>
      <x:c r="K433" s="35"/>
      <x:c r="L433" s="35"/>
      <x:c r="M433" s="36" t="str">
        <x:f t="shared" si="6"/>
      </x:c>
    </x:row>
    <x:row r="434" ht="25" customHeight="1">
      <x:c r="A434" s="31"/>
      <x:c r="B434" s="108"/>
      <x:c r="C434" s="33"/>
      <x:c r="D434" s="33"/>
      <x:c r="E434" s="33"/>
      <x:c r="F434" s="79"/>
      <x:c r="G434" s="79"/>
      <x:c r="H434" s="33"/>
      <x:c r="I434" s="34"/>
      <x:c r="J434" s="35"/>
      <x:c r="K434" s="35"/>
      <x:c r="L434" s="35"/>
      <x:c r="M434" s="36" t="str">
        <x:f t="shared" si="6"/>
      </x:c>
    </x:row>
    <x:row r="435" ht="25" customHeight="1">
      <x:c r="A435" s="31"/>
      <x:c r="B435" s="108"/>
      <x:c r="C435" s="33"/>
      <x:c r="D435" s="33"/>
      <x:c r="E435" s="33"/>
      <x:c r="F435" s="79"/>
      <x:c r="G435" s="79"/>
      <x:c r="H435" s="33"/>
      <x:c r="I435" s="34"/>
      <x:c r="J435" s="35"/>
      <x:c r="K435" s="35"/>
      <x:c r="L435" s="35"/>
      <x:c r="M435" s="36" t="str">
        <x:f t="shared" si="6"/>
      </x:c>
    </x:row>
    <x:row r="436" ht="25" customHeight="1">
      <x:c r="A436" s="31"/>
      <x:c r="B436" s="108"/>
      <x:c r="C436" s="33"/>
      <x:c r="D436" s="33"/>
      <x:c r="E436" s="33"/>
      <x:c r="F436" s="79"/>
      <x:c r="G436" s="79"/>
      <x:c r="H436" s="33"/>
      <x:c r="I436" s="34"/>
      <x:c r="J436" s="35"/>
      <x:c r="K436" s="35"/>
      <x:c r="L436" s="35"/>
      <x:c r="M436" s="36" t="str">
        <x:f t="shared" si="6"/>
      </x:c>
    </x:row>
    <x:row r="437" ht="25" customHeight="1">
      <x:c r="A437" s="31"/>
      <x:c r="B437" s="108"/>
      <x:c r="C437" s="33"/>
      <x:c r="D437" s="33"/>
      <x:c r="E437" s="33"/>
      <x:c r="F437" s="79"/>
      <x:c r="G437" s="79"/>
      <x:c r="H437" s="33"/>
      <x:c r="I437" s="34"/>
      <x:c r="J437" s="35"/>
      <x:c r="K437" s="35"/>
      <x:c r="L437" s="35"/>
      <x:c r="M437" s="36" t="str">
        <x:f t="shared" si="6"/>
      </x:c>
    </x:row>
    <x:row r="438" ht="25" customHeight="1">
      <x:c r="A438" s="31"/>
      <x:c r="B438" s="108"/>
      <x:c r="C438" s="33"/>
      <x:c r="D438" s="33"/>
      <x:c r="E438" s="33"/>
      <x:c r="F438" s="79"/>
      <x:c r="G438" s="79"/>
      <x:c r="H438" s="33"/>
      <x:c r="I438" s="34"/>
      <x:c r="J438" s="35"/>
      <x:c r="K438" s="35"/>
      <x:c r="L438" s="35"/>
      <x:c r="M438" s="36" t="str">
        <x:f t="shared" si="6"/>
      </x:c>
    </x:row>
    <x:row r="439" ht="25" customHeight="1">
      <x:c r="A439" s="31"/>
      <x:c r="B439" s="108"/>
      <x:c r="C439" s="33"/>
      <x:c r="D439" s="33"/>
      <x:c r="E439" s="33"/>
      <x:c r="F439" s="79"/>
      <x:c r="G439" s="79"/>
      <x:c r="H439" s="33"/>
      <x:c r="I439" s="34"/>
      <x:c r="J439" s="35"/>
      <x:c r="K439" s="35"/>
      <x:c r="L439" s="35"/>
      <x:c r="M439" s="36" t="str">
        <x:f t="shared" si="6"/>
      </x:c>
    </x:row>
    <x:row r="440" ht="25" customHeight="1">
      <x:c r="A440" s="31"/>
      <x:c r="B440" s="108"/>
      <x:c r="C440" s="33"/>
      <x:c r="D440" s="33"/>
      <x:c r="E440" s="33"/>
      <x:c r="F440" s="79"/>
      <x:c r="G440" s="79"/>
      <x:c r="H440" s="33"/>
      <x:c r="I440" s="34"/>
      <x:c r="J440" s="35"/>
      <x:c r="K440" s="35"/>
      <x:c r="L440" s="35"/>
      <x:c r="M440" s="36" t="str">
        <x:f t="shared" si="6"/>
      </x:c>
    </x:row>
    <x:row r="441" ht="25" customHeight="1">
      <x:c r="A441" s="31"/>
      <x:c r="B441" s="108"/>
      <x:c r="C441" s="33"/>
      <x:c r="D441" s="33"/>
      <x:c r="E441" s="33"/>
      <x:c r="F441" s="79"/>
      <x:c r="G441" s="79"/>
      <x:c r="H441" s="33"/>
      <x:c r="I441" s="34"/>
      <x:c r="J441" s="35"/>
      <x:c r="K441" s="35"/>
      <x:c r="L441" s="35"/>
      <x:c r="M441" s="36" t="str">
        <x:f t="shared" si="6"/>
      </x:c>
    </x:row>
    <x:row r="442" ht="25" customHeight="1">
      <x:c r="A442" s="31"/>
      <x:c r="B442" s="108"/>
      <x:c r="C442" s="33"/>
      <x:c r="D442" s="33"/>
      <x:c r="E442" s="33"/>
      <x:c r="F442" s="79"/>
      <x:c r="G442" s="79"/>
      <x:c r="H442" s="33"/>
      <x:c r="I442" s="34"/>
      <x:c r="J442" s="35"/>
      <x:c r="K442" s="35"/>
      <x:c r="L442" s="35"/>
      <x:c r="M442" s="36" t="str">
        <x:f t="shared" si="6"/>
      </x:c>
    </x:row>
    <x:row r="443" ht="25" customHeight="1">
      <x:c r="A443" s="31"/>
      <x:c r="B443" s="108"/>
      <x:c r="C443" s="33"/>
      <x:c r="D443" s="33"/>
      <x:c r="E443" s="33"/>
      <x:c r="F443" s="79"/>
      <x:c r="G443" s="79"/>
      <x:c r="H443" s="33"/>
      <x:c r="I443" s="34"/>
      <x:c r="J443" s="35"/>
      <x:c r="K443" s="35"/>
      <x:c r="L443" s="35"/>
      <x:c r="M443" s="36" t="str">
        <x:f t="shared" si="6"/>
      </x:c>
    </x:row>
    <x:row r="444" ht="25" customHeight="1">
      <x:c r="A444" s="31"/>
      <x:c r="B444" s="108"/>
      <x:c r="C444" s="33"/>
      <x:c r="D444" s="33"/>
      <x:c r="E444" s="33"/>
      <x:c r="F444" s="79"/>
      <x:c r="G444" s="79"/>
      <x:c r="H444" s="33"/>
      <x:c r="I444" s="34"/>
      <x:c r="J444" s="35"/>
      <x:c r="K444" s="35"/>
      <x:c r="L444" s="35"/>
      <x:c r="M444" s="36" t="str">
        <x:f t="shared" si="6"/>
      </x:c>
    </x:row>
    <x:row r="445" ht="25" customHeight="1">
      <x:c r="A445" s="31"/>
      <x:c r="B445" s="108"/>
      <x:c r="C445" s="33"/>
      <x:c r="D445" s="33"/>
      <x:c r="E445" s="33"/>
      <x:c r="F445" s="79"/>
      <x:c r="G445" s="79"/>
      <x:c r="H445" s="33"/>
      <x:c r="I445" s="34"/>
      <x:c r="J445" s="35"/>
      <x:c r="K445" s="35"/>
      <x:c r="L445" s="35"/>
      <x:c r="M445" s="36" t="str">
        <x:f t="shared" si="6"/>
      </x:c>
    </x:row>
    <x:row r="446" ht="25" customHeight="1">
      <x:c r="A446" s="31"/>
      <x:c r="B446" s="108"/>
      <x:c r="C446" s="33"/>
      <x:c r="D446" s="33"/>
      <x:c r="E446" s="33"/>
      <x:c r="F446" s="79"/>
      <x:c r="G446" s="79"/>
      <x:c r="H446" s="33"/>
      <x:c r="I446" s="34"/>
      <x:c r="J446" s="35"/>
      <x:c r="K446" s="35"/>
      <x:c r="L446" s="35"/>
      <x:c r="M446" s="36" t="str">
        <x:f t="shared" si="6"/>
      </x:c>
    </x:row>
    <x:row r="447" ht="25" customHeight="1">
      <x:c r="A447" s="31"/>
      <x:c r="B447" s="108"/>
      <x:c r="C447" s="33"/>
      <x:c r="D447" s="33"/>
      <x:c r="E447" s="33"/>
      <x:c r="F447" s="79"/>
      <x:c r="G447" s="79"/>
      <x:c r="H447" s="33"/>
      <x:c r="I447" s="34"/>
      <x:c r="J447" s="35"/>
      <x:c r="K447" s="35"/>
      <x:c r="L447" s="35"/>
      <x:c r="M447" s="36" t="str">
        <x:f t="shared" si="6"/>
      </x:c>
    </x:row>
    <x:row r="448" ht="25" customHeight="1">
      <x:c r="A448" s="31"/>
      <x:c r="B448" s="108"/>
      <x:c r="C448" s="33"/>
      <x:c r="D448" s="33"/>
      <x:c r="E448" s="33"/>
      <x:c r="F448" s="79"/>
      <x:c r="G448" s="79"/>
      <x:c r="H448" s="33"/>
      <x:c r="I448" s="34"/>
      <x:c r="J448" s="35"/>
      <x:c r="K448" s="35"/>
      <x:c r="L448" s="35"/>
      <x:c r="M448" s="36" t="str">
        <x:f t="shared" si="6"/>
      </x:c>
    </x:row>
    <x:row r="449" ht="25" customHeight="1">
      <x:c r="A449" s="31"/>
      <x:c r="B449" s="108"/>
      <x:c r="C449" s="33"/>
      <x:c r="D449" s="33"/>
      <x:c r="E449" s="33"/>
      <x:c r="F449" s="79"/>
      <x:c r="G449" s="79"/>
      <x:c r="H449" s="33"/>
      <x:c r="I449" s="34"/>
      <x:c r="J449" s="35"/>
      <x:c r="K449" s="35"/>
      <x:c r="L449" s="35"/>
      <x:c r="M449" s="36" t="str">
        <x:f t="shared" si="6"/>
      </x:c>
    </x:row>
    <x:row r="450" ht="25" customHeight="1">
      <x:c r="A450" s="31"/>
      <x:c r="B450" s="108"/>
      <x:c r="C450" s="33"/>
      <x:c r="D450" s="33"/>
      <x:c r="E450" s="33"/>
      <x:c r="F450" s="79"/>
      <x:c r="G450" s="79"/>
      <x:c r="H450" s="33"/>
      <x:c r="I450" s="34"/>
      <x:c r="J450" s="35"/>
      <x:c r="K450" s="35"/>
      <x:c r="L450" s="35"/>
      <x:c r="M450" s="36" t="str">
        <x:f t="shared" ref="M450:M501" si="7">IF(A450="","",IF(NOT(ISNUMBER(F450)),"확인 필요",IF(G450="","재직 중",IF(NOT(ISNUMBER(G450)),"확인 필요",IF(G450&lt;F450,"확인 필요",(G450-F450+1)&amp;"일")))))</x:f>
      </x:c>
    </x:row>
    <x:row r="451" ht="25" customHeight="1">
      <x:c r="A451" s="31"/>
      <x:c r="B451" s="108"/>
      <x:c r="C451" s="33"/>
      <x:c r="D451" s="33"/>
      <x:c r="E451" s="33"/>
      <x:c r="F451" s="79"/>
      <x:c r="G451" s="79"/>
      <x:c r="H451" s="33"/>
      <x:c r="I451" s="34"/>
      <x:c r="J451" s="35"/>
      <x:c r="K451" s="35"/>
      <x:c r="L451" s="35"/>
      <x:c r="M451" s="36" t="str">
        <x:f t="shared" si="7"/>
      </x:c>
    </x:row>
    <x:row r="452" ht="25" customHeight="1">
      <x:c r="A452" s="31"/>
      <x:c r="B452" s="108"/>
      <x:c r="C452" s="33"/>
      <x:c r="D452" s="33"/>
      <x:c r="E452" s="33"/>
      <x:c r="F452" s="79"/>
      <x:c r="G452" s="79"/>
      <x:c r="H452" s="33"/>
      <x:c r="I452" s="34"/>
      <x:c r="J452" s="35"/>
      <x:c r="K452" s="35"/>
      <x:c r="L452" s="35"/>
      <x:c r="M452" s="36" t="str">
        <x:f t="shared" si="7"/>
      </x:c>
    </x:row>
    <x:row r="453" ht="25" customHeight="1">
      <x:c r="A453" s="31"/>
      <x:c r="B453" s="108"/>
      <x:c r="C453" s="33"/>
      <x:c r="D453" s="33"/>
      <x:c r="E453" s="33"/>
      <x:c r="F453" s="79"/>
      <x:c r="G453" s="79"/>
      <x:c r="H453" s="33"/>
      <x:c r="I453" s="34"/>
      <x:c r="J453" s="35"/>
      <x:c r="K453" s="35"/>
      <x:c r="L453" s="35"/>
      <x:c r="M453" s="36" t="str">
        <x:f t="shared" si="7"/>
      </x:c>
    </x:row>
    <x:row r="454" ht="25" customHeight="1">
      <x:c r="A454" s="31"/>
      <x:c r="B454" s="108"/>
      <x:c r="C454" s="33"/>
      <x:c r="D454" s="33"/>
      <x:c r="E454" s="33"/>
      <x:c r="F454" s="79"/>
      <x:c r="G454" s="79"/>
      <x:c r="H454" s="33"/>
      <x:c r="I454" s="34"/>
      <x:c r="J454" s="35"/>
      <x:c r="K454" s="35"/>
      <x:c r="L454" s="35"/>
      <x:c r="M454" s="36" t="str">
        <x:f t="shared" si="7"/>
      </x:c>
    </x:row>
    <x:row r="455" ht="25" customHeight="1">
      <x:c r="A455" s="31"/>
      <x:c r="B455" s="108"/>
      <x:c r="C455" s="33"/>
      <x:c r="D455" s="33"/>
      <x:c r="E455" s="33"/>
      <x:c r="F455" s="79"/>
      <x:c r="G455" s="79"/>
      <x:c r="H455" s="33"/>
      <x:c r="I455" s="34"/>
      <x:c r="J455" s="35"/>
      <x:c r="K455" s="35"/>
      <x:c r="L455" s="35"/>
      <x:c r="M455" s="36" t="str">
        <x:f t="shared" si="7"/>
      </x:c>
    </x:row>
    <x:row r="456" ht="25" customHeight="1">
      <x:c r="A456" s="31"/>
      <x:c r="B456" s="108"/>
      <x:c r="C456" s="33"/>
      <x:c r="D456" s="33"/>
      <x:c r="E456" s="33"/>
      <x:c r="F456" s="79"/>
      <x:c r="G456" s="79"/>
      <x:c r="H456" s="33"/>
      <x:c r="I456" s="34"/>
      <x:c r="J456" s="35"/>
      <x:c r="K456" s="35"/>
      <x:c r="L456" s="35"/>
      <x:c r="M456" s="36" t="str">
        <x:f t="shared" si="7"/>
      </x:c>
    </x:row>
    <x:row r="457" ht="25" customHeight="1">
      <x:c r="A457" s="31"/>
      <x:c r="B457" s="108"/>
      <x:c r="C457" s="33"/>
      <x:c r="D457" s="33"/>
      <x:c r="E457" s="33"/>
      <x:c r="F457" s="79"/>
      <x:c r="G457" s="79"/>
      <x:c r="H457" s="33"/>
      <x:c r="I457" s="34"/>
      <x:c r="J457" s="35"/>
      <x:c r="K457" s="35"/>
      <x:c r="L457" s="35"/>
      <x:c r="M457" s="36" t="str">
        <x:f t="shared" si="7"/>
      </x:c>
    </x:row>
    <x:row r="458" ht="25" customHeight="1">
      <x:c r="A458" s="31"/>
      <x:c r="B458" s="108"/>
      <x:c r="C458" s="33"/>
      <x:c r="D458" s="33"/>
      <x:c r="E458" s="33"/>
      <x:c r="F458" s="79"/>
      <x:c r="G458" s="79"/>
      <x:c r="H458" s="33"/>
      <x:c r="I458" s="34"/>
      <x:c r="J458" s="35"/>
      <x:c r="K458" s="35"/>
      <x:c r="L458" s="35"/>
      <x:c r="M458" s="36" t="str">
        <x:f t="shared" si="7"/>
      </x:c>
    </x:row>
    <x:row r="459" ht="25" customHeight="1">
      <x:c r="A459" s="31"/>
      <x:c r="B459" s="108"/>
      <x:c r="C459" s="33"/>
      <x:c r="D459" s="33"/>
      <x:c r="E459" s="33"/>
      <x:c r="F459" s="79"/>
      <x:c r="G459" s="79"/>
      <x:c r="H459" s="33"/>
      <x:c r="I459" s="34"/>
      <x:c r="J459" s="35"/>
      <x:c r="K459" s="35"/>
      <x:c r="L459" s="35"/>
      <x:c r="M459" s="36" t="str">
        <x:f t="shared" si="7"/>
      </x:c>
    </x:row>
    <x:row r="460" ht="25" customHeight="1">
      <x:c r="A460" s="31"/>
      <x:c r="B460" s="108"/>
      <x:c r="C460" s="33"/>
      <x:c r="D460" s="33"/>
      <x:c r="E460" s="33"/>
      <x:c r="F460" s="79"/>
      <x:c r="G460" s="79"/>
      <x:c r="H460" s="33"/>
      <x:c r="I460" s="34"/>
      <x:c r="J460" s="35"/>
      <x:c r="K460" s="35"/>
      <x:c r="L460" s="35"/>
      <x:c r="M460" s="36" t="str">
        <x:f t="shared" si="7"/>
      </x:c>
    </x:row>
    <x:row r="461" ht="25" customHeight="1">
      <x:c r="A461" s="31"/>
      <x:c r="B461" s="108"/>
      <x:c r="C461" s="33"/>
      <x:c r="D461" s="33"/>
      <x:c r="E461" s="33"/>
      <x:c r="F461" s="79"/>
      <x:c r="G461" s="79"/>
      <x:c r="H461" s="33"/>
      <x:c r="I461" s="34"/>
      <x:c r="J461" s="35"/>
      <x:c r="K461" s="35"/>
      <x:c r="L461" s="35"/>
      <x:c r="M461" s="36" t="str">
        <x:f t="shared" si="7"/>
      </x:c>
    </x:row>
    <x:row r="462" ht="25" customHeight="1">
      <x:c r="A462" s="31"/>
      <x:c r="B462" s="108"/>
      <x:c r="C462" s="33"/>
      <x:c r="D462" s="33"/>
      <x:c r="E462" s="33"/>
      <x:c r="F462" s="79"/>
      <x:c r="G462" s="79"/>
      <x:c r="H462" s="33"/>
      <x:c r="I462" s="34"/>
      <x:c r="J462" s="35"/>
      <x:c r="K462" s="35"/>
      <x:c r="L462" s="35"/>
      <x:c r="M462" s="36" t="str">
        <x:f t="shared" si="7"/>
      </x:c>
    </x:row>
    <x:row r="463" ht="25" customHeight="1">
      <x:c r="A463" s="31"/>
      <x:c r="B463" s="108"/>
      <x:c r="C463" s="33"/>
      <x:c r="D463" s="33"/>
      <x:c r="E463" s="33"/>
      <x:c r="F463" s="79"/>
      <x:c r="G463" s="79"/>
      <x:c r="H463" s="33"/>
      <x:c r="I463" s="34"/>
      <x:c r="J463" s="35"/>
      <x:c r="K463" s="35"/>
      <x:c r="L463" s="35"/>
      <x:c r="M463" s="36" t="str">
        <x:f t="shared" si="7"/>
      </x:c>
    </x:row>
    <x:row r="464" ht="25" customHeight="1">
      <x:c r="A464" s="31"/>
      <x:c r="B464" s="108"/>
      <x:c r="C464" s="33"/>
      <x:c r="D464" s="33"/>
      <x:c r="E464" s="33"/>
      <x:c r="F464" s="79"/>
      <x:c r="G464" s="79"/>
      <x:c r="H464" s="33"/>
      <x:c r="I464" s="34"/>
      <x:c r="J464" s="35"/>
      <x:c r="K464" s="35"/>
      <x:c r="L464" s="35"/>
      <x:c r="M464" s="36" t="str">
        <x:f t="shared" si="7"/>
      </x:c>
    </x:row>
    <x:row r="465" ht="25" customHeight="1">
      <x:c r="A465" s="31"/>
      <x:c r="B465" s="108"/>
      <x:c r="C465" s="33"/>
      <x:c r="D465" s="33"/>
      <x:c r="E465" s="33"/>
      <x:c r="F465" s="79"/>
      <x:c r="G465" s="79"/>
      <x:c r="H465" s="33"/>
      <x:c r="I465" s="34"/>
      <x:c r="J465" s="35"/>
      <x:c r="K465" s="35"/>
      <x:c r="L465" s="35"/>
      <x:c r="M465" s="36" t="str">
        <x:f t="shared" si="7"/>
      </x:c>
    </x:row>
    <x:row r="466" ht="25" customHeight="1">
      <x:c r="A466" s="31"/>
      <x:c r="B466" s="108"/>
      <x:c r="C466" s="33"/>
      <x:c r="D466" s="33"/>
      <x:c r="E466" s="33"/>
      <x:c r="F466" s="79"/>
      <x:c r="G466" s="79"/>
      <x:c r="H466" s="33"/>
      <x:c r="I466" s="34"/>
      <x:c r="J466" s="35"/>
      <x:c r="K466" s="35"/>
      <x:c r="L466" s="35"/>
      <x:c r="M466" s="36" t="str">
        <x:f t="shared" si="7"/>
      </x:c>
    </x:row>
    <x:row r="467" ht="25" customHeight="1">
      <x:c r="A467" s="31"/>
      <x:c r="B467" s="108"/>
      <x:c r="C467" s="33"/>
      <x:c r="D467" s="33"/>
      <x:c r="E467" s="33"/>
      <x:c r="F467" s="79"/>
      <x:c r="G467" s="79"/>
      <x:c r="H467" s="33"/>
      <x:c r="I467" s="34"/>
      <x:c r="J467" s="35"/>
      <x:c r="K467" s="35"/>
      <x:c r="L467" s="35"/>
      <x:c r="M467" s="36" t="str">
        <x:f t="shared" si="7"/>
      </x:c>
    </x:row>
    <x:row r="468" ht="25" customHeight="1">
      <x:c r="A468" s="31"/>
      <x:c r="B468" s="108"/>
      <x:c r="C468" s="33"/>
      <x:c r="D468" s="33"/>
      <x:c r="E468" s="33"/>
      <x:c r="F468" s="79"/>
      <x:c r="G468" s="79"/>
      <x:c r="H468" s="33"/>
      <x:c r="I468" s="34"/>
      <x:c r="J468" s="35"/>
      <x:c r="K468" s="35"/>
      <x:c r="L468" s="35"/>
      <x:c r="M468" s="36" t="str">
        <x:f t="shared" si="7"/>
      </x:c>
    </x:row>
    <x:row r="469" ht="25" customHeight="1">
      <x:c r="A469" s="31"/>
      <x:c r="B469" s="108"/>
      <x:c r="C469" s="33"/>
      <x:c r="D469" s="33"/>
      <x:c r="E469" s="33"/>
      <x:c r="F469" s="79"/>
      <x:c r="G469" s="79"/>
      <x:c r="H469" s="33"/>
      <x:c r="I469" s="34"/>
      <x:c r="J469" s="35"/>
      <x:c r="K469" s="35"/>
      <x:c r="L469" s="35"/>
      <x:c r="M469" s="36" t="str">
        <x:f t="shared" si="7"/>
      </x:c>
    </x:row>
    <x:row r="470" ht="25" customHeight="1">
      <x:c r="A470" s="31"/>
      <x:c r="B470" s="108"/>
      <x:c r="C470" s="33"/>
      <x:c r="D470" s="33"/>
      <x:c r="E470" s="33"/>
      <x:c r="F470" s="79"/>
      <x:c r="G470" s="79"/>
      <x:c r="H470" s="33"/>
      <x:c r="I470" s="34"/>
      <x:c r="J470" s="35"/>
      <x:c r="K470" s="35"/>
      <x:c r="L470" s="35"/>
      <x:c r="M470" s="36" t="str">
        <x:f t="shared" si="7"/>
      </x:c>
    </x:row>
    <x:row r="471" ht="25" customHeight="1">
      <x:c r="A471" s="31"/>
      <x:c r="B471" s="108"/>
      <x:c r="C471" s="33"/>
      <x:c r="D471" s="33"/>
      <x:c r="E471" s="33"/>
      <x:c r="F471" s="79"/>
      <x:c r="G471" s="79"/>
      <x:c r="H471" s="33"/>
      <x:c r="I471" s="34"/>
      <x:c r="J471" s="35"/>
      <x:c r="K471" s="35"/>
      <x:c r="L471" s="35"/>
      <x:c r="M471" s="36" t="str">
        <x:f t="shared" si="7"/>
      </x:c>
    </x:row>
    <x:row r="472" ht="25" customHeight="1">
      <x:c r="A472" s="31"/>
      <x:c r="B472" s="108"/>
      <x:c r="C472" s="33"/>
      <x:c r="D472" s="33"/>
      <x:c r="E472" s="33"/>
      <x:c r="F472" s="79"/>
      <x:c r="G472" s="79"/>
      <x:c r="H472" s="33"/>
      <x:c r="I472" s="34"/>
      <x:c r="J472" s="35"/>
      <x:c r="K472" s="35"/>
      <x:c r="L472" s="35"/>
      <x:c r="M472" s="36" t="str">
        <x:f t="shared" si="7"/>
      </x:c>
    </x:row>
    <x:row r="473" ht="25" customHeight="1">
      <x:c r="A473" s="31"/>
      <x:c r="B473" s="108"/>
      <x:c r="C473" s="33"/>
      <x:c r="D473" s="33"/>
      <x:c r="E473" s="33"/>
      <x:c r="F473" s="79"/>
      <x:c r="G473" s="79"/>
      <x:c r="H473" s="33"/>
      <x:c r="I473" s="34"/>
      <x:c r="J473" s="35"/>
      <x:c r="K473" s="35"/>
      <x:c r="L473" s="35"/>
      <x:c r="M473" s="36" t="str">
        <x:f t="shared" si="7"/>
      </x:c>
    </x:row>
    <x:row r="474" ht="25" customHeight="1">
      <x:c r="A474" s="31"/>
      <x:c r="B474" s="108"/>
      <x:c r="C474" s="33"/>
      <x:c r="D474" s="33"/>
      <x:c r="E474" s="33"/>
      <x:c r="F474" s="79"/>
      <x:c r="G474" s="79"/>
      <x:c r="H474" s="33"/>
      <x:c r="I474" s="34"/>
      <x:c r="J474" s="35"/>
      <x:c r="K474" s="35"/>
      <x:c r="L474" s="35"/>
      <x:c r="M474" s="36" t="str">
        <x:f t="shared" si="7"/>
      </x:c>
    </x:row>
    <x:row r="475" ht="25" customHeight="1">
      <x:c r="A475" s="31"/>
      <x:c r="B475" s="108"/>
      <x:c r="C475" s="33"/>
      <x:c r="D475" s="33"/>
      <x:c r="E475" s="33"/>
      <x:c r="F475" s="79"/>
      <x:c r="G475" s="79"/>
      <x:c r="H475" s="33"/>
      <x:c r="I475" s="34"/>
      <x:c r="J475" s="35"/>
      <x:c r="K475" s="35"/>
      <x:c r="L475" s="35"/>
      <x:c r="M475" s="36" t="str">
        <x:f t="shared" si="7"/>
      </x:c>
    </x:row>
    <x:row r="476" ht="25" customHeight="1">
      <x:c r="A476" s="31"/>
      <x:c r="B476" s="108"/>
      <x:c r="C476" s="33"/>
      <x:c r="D476" s="33"/>
      <x:c r="E476" s="33"/>
      <x:c r="F476" s="79"/>
      <x:c r="G476" s="79"/>
      <x:c r="H476" s="33"/>
      <x:c r="I476" s="34"/>
      <x:c r="J476" s="35"/>
      <x:c r="K476" s="35"/>
      <x:c r="L476" s="35"/>
      <x:c r="M476" s="36" t="str">
        <x:f t="shared" si="7"/>
      </x:c>
    </x:row>
    <x:row r="477" ht="25" customHeight="1">
      <x:c r="A477" s="31"/>
      <x:c r="B477" s="108"/>
      <x:c r="C477" s="33"/>
      <x:c r="D477" s="33"/>
      <x:c r="E477" s="33"/>
      <x:c r="F477" s="79"/>
      <x:c r="G477" s="79"/>
      <x:c r="H477" s="33"/>
      <x:c r="I477" s="34"/>
      <x:c r="J477" s="35"/>
      <x:c r="K477" s="35"/>
      <x:c r="L477" s="35"/>
      <x:c r="M477" s="36" t="str">
        <x:f t="shared" si="7"/>
      </x:c>
    </x:row>
    <x:row r="478" ht="25" customHeight="1">
      <x:c r="A478" s="31"/>
      <x:c r="B478" s="108"/>
      <x:c r="C478" s="33"/>
      <x:c r="D478" s="33"/>
      <x:c r="E478" s="33"/>
      <x:c r="F478" s="79"/>
      <x:c r="G478" s="79"/>
      <x:c r="H478" s="33"/>
      <x:c r="I478" s="34"/>
      <x:c r="J478" s="35"/>
      <x:c r="K478" s="35"/>
      <x:c r="L478" s="35"/>
      <x:c r="M478" s="36" t="str">
        <x:f t="shared" si="7"/>
      </x:c>
    </x:row>
    <x:row r="479" ht="25" customHeight="1">
      <x:c r="A479" s="31"/>
      <x:c r="B479" s="108"/>
      <x:c r="C479" s="33"/>
      <x:c r="D479" s="33"/>
      <x:c r="E479" s="33"/>
      <x:c r="F479" s="79"/>
      <x:c r="G479" s="79"/>
      <x:c r="H479" s="33"/>
      <x:c r="I479" s="34"/>
      <x:c r="J479" s="35"/>
      <x:c r="K479" s="35"/>
      <x:c r="L479" s="35"/>
      <x:c r="M479" s="36" t="str">
        <x:f t="shared" si="7"/>
      </x:c>
    </x:row>
    <x:row r="480" ht="25" customHeight="1">
      <x:c r="A480" s="31"/>
      <x:c r="B480" s="108"/>
      <x:c r="C480" s="33"/>
      <x:c r="D480" s="33"/>
      <x:c r="E480" s="33"/>
      <x:c r="F480" s="79"/>
      <x:c r="G480" s="79"/>
      <x:c r="H480" s="33"/>
      <x:c r="I480" s="34"/>
      <x:c r="J480" s="35"/>
      <x:c r="K480" s="35"/>
      <x:c r="L480" s="35"/>
      <x:c r="M480" s="36" t="str">
        <x:f t="shared" si="7"/>
      </x:c>
    </x:row>
    <x:row r="481" ht="25" customHeight="1">
      <x:c r="A481" s="31"/>
      <x:c r="B481" s="108"/>
      <x:c r="C481" s="33"/>
      <x:c r="D481" s="33"/>
      <x:c r="E481" s="33"/>
      <x:c r="F481" s="79"/>
      <x:c r="G481" s="79"/>
      <x:c r="H481" s="33"/>
      <x:c r="I481" s="34"/>
      <x:c r="J481" s="35"/>
      <x:c r="K481" s="35"/>
      <x:c r="L481" s="35"/>
      <x:c r="M481" s="36" t="str">
        <x:f t="shared" si="7"/>
      </x:c>
    </x:row>
    <x:row r="482" ht="25" customHeight="1">
      <x:c r="A482" s="31"/>
      <x:c r="B482" s="108"/>
      <x:c r="C482" s="33"/>
      <x:c r="D482" s="33"/>
      <x:c r="E482" s="33"/>
      <x:c r="F482" s="79"/>
      <x:c r="G482" s="79"/>
      <x:c r="H482" s="33"/>
      <x:c r="I482" s="34"/>
      <x:c r="J482" s="35"/>
      <x:c r="K482" s="35"/>
      <x:c r="L482" s="35"/>
      <x:c r="M482" s="36" t="str">
        <x:f t="shared" si="7"/>
      </x:c>
    </x:row>
    <x:row r="483" ht="25" customHeight="1">
      <x:c r="A483" s="31"/>
      <x:c r="B483" s="108"/>
      <x:c r="C483" s="33"/>
      <x:c r="D483" s="33"/>
      <x:c r="E483" s="33"/>
      <x:c r="F483" s="79"/>
      <x:c r="G483" s="79"/>
      <x:c r="H483" s="33"/>
      <x:c r="I483" s="34"/>
      <x:c r="J483" s="35"/>
      <x:c r="K483" s="35"/>
      <x:c r="L483" s="35"/>
      <x:c r="M483" s="36" t="str">
        <x:f t="shared" si="7"/>
      </x:c>
    </x:row>
    <x:row r="484" ht="25" customHeight="1">
      <x:c r="A484" s="31"/>
      <x:c r="B484" s="108"/>
      <x:c r="C484" s="33"/>
      <x:c r="D484" s="33"/>
      <x:c r="E484" s="33"/>
      <x:c r="F484" s="79"/>
      <x:c r="G484" s="79"/>
      <x:c r="H484" s="33"/>
      <x:c r="I484" s="34"/>
      <x:c r="J484" s="35"/>
      <x:c r="K484" s="35"/>
      <x:c r="L484" s="35"/>
      <x:c r="M484" s="36" t="str">
        <x:f t="shared" si="7"/>
      </x:c>
    </x:row>
    <x:row r="485" ht="25" customHeight="1">
      <x:c r="A485" s="31"/>
      <x:c r="B485" s="108"/>
      <x:c r="C485" s="33"/>
      <x:c r="D485" s="33"/>
      <x:c r="E485" s="33"/>
      <x:c r="F485" s="79"/>
      <x:c r="G485" s="79"/>
      <x:c r="H485" s="33"/>
      <x:c r="I485" s="34"/>
      <x:c r="J485" s="35"/>
      <x:c r="K485" s="35"/>
      <x:c r="L485" s="35"/>
      <x:c r="M485" s="36" t="str">
        <x:f t="shared" si="7"/>
      </x:c>
    </x:row>
    <x:row r="486" ht="25" customHeight="1">
      <x:c r="A486" s="31"/>
      <x:c r="B486" s="108"/>
      <x:c r="C486" s="33"/>
      <x:c r="D486" s="33"/>
      <x:c r="E486" s="33"/>
      <x:c r="F486" s="79"/>
      <x:c r="G486" s="79"/>
      <x:c r="H486" s="33"/>
      <x:c r="I486" s="34"/>
      <x:c r="J486" s="35"/>
      <x:c r="K486" s="35"/>
      <x:c r="L486" s="35"/>
      <x:c r="M486" s="36" t="str">
        <x:f t="shared" si="7"/>
      </x:c>
    </x:row>
    <x:row r="487" ht="25" customHeight="1">
      <x:c r="A487" s="31"/>
      <x:c r="B487" s="108"/>
      <x:c r="C487" s="33"/>
      <x:c r="D487" s="33"/>
      <x:c r="E487" s="33"/>
      <x:c r="F487" s="79"/>
      <x:c r="G487" s="79"/>
      <x:c r="H487" s="33"/>
      <x:c r="I487" s="34"/>
      <x:c r="J487" s="35"/>
      <x:c r="K487" s="35"/>
      <x:c r="L487" s="35"/>
      <x:c r="M487" s="36" t="str">
        <x:f t="shared" si="7"/>
      </x:c>
    </x:row>
    <x:row r="488" ht="25" customHeight="1">
      <x:c r="A488" s="31"/>
      <x:c r="B488" s="108"/>
      <x:c r="C488" s="33"/>
      <x:c r="D488" s="33"/>
      <x:c r="E488" s="33"/>
      <x:c r="F488" s="79"/>
      <x:c r="G488" s="79"/>
      <x:c r="H488" s="33"/>
      <x:c r="I488" s="34"/>
      <x:c r="J488" s="35"/>
      <x:c r="K488" s="35"/>
      <x:c r="L488" s="35"/>
      <x:c r="M488" s="36" t="str">
        <x:f t="shared" si="7"/>
      </x:c>
    </x:row>
    <x:row r="489" ht="25" customHeight="1">
      <x:c r="A489" s="31"/>
      <x:c r="B489" s="108"/>
      <x:c r="C489" s="33"/>
      <x:c r="D489" s="33"/>
      <x:c r="E489" s="33"/>
      <x:c r="F489" s="79"/>
      <x:c r="G489" s="79"/>
      <x:c r="H489" s="33"/>
      <x:c r="I489" s="34"/>
      <x:c r="J489" s="35"/>
      <x:c r="K489" s="35"/>
      <x:c r="L489" s="35"/>
      <x:c r="M489" s="36" t="str">
        <x:f t="shared" si="7"/>
      </x:c>
    </x:row>
    <x:row r="490" ht="25" customHeight="1">
      <x:c r="A490" s="31"/>
      <x:c r="B490" s="108"/>
      <x:c r="C490" s="33"/>
      <x:c r="D490" s="33"/>
      <x:c r="E490" s="33"/>
      <x:c r="F490" s="79"/>
      <x:c r="G490" s="79"/>
      <x:c r="H490" s="33"/>
      <x:c r="I490" s="34"/>
      <x:c r="J490" s="35"/>
      <x:c r="K490" s="35"/>
      <x:c r="L490" s="35"/>
      <x:c r="M490" s="36" t="str">
        <x:f t="shared" si="7"/>
      </x:c>
    </x:row>
    <x:row r="491" ht="25" customHeight="1">
      <x:c r="A491" s="31"/>
      <x:c r="B491" s="108"/>
      <x:c r="C491" s="33"/>
      <x:c r="D491" s="33"/>
      <x:c r="E491" s="33"/>
      <x:c r="F491" s="79"/>
      <x:c r="G491" s="79"/>
      <x:c r="H491" s="33"/>
      <x:c r="I491" s="34"/>
      <x:c r="J491" s="35"/>
      <x:c r="K491" s="35"/>
      <x:c r="L491" s="35"/>
      <x:c r="M491" s="36" t="str">
        <x:f t="shared" si="7"/>
      </x:c>
    </x:row>
    <x:row r="492" ht="25" customHeight="1">
      <x:c r="A492" s="31"/>
      <x:c r="B492" s="108"/>
      <x:c r="C492" s="33"/>
      <x:c r="D492" s="33"/>
      <x:c r="E492" s="33"/>
      <x:c r="F492" s="79"/>
      <x:c r="G492" s="79"/>
      <x:c r="H492" s="33"/>
      <x:c r="I492" s="34"/>
      <x:c r="J492" s="35"/>
      <x:c r="K492" s="35"/>
      <x:c r="L492" s="35"/>
      <x:c r="M492" s="36" t="str">
        <x:f t="shared" si="7"/>
      </x:c>
    </x:row>
    <x:row r="493" ht="25" customHeight="1">
      <x:c r="A493" s="31"/>
      <x:c r="B493" s="108"/>
      <x:c r="C493" s="33"/>
      <x:c r="D493" s="33"/>
      <x:c r="E493" s="33"/>
      <x:c r="F493" s="79"/>
      <x:c r="G493" s="79"/>
      <x:c r="H493" s="33"/>
      <x:c r="I493" s="34"/>
      <x:c r="J493" s="35"/>
      <x:c r="K493" s="35"/>
      <x:c r="L493" s="35"/>
      <x:c r="M493" s="36" t="str">
        <x:f t="shared" si="7"/>
      </x:c>
    </x:row>
    <x:row r="494" ht="25" customHeight="1">
      <x:c r="A494" s="31"/>
      <x:c r="B494" s="108"/>
      <x:c r="C494" s="33"/>
      <x:c r="D494" s="33"/>
      <x:c r="E494" s="33"/>
      <x:c r="F494" s="79"/>
      <x:c r="G494" s="79"/>
      <x:c r="H494" s="33"/>
      <x:c r="I494" s="34"/>
      <x:c r="J494" s="35"/>
      <x:c r="K494" s="35"/>
      <x:c r="L494" s="35"/>
      <x:c r="M494" s="36" t="str">
        <x:f t="shared" si="7"/>
      </x:c>
    </x:row>
    <x:row r="495" ht="25" customHeight="1">
      <x:c r="A495" s="31"/>
      <x:c r="B495" s="108"/>
      <x:c r="C495" s="33"/>
      <x:c r="D495" s="33"/>
      <x:c r="E495" s="33"/>
      <x:c r="F495" s="79"/>
      <x:c r="G495" s="79"/>
      <x:c r="H495" s="33"/>
      <x:c r="I495" s="34"/>
      <x:c r="J495" s="35"/>
      <x:c r="K495" s="35"/>
      <x:c r="L495" s="35"/>
      <x:c r="M495" s="36" t="str">
        <x:f t="shared" si="7"/>
      </x:c>
    </x:row>
    <x:row r="496" ht="25" customHeight="1">
      <x:c r="A496" s="31"/>
      <x:c r="B496" s="108"/>
      <x:c r="C496" s="33"/>
      <x:c r="D496" s="33"/>
      <x:c r="E496" s="33"/>
      <x:c r="F496" s="79"/>
      <x:c r="G496" s="79"/>
      <x:c r="H496" s="33"/>
      <x:c r="I496" s="34"/>
      <x:c r="J496" s="35"/>
      <x:c r="K496" s="35"/>
      <x:c r="L496" s="35"/>
      <x:c r="M496" s="36" t="str">
        <x:f t="shared" si="7"/>
      </x:c>
    </x:row>
    <x:row r="497" ht="25" customHeight="1">
      <x:c r="A497" s="31"/>
      <x:c r="B497" s="108"/>
      <x:c r="C497" s="33"/>
      <x:c r="D497" s="33"/>
      <x:c r="E497" s="33"/>
      <x:c r="F497" s="79"/>
      <x:c r="G497" s="79"/>
      <x:c r="H497" s="33"/>
      <x:c r="I497" s="34"/>
      <x:c r="J497" s="35"/>
      <x:c r="K497" s="35"/>
      <x:c r="L497" s="35"/>
      <x:c r="M497" s="36" t="str">
        <x:f t="shared" si="7"/>
      </x:c>
    </x:row>
    <x:row r="498" ht="25" customHeight="1">
      <x:c r="A498" s="31"/>
      <x:c r="B498" s="108"/>
      <x:c r="C498" s="33"/>
      <x:c r="D498" s="33"/>
      <x:c r="E498" s="33"/>
      <x:c r="F498" s="79"/>
      <x:c r="G498" s="79"/>
      <x:c r="H498" s="33"/>
      <x:c r="I498" s="34"/>
      <x:c r="J498" s="35"/>
      <x:c r="K498" s="35"/>
      <x:c r="L498" s="35"/>
      <x:c r="M498" s="36" t="str">
        <x:f t="shared" si="7"/>
      </x:c>
    </x:row>
    <x:row r="499" ht="25" customHeight="1">
      <x:c r="A499" s="31"/>
      <x:c r="B499" s="108"/>
      <x:c r="C499" s="33"/>
      <x:c r="D499" s="33"/>
      <x:c r="E499" s="33"/>
      <x:c r="F499" s="79"/>
      <x:c r="G499" s="79"/>
      <x:c r="H499" s="33"/>
      <x:c r="I499" s="34"/>
      <x:c r="J499" s="35"/>
      <x:c r="K499" s="35"/>
      <x:c r="L499" s="35"/>
      <x:c r="M499" s="36" t="str">
        <x:f t="shared" si="7"/>
      </x:c>
    </x:row>
    <x:row r="500" ht="25" customHeight="1">
      <x:c r="A500" s="31"/>
      <x:c r="B500" s="108"/>
      <x:c r="C500" s="33"/>
      <x:c r="D500" s="33"/>
      <x:c r="E500" s="33"/>
      <x:c r="F500" s="79"/>
      <x:c r="G500" s="79"/>
      <x:c r="H500" s="33"/>
      <x:c r="I500" s="34"/>
      <x:c r="J500" s="35"/>
      <x:c r="K500" s="35"/>
      <x:c r="L500" s="35"/>
      <x:c r="M500" s="36" t="str">
        <x:f t="shared" si="7"/>
      </x:c>
    </x:row>
    <x:row r="501" ht="25" customHeight="1">
      <x:c r="A501" s="39"/>
      <x:c r="B501" s="108"/>
      <x:c r="C501" s="40"/>
      <x:c r="D501" s="40"/>
      <x:c r="E501" s="40"/>
      <x:c r="F501" s="79"/>
      <x:c r="G501" s="79"/>
      <x:c r="H501" s="40"/>
      <x:c r="I501" s="41"/>
      <x:c r="J501" s="42"/>
      <x:c r="K501" s="42"/>
      <x:c r="L501" s="42"/>
      <x:c r="M501" s="43" t="str">
        <x:f t="shared" si="7"/>
      </x:c>
    </x:row>
  </x:sheetData>
  <x:conditionalFormatting sqref="F2:G200">
    <x:cfRule type="expression" dxfId="7" priority="1">
      <x:formula>AND($A2&lt;&gt;"",NOT(ISNUMBER($F2)))</x:formula>
    </x:cfRule>
  </x:conditionalFormatting>
  <x:conditionalFormatting sqref="G2:G200">
    <x:cfRule type="expression" dxfId="6" priority="2">
      <x:formula>AND($G2&lt;&gt;"",OR(NOT(ISNUMBER($G2)),$G2&lt;$F2))</x:formula>
    </x:cfRule>
  </x:conditionalFormatting>
  <x:conditionalFormatting sqref="L2:L200">
    <x:cfRule type="expression" dxfId="5" priority="3">
      <x:formula>$L2&lt;&gt;""</x:formula>
    </x:cfRule>
  </x:conditionalFormatting>
  <x:conditionalFormatting sqref="M2:M200">
    <x:cfRule type="expression" dxfId="4" priority="4">
      <x:formula>$M2="확인 필요"</x:formula>
    </x:cfRule>
  </x:conditionalFormatting>
  <x:dataValidations count="2">
    <x:dataValidation type="list" sqref="E2:E200">
      <x:formula1>"연봉,시급,일용직,무기계약,공무직,교육공무직,미기재,기타"</x:formula1>
    </x:dataValidation>
    <x:dataValidation type="list" sqref="H2:H200">
      <x:formula1>"계약만료,기간만료,의원면직,정년퇴직,해고,사망,기타"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d18784605447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3" width="15" customWidth="1"/>
    <x:col min="4" max="4" width="12" customWidth="1"/>
    <x:col min="5" max="5" width="31" customWidth="1"/>
    <x:col min="6" max="6" width="15" customWidth="1"/>
    <x:col min="7" max="7" width="18" customWidth="1"/>
    <x:col min="8" max="9" width="14" customWidth="1"/>
    <x:col min="10" max="10" width="20" customWidth="1"/>
  </x:cols>
  <x:sheetData>
    <x:row r="1" ht="18" customHeight="1">
      <x:c r="A1" s="49" t="s">
        <x:v>45</x:v>
      </x:c>
      <x:c r="B1" s="49"/>
      <x:c r="C1" s="49"/>
      <x:c r="D1" s="49"/>
      <x:c r="E1" s="49"/>
      <x:c r="F1" s="49"/>
      <x:c r="G1" s="49"/>
      <x:c r="H1" s="49"/>
      <x:c r="I1" s="49"/>
      <x:c r="J1" s="49"/>
    </x:row>
    <x:row r="2" ht="34" customHeight="1">
      <x:c r="A2" s="50" t="s">
        <x:v>46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4" ht="34" customHeight="1">
      <x:c r="A4" s="25" t="s">
        <x:v>47</x:v>
      </x:c>
      <x:c r="B4" s="25" t="s">
        <x:v>48</x:v>
      </x:c>
      <x:c r="C4" s="25" t="s">
        <x:v>49</x:v>
      </x:c>
      <x:c r="D4" s="25" t="s">
        <x:v>50</x:v>
      </x:c>
      <x:c r="E4" s="25" t="s">
        <x:v>51</x:v>
      </x:c>
      <x:c r="F4" s="25" t="s">
        <x:v>52</x:v>
      </x:c>
      <x:c r="G4" s="25" t="s">
        <x:v>53</x:v>
      </x:c>
      <x:c r="H4" s="25" t="s">
        <x:v>9</x:v>
      </x:c>
      <x:c r="I4" s="25" t="s">
        <x:v>10</x:v>
      </x:c>
      <x:c r="J4" s="25" t="s">
        <x:v>54</x:v>
      </x:c>
    </x:row>
    <x:row r="5" ht="42" customHeight="1">
      <x:c r="A5" s="47" t="e">
        <x:f>IF(AND(대장!A2&lt;&gt;"",ISNUMBER(대장!F2),OR(대장!G2="",AND(ISNUMBER(대장!G2),대장!G2&gt;=대장!F2))),대장!F2,"")</x:f>
        <x:v>#NAME?</x:v>
      </x:c>
      <x:c r="B5" s="27" t="e">
        <x:f>IF($A5="","",IF(발령대장_설정!$B$4="","",발령대장_설정!$B$4))</x:f>
        <x:v>#NAME?</x:v>
      </x:c>
      <x:c r="C5" s="27" t="e">
        <x:f>IF($A5="","",대장!D2)</x:f>
        <x:v>#NAME?</x:v>
      </x:c>
      <x:c r="D5" s="27" t="e">
        <x:f>IF($A5="","",대장!A2)</x:f>
        <x:v>#NAME?</x:v>
      </x:c>
      <x:c r="E5" s="27" t="e">
        <x:f>IF($A5="","",IF(대장!J2&lt;&gt;"",대장!J2,대장!D2&amp;"에 임함"&amp;IF(대장!E2="","",CHAR(10)&amp;"고용형태: "&amp;대장!E2)&amp;IF(대장!I2="","",CHAR(10)&amp;"소정근로시간: "&amp;대장!I2)&amp;CHAR(10)&amp;"근로기간: "&amp;YEAR(대장!F2)&amp;"."&amp;MONTH(대장!F2)&amp;"."&amp;DAY(대장!F2)&amp;"."&amp;" ~ "&amp;IF(ISNUMBER(대장!G2),YEAR(대장!G2)&amp;"."&amp;MONTH(대장!G2)&amp;"."&amp;DAY(대장!G2)&amp;".","재직 중")))</x:f>
        <x:v>#NAME?</x:v>
      </x:c>
      <x:c r="F5" s="27" t="e">
        <x:f>IF($A5="","",IF(발령대장_설정!$B$5="","",발령대장_설정!$B$5))</x:f>
        <x:v>#NAME?</x:v>
      </x:c>
      <x:c r="G5" s="27" t="e">
        <x:f>IF($A5="","",IF(발령대장_설정!$B$6="","",발령대장_설정!$B$6))</x:f>
        <x:v>#NAME?</x:v>
      </x:c>
      <x:c r="H5" s="27" t="e">
        <x:f>IF($A5="","",IF(발령대장_설정!$B$7="","",발령대장_설정!$B$7))</x:f>
        <x:v>#NAME?</x:v>
      </x:c>
      <x:c r="I5" s="27" t="e">
        <x:f>IF($A5="","",IF(발령대장_설정!$B$8="","",발령대장_설정!$B$8))</x:f>
        <x:v>#NAME?</x:v>
      </x:c>
      <x:c r="J5" s="27" t="e">
        <x:f>IF($A5="","",IF(대장!K2="","",대장!K2))</x:f>
        <x:v>#NAME?</x:v>
      </x:c>
    </x:row>
    <x:row r="6" ht="42" customHeight="1">
      <x:c r="A6" s="47" t="e">
        <x:f>IF(AND(대장!A2&lt;&gt;"",ISNUMBER(대장!F2),ISNUMBER(대장!G2),대장!G2&gt;=대장!F2,대장!H2&lt;&gt;""),대장!G2,"")</x:f>
        <x:v>#NAME?</x:v>
      </x:c>
      <x:c r="B6" s="27" t="e">
        <x:f>IF($A6="","",IF(발령대장_설정!$B$4="","",발령대장_설정!$B$4))</x:f>
        <x:v>#NAME?</x:v>
      </x:c>
      <x:c r="C6" s="27" t="e">
        <x:f>IF($A6="","",대장!D2)</x:f>
        <x:v>#NAME?</x:v>
      </x:c>
      <x:c r="D6" s="27" t="e">
        <x:f>IF($A6="","",대장!A2)</x:f>
        <x:v>#NAME?</x:v>
      </x:c>
      <x:c r="E6" s="27" t="e">
        <x:f>IF($A6="","",IF(OR(ISNUMBER(SEARCH("계약만료",대장!H2&amp;"")),ISNUMBER(SEARCH("기간만료",대장!H2&amp;""))),"계약기간 만료로 퇴직",IF(ISNUMBER(SEARCH("의원면직",대장!H2&amp;"")),"의원면직",IF(ISNUMBER(SEARCH("정년퇴직",대장!H2&amp;"")),"정년퇴직",대장!H2))))</x:f>
        <x:v>#NAME?</x:v>
      </x:c>
      <x:c r="F6" s="27" t="e">
        <x:f>IF($A6="","",IF(발령대장_설정!$B$5="","",발령대장_설정!$B$5))</x:f>
        <x:v>#NAME?</x:v>
      </x:c>
      <x:c r="G6" s="27" t="e">
        <x:f>IF($A6="","",IF(발령대장_설정!$B$6="","",발령대장_설정!$B$6))</x:f>
        <x:v>#NAME?</x:v>
      </x:c>
      <x:c r="H6" s="27" t="e">
        <x:f>IF($A6="","",IF(발령대장_설정!$B$7="","",발령대장_설정!$B$7))</x:f>
        <x:v>#NAME?</x:v>
      </x:c>
      <x:c r="I6" s="27" t="e">
        <x:f>IF($A6="","",IF(발령대장_설정!$B$8="","",발령대장_설정!$B$8))</x:f>
        <x:v>#NAME?</x:v>
      </x:c>
      <x:c r="J6" s="27" t="str">
        <x:f>""</x:f>
      </x:c>
    </x:row>
    <x:row r="7" ht="42" customHeight="1">
      <x:c r="A7" s="47" t="e">
        <x:f>IF(AND(대장!A3&lt;&gt;"",ISNUMBER(대장!F3),OR(대장!G3="",AND(ISNUMBER(대장!G3),대장!G3&gt;=대장!F3))),대장!F3,"")</x:f>
        <x:v>#NAME?</x:v>
      </x:c>
      <x:c r="B7" s="27" t="e">
        <x:f>IF($A7="","",IF(발령대장_설정!$B$4="","",발령대장_설정!$B$4))</x:f>
        <x:v>#NAME?</x:v>
      </x:c>
      <x:c r="C7" s="27" t="e">
        <x:f>IF($A7="","",대장!D3)</x:f>
        <x:v>#NAME?</x:v>
      </x:c>
      <x:c r="D7" s="27" t="e">
        <x:f>IF($A7="","",대장!A3)</x:f>
        <x:v>#NAME?</x:v>
      </x:c>
      <x:c r="E7" s="27" t="e">
        <x:f>IF($A7="","",IF(대장!J3&lt;&gt;"",대장!J3,대장!D3&amp;"에 임함"&amp;IF(대장!E3="","",CHAR(10)&amp;"고용형태: "&amp;대장!E3)&amp;IF(대장!I3="","",CHAR(10)&amp;"소정근로시간: "&amp;대장!I3)&amp;CHAR(10)&amp;"근로기간: "&amp;YEAR(대장!F3)&amp;"."&amp;MONTH(대장!F3)&amp;"."&amp;DAY(대장!F3)&amp;"."&amp;" ~ "&amp;IF(ISNUMBER(대장!G3),YEAR(대장!G3)&amp;"."&amp;MONTH(대장!G3)&amp;"."&amp;DAY(대장!G3)&amp;".","재직 중")))</x:f>
        <x:v>#NAME?</x:v>
      </x:c>
      <x:c r="F7" s="27" t="e">
        <x:f>IF($A7="","",IF(발령대장_설정!$B$5="","",발령대장_설정!$B$5))</x:f>
        <x:v>#NAME?</x:v>
      </x:c>
      <x:c r="G7" s="27" t="e">
        <x:f>IF($A7="","",IF(발령대장_설정!$B$6="","",발령대장_설정!$B$6))</x:f>
        <x:v>#NAME?</x:v>
      </x:c>
      <x:c r="H7" s="27" t="e">
        <x:f>IF($A7="","",IF(발령대장_설정!$B$7="","",발령대장_설정!$B$7))</x:f>
        <x:v>#NAME?</x:v>
      </x:c>
      <x:c r="I7" s="27" t="e">
        <x:f>IF($A7="","",IF(발령대장_설정!$B$8="","",발령대장_설정!$B$8))</x:f>
        <x:v>#NAME?</x:v>
      </x:c>
      <x:c r="J7" s="27" t="e">
        <x:f>IF($A7="","",IF(대장!K3="","",대장!K3))</x:f>
        <x:v>#NAME?</x:v>
      </x:c>
    </x:row>
    <x:row r="8" ht="42" customHeight="1">
      <x:c r="A8" s="47" t="e">
        <x:f>IF(AND(대장!A3&lt;&gt;"",ISNUMBER(대장!F3),ISNUMBER(대장!G3),대장!G3&gt;=대장!F3,대장!H3&lt;&gt;""),대장!G3,"")</x:f>
        <x:v>#NAME?</x:v>
      </x:c>
      <x:c r="B8" s="27" t="e">
        <x:f>IF($A8="","",IF(발령대장_설정!$B$4="","",발령대장_설정!$B$4))</x:f>
        <x:v>#NAME?</x:v>
      </x:c>
      <x:c r="C8" s="27" t="e">
        <x:f>IF($A8="","",대장!D3)</x:f>
        <x:v>#NAME?</x:v>
      </x:c>
      <x:c r="D8" s="27" t="e">
        <x:f>IF($A8="","",대장!A3)</x:f>
        <x:v>#NAME?</x:v>
      </x:c>
      <x:c r="E8" s="27" t="e">
        <x:f>IF($A8="","",IF(OR(ISNUMBER(SEARCH("계약만료",대장!H3&amp;"")),ISNUMBER(SEARCH("기간만료",대장!H3&amp;""))),"계약기간 만료로 퇴직",IF(ISNUMBER(SEARCH("의원면직",대장!H3&amp;"")),"의원면직",IF(ISNUMBER(SEARCH("정년퇴직",대장!H3&amp;"")),"정년퇴직",대장!H3))))</x:f>
        <x:v>#NAME?</x:v>
      </x:c>
      <x:c r="F8" s="27" t="e">
        <x:f>IF($A8="","",IF(발령대장_설정!$B$5="","",발령대장_설정!$B$5))</x:f>
        <x:v>#NAME?</x:v>
      </x:c>
      <x:c r="G8" s="27" t="e">
        <x:f>IF($A8="","",IF(발령대장_설정!$B$6="","",발령대장_설정!$B$6))</x:f>
        <x:v>#NAME?</x:v>
      </x:c>
      <x:c r="H8" s="27" t="e">
        <x:f>IF($A8="","",IF(발령대장_설정!$B$7="","",발령대장_설정!$B$7))</x:f>
        <x:v>#NAME?</x:v>
      </x:c>
      <x:c r="I8" s="27" t="e">
        <x:f>IF($A8="","",IF(발령대장_설정!$B$8="","",발령대장_설정!$B$8))</x:f>
        <x:v>#NAME?</x:v>
      </x:c>
      <x:c r="J8" s="27" t="str">
        <x:f>""</x:f>
      </x:c>
    </x:row>
    <x:row r="9" ht="42" customHeight="1">
      <x:c r="A9" s="47" t="e">
        <x:f>IF(AND(대장!A4&lt;&gt;"",ISNUMBER(대장!F4),OR(대장!G4="",AND(ISNUMBER(대장!G4),대장!G4&gt;=대장!F4))),대장!F4,"")</x:f>
        <x:v>#NAME?</x:v>
      </x:c>
      <x:c r="B9" s="27" t="e">
        <x:f>IF($A9="","",IF(발령대장_설정!$B$4="","",발령대장_설정!$B$4))</x:f>
        <x:v>#NAME?</x:v>
      </x:c>
      <x:c r="C9" s="27" t="e">
        <x:f>IF($A9="","",대장!D4)</x:f>
        <x:v>#NAME?</x:v>
      </x:c>
      <x:c r="D9" s="27" t="e">
        <x:f>IF($A9="","",대장!A4)</x:f>
        <x:v>#NAME?</x:v>
      </x:c>
      <x:c r="E9" s="27" t="e">
        <x:f>IF($A9="","",IF(대장!J4&lt;&gt;"",대장!J4,대장!D4&amp;"에 임함"&amp;IF(대장!E4="","",CHAR(10)&amp;"고용형태: "&amp;대장!E4)&amp;IF(대장!I4="","",CHAR(10)&amp;"소정근로시간: "&amp;대장!I4)&amp;CHAR(10)&amp;"근로기간: "&amp;YEAR(대장!F4)&amp;"."&amp;MONTH(대장!F4)&amp;"."&amp;DAY(대장!F4)&amp;"."&amp;" ~ "&amp;IF(ISNUMBER(대장!G4),YEAR(대장!G4)&amp;"."&amp;MONTH(대장!G4)&amp;"."&amp;DAY(대장!G4)&amp;".","재직 중")))</x:f>
        <x:v>#NAME?</x:v>
      </x:c>
      <x:c r="F9" s="27" t="e">
        <x:f>IF($A9="","",IF(발령대장_설정!$B$5="","",발령대장_설정!$B$5))</x:f>
        <x:v>#NAME?</x:v>
      </x:c>
      <x:c r="G9" s="27" t="e">
        <x:f>IF($A9="","",IF(발령대장_설정!$B$6="","",발령대장_설정!$B$6))</x:f>
        <x:v>#NAME?</x:v>
      </x:c>
      <x:c r="H9" s="27" t="e">
        <x:f>IF($A9="","",IF(발령대장_설정!$B$7="","",발령대장_설정!$B$7))</x:f>
        <x:v>#NAME?</x:v>
      </x:c>
      <x:c r="I9" s="27" t="e">
        <x:f>IF($A9="","",IF(발령대장_설정!$B$8="","",발령대장_설정!$B$8))</x:f>
        <x:v>#NAME?</x:v>
      </x:c>
      <x:c r="J9" s="27" t="e">
        <x:f>IF($A9="","",IF(대장!K4="","",대장!K4))</x:f>
        <x:v>#NAME?</x:v>
      </x:c>
    </x:row>
    <x:row r="10" ht="42" customHeight="1">
      <x:c r="A10" s="47" t="e">
        <x:f>IF(AND(대장!A4&lt;&gt;"",ISNUMBER(대장!F4),ISNUMBER(대장!G4),대장!G4&gt;=대장!F4,대장!H4&lt;&gt;""),대장!G4,"")</x:f>
        <x:v>#NAME?</x:v>
      </x:c>
      <x:c r="B10" s="27" t="e">
        <x:f>IF($A10="","",IF(발령대장_설정!$B$4="","",발령대장_설정!$B$4))</x:f>
        <x:v>#NAME?</x:v>
      </x:c>
      <x:c r="C10" s="27" t="e">
        <x:f>IF($A10="","",대장!D4)</x:f>
        <x:v>#NAME?</x:v>
      </x:c>
      <x:c r="D10" s="27" t="e">
        <x:f>IF($A10="","",대장!A4)</x:f>
        <x:v>#NAME?</x:v>
      </x:c>
      <x:c r="E10" s="27" t="e">
        <x:f>IF($A10="","",IF(OR(ISNUMBER(SEARCH("계약만료",대장!H4&amp;"")),ISNUMBER(SEARCH("기간만료",대장!H4&amp;""))),"계약기간 만료로 퇴직",IF(ISNUMBER(SEARCH("의원면직",대장!H4&amp;"")),"의원면직",IF(ISNUMBER(SEARCH("정년퇴직",대장!H4&amp;"")),"정년퇴직",대장!H4))))</x:f>
        <x:v>#NAME?</x:v>
      </x:c>
      <x:c r="F10" s="27" t="e">
        <x:f>IF($A10="","",IF(발령대장_설정!$B$5="","",발령대장_설정!$B$5))</x:f>
        <x:v>#NAME?</x:v>
      </x:c>
      <x:c r="G10" s="27" t="e">
        <x:f>IF($A10="","",IF(발령대장_설정!$B$6="","",발령대장_설정!$B$6))</x:f>
        <x:v>#NAME?</x:v>
      </x:c>
      <x:c r="H10" s="27" t="e">
        <x:f>IF($A10="","",IF(발령대장_설정!$B$7="","",발령대장_설정!$B$7))</x:f>
        <x:v>#NAME?</x:v>
      </x:c>
      <x:c r="I10" s="27" t="e">
        <x:f>IF($A10="","",IF(발령대장_설정!$B$8="","",발령대장_설정!$B$8))</x:f>
        <x:v>#NAME?</x:v>
      </x:c>
      <x:c r="J10" s="27" t="str">
        <x:f>""</x:f>
      </x:c>
    </x:row>
    <x:row r="11" ht="42" customHeight="1">
      <x:c r="A11" s="47" t="e">
        <x:f>IF(AND(대장!A5&lt;&gt;"",ISNUMBER(대장!F5),OR(대장!G5="",AND(ISNUMBER(대장!G5),대장!G5&gt;=대장!F5))),대장!F5,"")</x:f>
        <x:v>#NAME?</x:v>
      </x:c>
      <x:c r="B11" s="27" t="e">
        <x:f>IF($A11="","",IF(발령대장_설정!$B$4="","",발령대장_설정!$B$4))</x:f>
        <x:v>#NAME?</x:v>
      </x:c>
      <x:c r="C11" s="27" t="e">
        <x:f>IF($A11="","",대장!D5)</x:f>
        <x:v>#NAME?</x:v>
      </x:c>
      <x:c r="D11" s="27" t="e">
        <x:f>IF($A11="","",대장!A5)</x:f>
        <x:v>#NAME?</x:v>
      </x:c>
      <x:c r="E11" s="27" t="e">
        <x:f>IF($A11="","",IF(대장!J5&lt;&gt;"",대장!J5,대장!D5&amp;"에 임함"&amp;IF(대장!E5="","",CHAR(10)&amp;"고용형태: "&amp;대장!E5)&amp;IF(대장!I5="","",CHAR(10)&amp;"소정근로시간: "&amp;대장!I5)&amp;CHAR(10)&amp;"근로기간: "&amp;YEAR(대장!F5)&amp;"."&amp;MONTH(대장!F5)&amp;"."&amp;DAY(대장!F5)&amp;"."&amp;" ~ "&amp;IF(ISNUMBER(대장!G5),YEAR(대장!G5)&amp;"."&amp;MONTH(대장!G5)&amp;"."&amp;DAY(대장!G5)&amp;".","재직 중")))</x:f>
        <x:v>#NAME?</x:v>
      </x:c>
      <x:c r="F11" s="27" t="e">
        <x:f>IF($A11="","",IF(발령대장_설정!$B$5="","",발령대장_설정!$B$5))</x:f>
        <x:v>#NAME?</x:v>
      </x:c>
      <x:c r="G11" s="27" t="e">
        <x:f>IF($A11="","",IF(발령대장_설정!$B$6="","",발령대장_설정!$B$6))</x:f>
        <x:v>#NAME?</x:v>
      </x:c>
      <x:c r="H11" s="27" t="e">
        <x:f>IF($A11="","",IF(발령대장_설정!$B$7="","",발령대장_설정!$B$7))</x:f>
        <x:v>#NAME?</x:v>
      </x:c>
      <x:c r="I11" s="27" t="e">
        <x:f>IF($A11="","",IF(발령대장_설정!$B$8="","",발령대장_설정!$B$8))</x:f>
        <x:v>#NAME?</x:v>
      </x:c>
      <x:c r="J11" s="27" t="e">
        <x:f>IF($A11="","",IF(대장!K5="","",대장!K5))</x:f>
        <x:v>#NAME?</x:v>
      </x:c>
    </x:row>
    <x:row r="12" ht="42" customHeight="1">
      <x:c r="A12" s="47" t="e">
        <x:f>IF(AND(대장!A5&lt;&gt;"",ISNUMBER(대장!F5),ISNUMBER(대장!G5),대장!G5&gt;=대장!F5,대장!H5&lt;&gt;""),대장!G5,"")</x:f>
        <x:v>#NAME?</x:v>
      </x:c>
      <x:c r="B12" s="27" t="e">
        <x:f>IF($A12="","",IF(발령대장_설정!$B$4="","",발령대장_설정!$B$4))</x:f>
        <x:v>#NAME?</x:v>
      </x:c>
      <x:c r="C12" s="27" t="e">
        <x:f>IF($A12="","",대장!D5)</x:f>
        <x:v>#NAME?</x:v>
      </x:c>
      <x:c r="D12" s="27" t="e">
        <x:f>IF($A12="","",대장!A5)</x:f>
        <x:v>#NAME?</x:v>
      </x:c>
      <x:c r="E12" s="27" t="e">
        <x:f>IF($A12="","",IF(OR(ISNUMBER(SEARCH("계약만료",대장!H5&amp;"")),ISNUMBER(SEARCH("기간만료",대장!H5&amp;""))),"계약기간 만료로 퇴직",IF(ISNUMBER(SEARCH("의원면직",대장!H5&amp;"")),"의원면직",IF(ISNUMBER(SEARCH("정년퇴직",대장!H5&amp;"")),"정년퇴직",대장!H5))))</x:f>
        <x:v>#NAME?</x:v>
      </x:c>
      <x:c r="F12" s="27" t="e">
        <x:f>IF($A12="","",IF(발령대장_설정!$B$5="","",발령대장_설정!$B$5))</x:f>
        <x:v>#NAME?</x:v>
      </x:c>
      <x:c r="G12" s="27" t="e">
        <x:f>IF($A12="","",IF(발령대장_설정!$B$6="","",발령대장_설정!$B$6))</x:f>
        <x:v>#NAME?</x:v>
      </x:c>
      <x:c r="H12" s="27" t="e">
        <x:f>IF($A12="","",IF(발령대장_설정!$B$7="","",발령대장_설정!$B$7))</x:f>
        <x:v>#NAME?</x:v>
      </x:c>
      <x:c r="I12" s="27" t="e">
        <x:f>IF($A12="","",IF(발령대장_설정!$B$8="","",발령대장_설정!$B$8))</x:f>
        <x:v>#NAME?</x:v>
      </x:c>
      <x:c r="J12" s="27" t="str">
        <x:f>""</x:f>
      </x:c>
    </x:row>
    <x:row r="13" ht="42" customHeight="1">
      <x:c r="A13" s="47" t="e">
        <x:f>IF(AND(대장!A6&lt;&gt;"",ISNUMBER(대장!F6),OR(대장!G6="",AND(ISNUMBER(대장!G6),대장!G6&gt;=대장!F6))),대장!F6,"")</x:f>
        <x:v>#NAME?</x:v>
      </x:c>
      <x:c r="B13" s="27" t="e">
        <x:f>IF($A13="","",IF(발령대장_설정!$B$4="","",발령대장_설정!$B$4))</x:f>
        <x:v>#NAME?</x:v>
      </x:c>
      <x:c r="C13" s="27" t="e">
        <x:f>IF($A13="","",대장!D6)</x:f>
        <x:v>#NAME?</x:v>
      </x:c>
      <x:c r="D13" s="27" t="e">
        <x:f>IF($A13="","",대장!A6)</x:f>
        <x:v>#NAME?</x:v>
      </x:c>
      <x:c r="E13" s="27" t="e">
        <x:f>IF($A13="","",IF(대장!J6&lt;&gt;"",대장!J6,대장!D6&amp;"에 임함"&amp;IF(대장!E6="","",CHAR(10)&amp;"고용형태: "&amp;대장!E6)&amp;IF(대장!I6="","",CHAR(10)&amp;"소정근로시간: "&amp;대장!I6)&amp;CHAR(10)&amp;"근로기간: "&amp;YEAR(대장!F6)&amp;"."&amp;MONTH(대장!F6)&amp;"."&amp;DAY(대장!F6)&amp;"."&amp;" ~ "&amp;IF(ISNUMBER(대장!G6),YEAR(대장!G6)&amp;"."&amp;MONTH(대장!G6)&amp;"."&amp;DAY(대장!G6)&amp;".","재직 중")))</x:f>
        <x:v>#NAME?</x:v>
      </x:c>
      <x:c r="F13" s="27" t="e">
        <x:f>IF($A13="","",IF(발령대장_설정!$B$5="","",발령대장_설정!$B$5))</x:f>
        <x:v>#NAME?</x:v>
      </x:c>
      <x:c r="G13" s="27" t="e">
        <x:f>IF($A13="","",IF(발령대장_설정!$B$6="","",발령대장_설정!$B$6))</x:f>
        <x:v>#NAME?</x:v>
      </x:c>
      <x:c r="H13" s="27" t="e">
        <x:f>IF($A13="","",IF(발령대장_설정!$B$7="","",발령대장_설정!$B$7))</x:f>
        <x:v>#NAME?</x:v>
      </x:c>
      <x:c r="I13" s="27" t="e">
        <x:f>IF($A13="","",IF(발령대장_설정!$B$8="","",발령대장_설정!$B$8))</x:f>
        <x:v>#NAME?</x:v>
      </x:c>
      <x:c r="J13" s="27" t="e">
        <x:f>IF($A13="","",IF(대장!K6="","",대장!K6))</x:f>
        <x:v>#NAME?</x:v>
      </x:c>
    </x:row>
    <x:row r="14" ht="42" customHeight="1">
      <x:c r="A14" s="47" t="e">
        <x:f>IF(AND(대장!A6&lt;&gt;"",ISNUMBER(대장!F6),ISNUMBER(대장!G6),대장!G6&gt;=대장!F6,대장!H6&lt;&gt;""),대장!G6,"")</x:f>
        <x:v>#NAME?</x:v>
      </x:c>
      <x:c r="B14" s="27" t="e">
        <x:f>IF($A14="","",IF(발령대장_설정!$B$4="","",발령대장_설정!$B$4))</x:f>
        <x:v>#NAME?</x:v>
      </x:c>
      <x:c r="C14" s="27" t="e">
        <x:f>IF($A14="","",대장!D6)</x:f>
        <x:v>#NAME?</x:v>
      </x:c>
      <x:c r="D14" s="27" t="e">
        <x:f>IF($A14="","",대장!A6)</x:f>
        <x:v>#NAME?</x:v>
      </x:c>
      <x:c r="E14" s="27" t="e">
        <x:f>IF($A14="","",IF(OR(ISNUMBER(SEARCH("계약만료",대장!H6&amp;"")),ISNUMBER(SEARCH("기간만료",대장!H6&amp;""))),"계약기간 만료로 퇴직",IF(ISNUMBER(SEARCH("의원면직",대장!H6&amp;"")),"의원면직",IF(ISNUMBER(SEARCH("정년퇴직",대장!H6&amp;"")),"정년퇴직",대장!H6))))</x:f>
        <x:v>#NAME?</x:v>
      </x:c>
      <x:c r="F14" s="27" t="e">
        <x:f>IF($A14="","",IF(발령대장_설정!$B$5="","",발령대장_설정!$B$5))</x:f>
        <x:v>#NAME?</x:v>
      </x:c>
      <x:c r="G14" s="27" t="e">
        <x:f>IF($A14="","",IF(발령대장_설정!$B$6="","",발령대장_설정!$B$6))</x:f>
        <x:v>#NAME?</x:v>
      </x:c>
      <x:c r="H14" s="27" t="e">
        <x:f>IF($A14="","",IF(발령대장_설정!$B$7="","",발령대장_설정!$B$7))</x:f>
        <x:v>#NAME?</x:v>
      </x:c>
      <x:c r="I14" s="27" t="e">
        <x:f>IF($A14="","",IF(발령대장_설정!$B$8="","",발령대장_설정!$B$8))</x:f>
        <x:v>#NAME?</x:v>
      </x:c>
      <x:c r="J14" s="27" t="str">
        <x:f>""</x:f>
      </x:c>
    </x:row>
    <x:row r="15" ht="42" customHeight="1">
      <x:c r="A15" s="47" t="e">
        <x:f>IF(AND(대장!A7&lt;&gt;"",ISNUMBER(대장!F7),OR(대장!G7="",AND(ISNUMBER(대장!G7),대장!G7&gt;=대장!F7))),대장!F7,"")</x:f>
        <x:v>#NAME?</x:v>
      </x:c>
      <x:c r="B15" s="27" t="e">
        <x:f>IF($A15="","",IF(발령대장_설정!$B$4="","",발령대장_설정!$B$4))</x:f>
        <x:v>#NAME?</x:v>
      </x:c>
      <x:c r="C15" s="27" t="e">
        <x:f>IF($A15="","",대장!D7)</x:f>
        <x:v>#NAME?</x:v>
      </x:c>
      <x:c r="D15" s="27" t="e">
        <x:f>IF($A15="","",대장!A7)</x:f>
        <x:v>#NAME?</x:v>
      </x:c>
      <x:c r="E15" s="27" t="e">
        <x:f>IF($A15="","",IF(대장!J7&lt;&gt;"",대장!J7,대장!D7&amp;"에 임함"&amp;IF(대장!E7="","",CHAR(10)&amp;"고용형태: "&amp;대장!E7)&amp;IF(대장!I7="","",CHAR(10)&amp;"소정근로시간: "&amp;대장!I7)&amp;CHAR(10)&amp;"근로기간: "&amp;YEAR(대장!F7)&amp;"."&amp;MONTH(대장!F7)&amp;"."&amp;DAY(대장!F7)&amp;"."&amp;" ~ "&amp;IF(ISNUMBER(대장!G7),YEAR(대장!G7)&amp;"."&amp;MONTH(대장!G7)&amp;"."&amp;DAY(대장!G7)&amp;".","재직 중")))</x:f>
        <x:v>#NAME?</x:v>
      </x:c>
      <x:c r="F15" s="27" t="e">
        <x:f>IF($A15="","",IF(발령대장_설정!$B$5="","",발령대장_설정!$B$5))</x:f>
        <x:v>#NAME?</x:v>
      </x:c>
      <x:c r="G15" s="27" t="e">
        <x:f>IF($A15="","",IF(발령대장_설정!$B$6="","",발령대장_설정!$B$6))</x:f>
        <x:v>#NAME?</x:v>
      </x:c>
      <x:c r="H15" s="27" t="e">
        <x:f>IF($A15="","",IF(발령대장_설정!$B$7="","",발령대장_설정!$B$7))</x:f>
        <x:v>#NAME?</x:v>
      </x:c>
      <x:c r="I15" s="27" t="e">
        <x:f>IF($A15="","",IF(발령대장_설정!$B$8="","",발령대장_설정!$B$8))</x:f>
        <x:v>#NAME?</x:v>
      </x:c>
      <x:c r="J15" s="27" t="e">
        <x:f>IF($A15="","",IF(대장!K7="","",대장!K7))</x:f>
        <x:v>#NAME?</x:v>
      </x:c>
    </x:row>
    <x:row r="16" ht="42" customHeight="1">
      <x:c r="A16" s="47" t="e">
        <x:f>IF(AND(대장!A7&lt;&gt;"",ISNUMBER(대장!F7),ISNUMBER(대장!G7),대장!G7&gt;=대장!F7,대장!H7&lt;&gt;""),대장!G7,"")</x:f>
        <x:v>#NAME?</x:v>
      </x:c>
      <x:c r="B16" s="27" t="e">
        <x:f>IF($A16="","",IF(발령대장_설정!$B$4="","",발령대장_설정!$B$4))</x:f>
        <x:v>#NAME?</x:v>
      </x:c>
      <x:c r="C16" s="27" t="e">
        <x:f>IF($A16="","",대장!D7)</x:f>
        <x:v>#NAME?</x:v>
      </x:c>
      <x:c r="D16" s="27" t="e">
        <x:f>IF($A16="","",대장!A7)</x:f>
        <x:v>#NAME?</x:v>
      </x:c>
      <x:c r="E16" s="27" t="e">
        <x:f>IF($A16="","",IF(OR(ISNUMBER(SEARCH("계약만료",대장!H7&amp;"")),ISNUMBER(SEARCH("기간만료",대장!H7&amp;""))),"계약기간 만료로 퇴직",IF(ISNUMBER(SEARCH("의원면직",대장!H7&amp;"")),"의원면직",IF(ISNUMBER(SEARCH("정년퇴직",대장!H7&amp;"")),"정년퇴직",대장!H7))))</x:f>
        <x:v>#NAME?</x:v>
      </x:c>
      <x:c r="F16" s="27" t="e">
        <x:f>IF($A16="","",IF(발령대장_설정!$B$5="","",발령대장_설정!$B$5))</x:f>
        <x:v>#NAME?</x:v>
      </x:c>
      <x:c r="G16" s="27" t="e">
        <x:f>IF($A16="","",IF(발령대장_설정!$B$6="","",발령대장_설정!$B$6))</x:f>
        <x:v>#NAME?</x:v>
      </x:c>
      <x:c r="H16" s="27" t="e">
        <x:f>IF($A16="","",IF(발령대장_설정!$B$7="","",발령대장_설정!$B$7))</x:f>
        <x:v>#NAME?</x:v>
      </x:c>
      <x:c r="I16" s="27" t="e">
        <x:f>IF($A16="","",IF(발령대장_설정!$B$8="","",발령대장_설정!$B$8))</x:f>
        <x:v>#NAME?</x:v>
      </x:c>
      <x:c r="J16" s="27" t="str">
        <x:f>""</x:f>
      </x:c>
    </x:row>
    <x:row r="17" ht="42" customHeight="1">
      <x:c r="A17" s="47" t="e">
        <x:f>IF(AND(대장!A8&lt;&gt;"",ISNUMBER(대장!F8),OR(대장!G8="",AND(ISNUMBER(대장!G8),대장!G8&gt;=대장!F8))),대장!F8,"")</x:f>
        <x:v>#NAME?</x:v>
      </x:c>
      <x:c r="B17" s="27" t="e">
        <x:f>IF($A17="","",IF(발령대장_설정!$B$4="","",발령대장_설정!$B$4))</x:f>
        <x:v>#NAME?</x:v>
      </x:c>
      <x:c r="C17" s="27" t="e">
        <x:f>IF($A17="","",대장!D8)</x:f>
        <x:v>#NAME?</x:v>
      </x:c>
      <x:c r="D17" s="27" t="e">
        <x:f>IF($A17="","",대장!A8)</x:f>
        <x:v>#NAME?</x:v>
      </x:c>
      <x:c r="E17" s="27" t="e">
        <x:f>IF($A17="","",IF(대장!J8&lt;&gt;"",대장!J8,대장!D8&amp;"에 임함"&amp;IF(대장!E8="","",CHAR(10)&amp;"고용형태: "&amp;대장!E8)&amp;IF(대장!I8="","",CHAR(10)&amp;"소정근로시간: "&amp;대장!I8)&amp;CHAR(10)&amp;"근로기간: "&amp;YEAR(대장!F8)&amp;"."&amp;MONTH(대장!F8)&amp;"."&amp;DAY(대장!F8)&amp;"."&amp;" ~ "&amp;IF(ISNUMBER(대장!G8),YEAR(대장!G8)&amp;"."&amp;MONTH(대장!G8)&amp;"."&amp;DAY(대장!G8)&amp;".","재직 중")))</x:f>
        <x:v>#NAME?</x:v>
      </x:c>
      <x:c r="F17" s="27" t="e">
        <x:f>IF($A17="","",IF(발령대장_설정!$B$5="","",발령대장_설정!$B$5))</x:f>
        <x:v>#NAME?</x:v>
      </x:c>
      <x:c r="G17" s="27" t="e">
        <x:f>IF($A17="","",IF(발령대장_설정!$B$6="","",발령대장_설정!$B$6))</x:f>
        <x:v>#NAME?</x:v>
      </x:c>
      <x:c r="H17" s="27" t="e">
        <x:f>IF($A17="","",IF(발령대장_설정!$B$7="","",발령대장_설정!$B$7))</x:f>
        <x:v>#NAME?</x:v>
      </x:c>
      <x:c r="I17" s="27" t="e">
        <x:f>IF($A17="","",IF(발령대장_설정!$B$8="","",발령대장_설정!$B$8))</x:f>
        <x:v>#NAME?</x:v>
      </x:c>
      <x:c r="J17" s="27" t="e">
        <x:f>IF($A17="","",IF(대장!K8="","",대장!K8))</x:f>
        <x:v>#NAME?</x:v>
      </x:c>
    </x:row>
    <x:row r="18" ht="42" customHeight="1">
      <x:c r="A18" s="47" t="e">
        <x:f>IF(AND(대장!A8&lt;&gt;"",ISNUMBER(대장!F8),ISNUMBER(대장!G8),대장!G8&gt;=대장!F8,대장!H8&lt;&gt;""),대장!G8,"")</x:f>
        <x:v>#NAME?</x:v>
      </x:c>
      <x:c r="B18" s="27" t="e">
        <x:f>IF($A18="","",IF(발령대장_설정!$B$4="","",발령대장_설정!$B$4))</x:f>
        <x:v>#NAME?</x:v>
      </x:c>
      <x:c r="C18" s="27" t="e">
        <x:f>IF($A18="","",대장!D8)</x:f>
        <x:v>#NAME?</x:v>
      </x:c>
      <x:c r="D18" s="27" t="e">
        <x:f>IF($A18="","",대장!A8)</x:f>
        <x:v>#NAME?</x:v>
      </x:c>
      <x:c r="E18" s="27" t="e">
        <x:f>IF($A18="","",IF(OR(ISNUMBER(SEARCH("계약만료",대장!H8&amp;"")),ISNUMBER(SEARCH("기간만료",대장!H8&amp;""))),"계약기간 만료로 퇴직",IF(ISNUMBER(SEARCH("의원면직",대장!H8&amp;"")),"의원면직",IF(ISNUMBER(SEARCH("정년퇴직",대장!H8&amp;"")),"정년퇴직",대장!H8))))</x:f>
        <x:v>#NAME?</x:v>
      </x:c>
      <x:c r="F18" s="27" t="e">
        <x:f>IF($A18="","",IF(발령대장_설정!$B$5="","",발령대장_설정!$B$5))</x:f>
        <x:v>#NAME?</x:v>
      </x:c>
      <x:c r="G18" s="27" t="e">
        <x:f>IF($A18="","",IF(발령대장_설정!$B$6="","",발령대장_설정!$B$6))</x:f>
        <x:v>#NAME?</x:v>
      </x:c>
      <x:c r="H18" s="27" t="e">
        <x:f>IF($A18="","",IF(발령대장_설정!$B$7="","",발령대장_설정!$B$7))</x:f>
        <x:v>#NAME?</x:v>
      </x:c>
      <x:c r="I18" s="27" t="e">
        <x:f>IF($A18="","",IF(발령대장_설정!$B$8="","",발령대장_설정!$B$8))</x:f>
        <x:v>#NAME?</x:v>
      </x:c>
      <x:c r="J18" s="27" t="str">
        <x:f>""</x:f>
      </x:c>
    </x:row>
    <x:row r="19" ht="42" customHeight="1">
      <x:c r="A19" s="47" t="e">
        <x:f>IF(AND(대장!A9&lt;&gt;"",ISNUMBER(대장!F9),OR(대장!G9="",AND(ISNUMBER(대장!G9),대장!G9&gt;=대장!F9))),대장!F9,"")</x:f>
        <x:v>#NAME?</x:v>
      </x:c>
      <x:c r="B19" s="27" t="e">
        <x:f>IF($A19="","",IF(발령대장_설정!$B$4="","",발령대장_설정!$B$4))</x:f>
        <x:v>#NAME?</x:v>
      </x:c>
      <x:c r="C19" s="27" t="e">
        <x:f>IF($A19="","",대장!D9)</x:f>
        <x:v>#NAME?</x:v>
      </x:c>
      <x:c r="D19" s="27" t="e">
        <x:f>IF($A19="","",대장!A9)</x:f>
        <x:v>#NAME?</x:v>
      </x:c>
      <x:c r="E19" s="27" t="e">
        <x:f>IF($A19="","",IF(대장!J9&lt;&gt;"",대장!J9,대장!D9&amp;"에 임함"&amp;IF(대장!E9="","",CHAR(10)&amp;"고용형태: "&amp;대장!E9)&amp;IF(대장!I9="","",CHAR(10)&amp;"소정근로시간: "&amp;대장!I9)&amp;CHAR(10)&amp;"근로기간: "&amp;YEAR(대장!F9)&amp;"."&amp;MONTH(대장!F9)&amp;"."&amp;DAY(대장!F9)&amp;"."&amp;" ~ "&amp;IF(ISNUMBER(대장!G9),YEAR(대장!G9)&amp;"."&amp;MONTH(대장!G9)&amp;"."&amp;DAY(대장!G9)&amp;".","재직 중")))</x:f>
        <x:v>#NAME?</x:v>
      </x:c>
      <x:c r="F19" s="27" t="e">
        <x:f>IF($A19="","",IF(발령대장_설정!$B$5="","",발령대장_설정!$B$5))</x:f>
        <x:v>#NAME?</x:v>
      </x:c>
      <x:c r="G19" s="27" t="e">
        <x:f>IF($A19="","",IF(발령대장_설정!$B$6="","",발령대장_설정!$B$6))</x:f>
        <x:v>#NAME?</x:v>
      </x:c>
      <x:c r="H19" s="27" t="e">
        <x:f>IF($A19="","",IF(발령대장_설정!$B$7="","",발령대장_설정!$B$7))</x:f>
        <x:v>#NAME?</x:v>
      </x:c>
      <x:c r="I19" s="27" t="e">
        <x:f>IF($A19="","",IF(발령대장_설정!$B$8="","",발령대장_설정!$B$8))</x:f>
        <x:v>#NAME?</x:v>
      </x:c>
      <x:c r="J19" s="27" t="e">
        <x:f>IF($A19="","",IF(대장!K9="","",대장!K9))</x:f>
        <x:v>#NAME?</x:v>
      </x:c>
    </x:row>
    <x:row r="20" ht="42" customHeight="1">
      <x:c r="A20" s="47" t="e">
        <x:f>IF(AND(대장!A9&lt;&gt;"",ISNUMBER(대장!F9),ISNUMBER(대장!G9),대장!G9&gt;=대장!F9,대장!H9&lt;&gt;""),대장!G9,"")</x:f>
        <x:v>#NAME?</x:v>
      </x:c>
      <x:c r="B20" s="27" t="e">
        <x:f>IF($A20="","",IF(발령대장_설정!$B$4="","",발령대장_설정!$B$4))</x:f>
        <x:v>#NAME?</x:v>
      </x:c>
      <x:c r="C20" s="27" t="e">
        <x:f>IF($A20="","",대장!D9)</x:f>
        <x:v>#NAME?</x:v>
      </x:c>
      <x:c r="D20" s="27" t="e">
        <x:f>IF($A20="","",대장!A9)</x:f>
        <x:v>#NAME?</x:v>
      </x:c>
      <x:c r="E20" s="27" t="e">
        <x:f>IF($A20="","",IF(OR(ISNUMBER(SEARCH("계약만료",대장!H9&amp;"")),ISNUMBER(SEARCH("기간만료",대장!H9&amp;""))),"계약기간 만료로 퇴직",IF(ISNUMBER(SEARCH("의원면직",대장!H9&amp;"")),"의원면직",IF(ISNUMBER(SEARCH("정년퇴직",대장!H9&amp;"")),"정년퇴직",대장!H9))))</x:f>
        <x:v>#NAME?</x:v>
      </x:c>
      <x:c r="F20" s="27" t="e">
        <x:f>IF($A20="","",IF(발령대장_설정!$B$5="","",발령대장_설정!$B$5))</x:f>
        <x:v>#NAME?</x:v>
      </x:c>
      <x:c r="G20" s="27" t="e">
        <x:f>IF($A20="","",IF(발령대장_설정!$B$6="","",발령대장_설정!$B$6))</x:f>
        <x:v>#NAME?</x:v>
      </x:c>
      <x:c r="H20" s="27" t="e">
        <x:f>IF($A20="","",IF(발령대장_설정!$B$7="","",발령대장_설정!$B$7))</x:f>
        <x:v>#NAME?</x:v>
      </x:c>
      <x:c r="I20" s="27" t="e">
        <x:f>IF($A20="","",IF(발령대장_설정!$B$8="","",발령대장_설정!$B$8))</x:f>
        <x:v>#NAME?</x:v>
      </x:c>
      <x:c r="J20" s="27" t="str">
        <x:f>""</x:f>
      </x:c>
    </x:row>
    <x:row r="21" ht="42" customHeight="1">
      <x:c r="A21" s="47" t="e">
        <x:f>IF(AND(대장!A10&lt;&gt;"",ISNUMBER(대장!F10),OR(대장!G10="",AND(ISNUMBER(대장!G10),대장!G10&gt;=대장!F10))),대장!F10,"")</x:f>
        <x:v>#NAME?</x:v>
      </x:c>
      <x:c r="B21" s="27" t="e">
        <x:f>IF($A21="","",IF(발령대장_설정!$B$4="","",발령대장_설정!$B$4))</x:f>
        <x:v>#NAME?</x:v>
      </x:c>
      <x:c r="C21" s="27" t="e">
        <x:f>IF($A21="","",대장!D10)</x:f>
        <x:v>#NAME?</x:v>
      </x:c>
      <x:c r="D21" s="27" t="e">
        <x:f>IF($A21="","",대장!A10)</x:f>
        <x:v>#NAME?</x:v>
      </x:c>
      <x:c r="E21" s="27" t="e">
        <x:f>IF($A21="","",IF(대장!J10&lt;&gt;"",대장!J10,대장!D10&amp;"에 임함"&amp;IF(대장!E10="","",CHAR(10)&amp;"고용형태: "&amp;대장!E10)&amp;IF(대장!I10="","",CHAR(10)&amp;"소정근로시간: "&amp;대장!I10)&amp;CHAR(10)&amp;"근로기간: "&amp;YEAR(대장!F10)&amp;"."&amp;MONTH(대장!F10)&amp;"."&amp;DAY(대장!F10)&amp;"."&amp;" ~ "&amp;IF(ISNUMBER(대장!G10),YEAR(대장!G10)&amp;"."&amp;MONTH(대장!G10)&amp;"."&amp;DAY(대장!G10)&amp;".","재직 중")))</x:f>
        <x:v>#NAME?</x:v>
      </x:c>
      <x:c r="F21" s="27" t="e">
        <x:f>IF($A21="","",IF(발령대장_설정!$B$5="","",발령대장_설정!$B$5))</x:f>
        <x:v>#NAME?</x:v>
      </x:c>
      <x:c r="G21" s="27" t="e">
        <x:f>IF($A21="","",IF(발령대장_설정!$B$6="","",발령대장_설정!$B$6))</x:f>
        <x:v>#NAME?</x:v>
      </x:c>
      <x:c r="H21" s="27" t="e">
        <x:f>IF($A21="","",IF(발령대장_설정!$B$7="","",발령대장_설정!$B$7))</x:f>
        <x:v>#NAME?</x:v>
      </x:c>
      <x:c r="I21" s="27" t="e">
        <x:f>IF($A21="","",IF(발령대장_설정!$B$8="","",발령대장_설정!$B$8))</x:f>
        <x:v>#NAME?</x:v>
      </x:c>
      <x:c r="J21" s="27" t="e">
        <x:f>IF($A21="","",IF(대장!K10="","",대장!K10))</x:f>
        <x:v>#NAME?</x:v>
      </x:c>
    </x:row>
    <x:row r="22" ht="42" customHeight="1">
      <x:c r="A22" s="47" t="e">
        <x:f>IF(AND(대장!A10&lt;&gt;"",ISNUMBER(대장!F10),ISNUMBER(대장!G10),대장!G10&gt;=대장!F10,대장!H10&lt;&gt;""),대장!G10,"")</x:f>
        <x:v>#NAME?</x:v>
      </x:c>
      <x:c r="B22" s="27" t="e">
        <x:f>IF($A22="","",IF(발령대장_설정!$B$4="","",발령대장_설정!$B$4))</x:f>
        <x:v>#NAME?</x:v>
      </x:c>
      <x:c r="C22" s="27" t="e">
        <x:f>IF($A22="","",대장!D10)</x:f>
        <x:v>#NAME?</x:v>
      </x:c>
      <x:c r="D22" s="27" t="e">
        <x:f>IF($A22="","",대장!A10)</x:f>
        <x:v>#NAME?</x:v>
      </x:c>
      <x:c r="E22" s="27" t="e">
        <x:f>IF($A22="","",IF(OR(ISNUMBER(SEARCH("계약만료",대장!H10&amp;"")),ISNUMBER(SEARCH("기간만료",대장!H10&amp;""))),"계약기간 만료로 퇴직",IF(ISNUMBER(SEARCH("의원면직",대장!H10&amp;"")),"의원면직",IF(ISNUMBER(SEARCH("정년퇴직",대장!H10&amp;"")),"정년퇴직",대장!H10))))</x:f>
        <x:v>#NAME?</x:v>
      </x:c>
      <x:c r="F22" s="27" t="e">
        <x:f>IF($A22="","",IF(발령대장_설정!$B$5="","",발령대장_설정!$B$5))</x:f>
        <x:v>#NAME?</x:v>
      </x:c>
      <x:c r="G22" s="27" t="e">
        <x:f>IF($A22="","",IF(발령대장_설정!$B$6="","",발령대장_설정!$B$6))</x:f>
        <x:v>#NAME?</x:v>
      </x:c>
      <x:c r="H22" s="27" t="e">
        <x:f>IF($A22="","",IF(발령대장_설정!$B$7="","",발령대장_설정!$B$7))</x:f>
        <x:v>#NAME?</x:v>
      </x:c>
      <x:c r="I22" s="27" t="e">
        <x:f>IF($A22="","",IF(발령대장_설정!$B$8="","",발령대장_설정!$B$8))</x:f>
        <x:v>#NAME?</x:v>
      </x:c>
      <x:c r="J22" s="27" t="str">
        <x:f>""</x:f>
      </x:c>
    </x:row>
    <x:row r="23" ht="42" customHeight="1">
      <x:c r="A23" s="47" t="e">
        <x:f>IF(AND(대장!A11&lt;&gt;"",ISNUMBER(대장!F11),OR(대장!G11="",AND(ISNUMBER(대장!G11),대장!G11&gt;=대장!F11))),대장!F11,"")</x:f>
        <x:v>#NAME?</x:v>
      </x:c>
      <x:c r="B23" s="27" t="e">
        <x:f>IF($A23="","",IF(발령대장_설정!$B$4="","",발령대장_설정!$B$4))</x:f>
        <x:v>#NAME?</x:v>
      </x:c>
      <x:c r="C23" s="27" t="e">
        <x:f>IF($A23="","",대장!D11)</x:f>
        <x:v>#NAME?</x:v>
      </x:c>
      <x:c r="D23" s="27" t="e">
        <x:f>IF($A23="","",대장!A11)</x:f>
        <x:v>#NAME?</x:v>
      </x:c>
      <x:c r="E23" s="27" t="e">
        <x:f>IF($A23="","",IF(대장!J11&lt;&gt;"",대장!J11,대장!D11&amp;"에 임함"&amp;IF(대장!E11="","",CHAR(10)&amp;"고용형태: "&amp;대장!E11)&amp;IF(대장!I11="","",CHAR(10)&amp;"소정근로시간: "&amp;대장!I11)&amp;CHAR(10)&amp;"근로기간: "&amp;YEAR(대장!F11)&amp;"."&amp;MONTH(대장!F11)&amp;"."&amp;DAY(대장!F11)&amp;"."&amp;" ~ "&amp;IF(ISNUMBER(대장!G11),YEAR(대장!G11)&amp;"."&amp;MONTH(대장!G11)&amp;"."&amp;DAY(대장!G11)&amp;".","재직 중")))</x:f>
        <x:v>#NAME?</x:v>
      </x:c>
      <x:c r="F23" s="27" t="e">
        <x:f>IF($A23="","",IF(발령대장_설정!$B$5="","",발령대장_설정!$B$5))</x:f>
        <x:v>#NAME?</x:v>
      </x:c>
      <x:c r="G23" s="27" t="e">
        <x:f>IF($A23="","",IF(발령대장_설정!$B$6="","",발령대장_설정!$B$6))</x:f>
        <x:v>#NAME?</x:v>
      </x:c>
      <x:c r="H23" s="27" t="e">
        <x:f>IF($A23="","",IF(발령대장_설정!$B$7="","",발령대장_설정!$B$7))</x:f>
        <x:v>#NAME?</x:v>
      </x:c>
      <x:c r="I23" s="27" t="e">
        <x:f>IF($A23="","",IF(발령대장_설정!$B$8="","",발령대장_설정!$B$8))</x:f>
        <x:v>#NAME?</x:v>
      </x:c>
      <x:c r="J23" s="27" t="e">
        <x:f>IF($A23="","",IF(대장!K11="","",대장!K11))</x:f>
        <x:v>#NAME?</x:v>
      </x:c>
    </x:row>
    <x:row r="24" ht="42" customHeight="1">
      <x:c r="A24" s="47" t="e">
        <x:f>IF(AND(대장!A11&lt;&gt;"",ISNUMBER(대장!F11),ISNUMBER(대장!G11),대장!G11&gt;=대장!F11,대장!H11&lt;&gt;""),대장!G11,"")</x:f>
        <x:v>#NAME?</x:v>
      </x:c>
      <x:c r="B24" s="27" t="e">
        <x:f>IF($A24="","",IF(발령대장_설정!$B$4="","",발령대장_설정!$B$4))</x:f>
        <x:v>#NAME?</x:v>
      </x:c>
      <x:c r="C24" s="27" t="e">
        <x:f>IF($A24="","",대장!D11)</x:f>
        <x:v>#NAME?</x:v>
      </x:c>
      <x:c r="D24" s="27" t="e">
        <x:f>IF($A24="","",대장!A11)</x:f>
        <x:v>#NAME?</x:v>
      </x:c>
      <x:c r="E24" s="27" t="e">
        <x:f>IF($A24="","",IF(OR(ISNUMBER(SEARCH("계약만료",대장!H11&amp;"")),ISNUMBER(SEARCH("기간만료",대장!H11&amp;""))),"계약기간 만료로 퇴직",IF(ISNUMBER(SEARCH("의원면직",대장!H11&amp;"")),"의원면직",IF(ISNUMBER(SEARCH("정년퇴직",대장!H11&amp;"")),"정년퇴직",대장!H11))))</x:f>
        <x:v>#NAME?</x:v>
      </x:c>
      <x:c r="F24" s="27" t="e">
        <x:f>IF($A24="","",IF(발령대장_설정!$B$5="","",발령대장_설정!$B$5))</x:f>
        <x:v>#NAME?</x:v>
      </x:c>
      <x:c r="G24" s="27" t="e">
        <x:f>IF($A24="","",IF(발령대장_설정!$B$6="","",발령대장_설정!$B$6))</x:f>
        <x:v>#NAME?</x:v>
      </x:c>
      <x:c r="H24" s="27" t="e">
        <x:f>IF($A24="","",IF(발령대장_설정!$B$7="","",발령대장_설정!$B$7))</x:f>
        <x:v>#NAME?</x:v>
      </x:c>
      <x:c r="I24" s="27" t="e">
        <x:f>IF($A24="","",IF(발령대장_설정!$B$8="","",발령대장_설정!$B$8))</x:f>
        <x:v>#NAME?</x:v>
      </x:c>
      <x:c r="J24" s="27" t="str">
        <x:f>""</x:f>
      </x:c>
    </x:row>
    <x:row r="25" ht="42" customHeight="1">
      <x:c r="A25" s="47" t="e">
        <x:f>IF(AND(대장!A12&lt;&gt;"",ISNUMBER(대장!F12),OR(대장!G12="",AND(ISNUMBER(대장!G12),대장!G12&gt;=대장!F12))),대장!F12,"")</x:f>
        <x:v>#NAME?</x:v>
      </x:c>
      <x:c r="B25" s="27" t="e">
        <x:f>IF($A25="","",IF(발령대장_설정!$B$4="","",발령대장_설정!$B$4))</x:f>
        <x:v>#NAME?</x:v>
      </x:c>
      <x:c r="C25" s="27" t="e">
        <x:f>IF($A25="","",대장!D12)</x:f>
        <x:v>#NAME?</x:v>
      </x:c>
      <x:c r="D25" s="27" t="e">
        <x:f>IF($A25="","",대장!A12)</x:f>
        <x:v>#NAME?</x:v>
      </x:c>
      <x:c r="E25" s="27" t="e">
        <x:f>IF($A25="","",IF(대장!J12&lt;&gt;"",대장!J12,대장!D12&amp;"에 임함"&amp;IF(대장!E12="","",CHAR(10)&amp;"고용형태: "&amp;대장!E12)&amp;IF(대장!I12="","",CHAR(10)&amp;"소정근로시간: "&amp;대장!I12)&amp;CHAR(10)&amp;"근로기간: "&amp;YEAR(대장!F12)&amp;"."&amp;MONTH(대장!F12)&amp;"."&amp;DAY(대장!F12)&amp;"."&amp;" ~ "&amp;IF(ISNUMBER(대장!G12),YEAR(대장!G12)&amp;"."&amp;MONTH(대장!G12)&amp;"."&amp;DAY(대장!G12)&amp;".","재직 중")))</x:f>
        <x:v>#NAME?</x:v>
      </x:c>
      <x:c r="F25" s="27" t="e">
        <x:f>IF($A25="","",IF(발령대장_설정!$B$5="","",발령대장_설정!$B$5))</x:f>
        <x:v>#NAME?</x:v>
      </x:c>
      <x:c r="G25" s="27" t="e">
        <x:f>IF($A25="","",IF(발령대장_설정!$B$6="","",발령대장_설정!$B$6))</x:f>
        <x:v>#NAME?</x:v>
      </x:c>
      <x:c r="H25" s="27" t="e">
        <x:f>IF($A25="","",IF(발령대장_설정!$B$7="","",발령대장_설정!$B$7))</x:f>
        <x:v>#NAME?</x:v>
      </x:c>
      <x:c r="I25" s="27" t="e">
        <x:f>IF($A25="","",IF(발령대장_설정!$B$8="","",발령대장_설정!$B$8))</x:f>
        <x:v>#NAME?</x:v>
      </x:c>
      <x:c r="J25" s="27" t="e">
        <x:f>IF($A25="","",IF(대장!K12="","",대장!K12))</x:f>
        <x:v>#NAME?</x:v>
      </x:c>
    </x:row>
    <x:row r="26" ht="42" customHeight="1">
      <x:c r="A26" s="47" t="e">
        <x:f>IF(AND(대장!A12&lt;&gt;"",ISNUMBER(대장!F12),ISNUMBER(대장!G12),대장!G12&gt;=대장!F12,대장!H12&lt;&gt;""),대장!G12,"")</x:f>
        <x:v>#NAME?</x:v>
      </x:c>
      <x:c r="B26" s="27" t="e">
        <x:f>IF($A26="","",IF(발령대장_설정!$B$4="","",발령대장_설정!$B$4))</x:f>
        <x:v>#NAME?</x:v>
      </x:c>
      <x:c r="C26" s="27" t="e">
        <x:f>IF($A26="","",대장!D12)</x:f>
        <x:v>#NAME?</x:v>
      </x:c>
      <x:c r="D26" s="27" t="e">
        <x:f>IF($A26="","",대장!A12)</x:f>
        <x:v>#NAME?</x:v>
      </x:c>
      <x:c r="E26" s="27" t="e">
        <x:f>IF($A26="","",IF(OR(ISNUMBER(SEARCH("계약만료",대장!H12&amp;"")),ISNUMBER(SEARCH("기간만료",대장!H12&amp;""))),"계약기간 만료로 퇴직",IF(ISNUMBER(SEARCH("의원면직",대장!H12&amp;"")),"의원면직",IF(ISNUMBER(SEARCH("정년퇴직",대장!H12&amp;"")),"정년퇴직",대장!H12))))</x:f>
        <x:v>#NAME?</x:v>
      </x:c>
      <x:c r="F26" s="27" t="e">
        <x:f>IF($A26="","",IF(발령대장_설정!$B$5="","",발령대장_설정!$B$5))</x:f>
        <x:v>#NAME?</x:v>
      </x:c>
      <x:c r="G26" s="27" t="e">
        <x:f>IF($A26="","",IF(발령대장_설정!$B$6="","",발령대장_설정!$B$6))</x:f>
        <x:v>#NAME?</x:v>
      </x:c>
      <x:c r="H26" s="27" t="e">
        <x:f>IF($A26="","",IF(발령대장_설정!$B$7="","",발령대장_설정!$B$7))</x:f>
        <x:v>#NAME?</x:v>
      </x:c>
      <x:c r="I26" s="27" t="e">
        <x:f>IF($A26="","",IF(발령대장_설정!$B$8="","",발령대장_설정!$B$8))</x:f>
        <x:v>#NAME?</x:v>
      </x:c>
      <x:c r="J26" s="27" t="str">
        <x:f>""</x:f>
      </x:c>
    </x:row>
    <x:row r="27" ht="42" customHeight="1">
      <x:c r="A27" s="47" t="e">
        <x:f>IF(AND(대장!A13&lt;&gt;"",ISNUMBER(대장!F13),OR(대장!G13="",AND(ISNUMBER(대장!G13),대장!G13&gt;=대장!F13))),대장!F13,"")</x:f>
        <x:v>#NAME?</x:v>
      </x:c>
      <x:c r="B27" s="27" t="e">
        <x:f>IF($A27="","",IF(발령대장_설정!$B$4="","",발령대장_설정!$B$4))</x:f>
        <x:v>#NAME?</x:v>
      </x:c>
      <x:c r="C27" s="27" t="e">
        <x:f>IF($A27="","",대장!D13)</x:f>
        <x:v>#NAME?</x:v>
      </x:c>
      <x:c r="D27" s="27" t="e">
        <x:f>IF($A27="","",대장!A13)</x:f>
        <x:v>#NAME?</x:v>
      </x:c>
      <x:c r="E27" s="27" t="e">
        <x:f>IF($A27="","",IF(대장!J13&lt;&gt;"",대장!J13,대장!D13&amp;"에 임함"&amp;IF(대장!E13="","",CHAR(10)&amp;"고용형태: "&amp;대장!E13)&amp;IF(대장!I13="","",CHAR(10)&amp;"소정근로시간: "&amp;대장!I13)&amp;CHAR(10)&amp;"근로기간: "&amp;YEAR(대장!F13)&amp;"."&amp;MONTH(대장!F13)&amp;"."&amp;DAY(대장!F13)&amp;"."&amp;" ~ "&amp;IF(ISNUMBER(대장!G13),YEAR(대장!G13)&amp;"."&amp;MONTH(대장!G13)&amp;"."&amp;DAY(대장!G13)&amp;".","재직 중")))</x:f>
        <x:v>#NAME?</x:v>
      </x:c>
      <x:c r="F27" s="27" t="e">
        <x:f>IF($A27="","",IF(발령대장_설정!$B$5="","",발령대장_설정!$B$5))</x:f>
        <x:v>#NAME?</x:v>
      </x:c>
      <x:c r="G27" s="27" t="e">
        <x:f>IF($A27="","",IF(발령대장_설정!$B$6="","",발령대장_설정!$B$6))</x:f>
        <x:v>#NAME?</x:v>
      </x:c>
      <x:c r="H27" s="27" t="e">
        <x:f>IF($A27="","",IF(발령대장_설정!$B$7="","",발령대장_설정!$B$7))</x:f>
        <x:v>#NAME?</x:v>
      </x:c>
      <x:c r="I27" s="27" t="e">
        <x:f>IF($A27="","",IF(발령대장_설정!$B$8="","",발령대장_설정!$B$8))</x:f>
        <x:v>#NAME?</x:v>
      </x:c>
      <x:c r="J27" s="27" t="e">
        <x:f>IF($A27="","",IF(대장!K13="","",대장!K13))</x:f>
        <x:v>#NAME?</x:v>
      </x:c>
    </x:row>
    <x:row r="28" ht="42" customHeight="1">
      <x:c r="A28" s="47" t="e">
        <x:f>IF(AND(대장!A13&lt;&gt;"",ISNUMBER(대장!F13),ISNUMBER(대장!G13),대장!G13&gt;=대장!F13,대장!H13&lt;&gt;""),대장!G13,"")</x:f>
        <x:v>#NAME?</x:v>
      </x:c>
      <x:c r="B28" s="27" t="e">
        <x:f>IF($A28="","",IF(발령대장_설정!$B$4="","",발령대장_설정!$B$4))</x:f>
        <x:v>#NAME?</x:v>
      </x:c>
      <x:c r="C28" s="27" t="e">
        <x:f>IF($A28="","",대장!D13)</x:f>
        <x:v>#NAME?</x:v>
      </x:c>
      <x:c r="D28" s="27" t="e">
        <x:f>IF($A28="","",대장!A13)</x:f>
        <x:v>#NAME?</x:v>
      </x:c>
      <x:c r="E28" s="27" t="e">
        <x:f>IF($A28="","",IF(OR(ISNUMBER(SEARCH("계약만료",대장!H13&amp;"")),ISNUMBER(SEARCH("기간만료",대장!H13&amp;""))),"계약기간 만료로 퇴직",IF(ISNUMBER(SEARCH("의원면직",대장!H13&amp;"")),"의원면직",IF(ISNUMBER(SEARCH("정년퇴직",대장!H13&amp;"")),"정년퇴직",대장!H13))))</x:f>
        <x:v>#NAME?</x:v>
      </x:c>
      <x:c r="F28" s="27" t="e">
        <x:f>IF($A28="","",IF(발령대장_설정!$B$5="","",발령대장_설정!$B$5))</x:f>
        <x:v>#NAME?</x:v>
      </x:c>
      <x:c r="G28" s="27" t="e">
        <x:f>IF($A28="","",IF(발령대장_설정!$B$6="","",발령대장_설정!$B$6))</x:f>
        <x:v>#NAME?</x:v>
      </x:c>
      <x:c r="H28" s="27" t="e">
        <x:f>IF($A28="","",IF(발령대장_설정!$B$7="","",발령대장_설정!$B$7))</x:f>
        <x:v>#NAME?</x:v>
      </x:c>
      <x:c r="I28" s="27" t="e">
        <x:f>IF($A28="","",IF(발령대장_설정!$B$8="","",발령대장_설정!$B$8))</x:f>
        <x:v>#NAME?</x:v>
      </x:c>
      <x:c r="J28" s="27" t="str">
        <x:f>""</x:f>
      </x:c>
    </x:row>
    <x:row r="29" ht="42" customHeight="1">
      <x:c r="A29" s="47" t="e">
        <x:f>IF(AND(대장!A14&lt;&gt;"",ISNUMBER(대장!F14),OR(대장!G14="",AND(ISNUMBER(대장!G14),대장!G14&gt;=대장!F14))),대장!F14,"")</x:f>
        <x:v>#NAME?</x:v>
      </x:c>
      <x:c r="B29" s="27" t="e">
        <x:f>IF($A29="","",IF(발령대장_설정!$B$4="","",발령대장_설정!$B$4))</x:f>
        <x:v>#NAME?</x:v>
      </x:c>
      <x:c r="C29" s="27" t="e">
        <x:f>IF($A29="","",대장!D14)</x:f>
        <x:v>#NAME?</x:v>
      </x:c>
      <x:c r="D29" s="27" t="e">
        <x:f>IF($A29="","",대장!A14)</x:f>
        <x:v>#NAME?</x:v>
      </x:c>
      <x:c r="E29" s="27" t="e">
        <x:f>IF($A29="","",IF(대장!J14&lt;&gt;"",대장!J14,대장!D14&amp;"에 임함"&amp;IF(대장!E14="","",CHAR(10)&amp;"고용형태: "&amp;대장!E14)&amp;IF(대장!I14="","",CHAR(10)&amp;"소정근로시간: "&amp;대장!I14)&amp;CHAR(10)&amp;"근로기간: "&amp;YEAR(대장!F14)&amp;"."&amp;MONTH(대장!F14)&amp;"."&amp;DAY(대장!F14)&amp;"."&amp;" ~ "&amp;IF(ISNUMBER(대장!G14),YEAR(대장!G14)&amp;"."&amp;MONTH(대장!G14)&amp;"."&amp;DAY(대장!G14)&amp;".","재직 중")))</x:f>
        <x:v>#NAME?</x:v>
      </x:c>
      <x:c r="F29" s="27" t="e">
        <x:f>IF($A29="","",IF(발령대장_설정!$B$5="","",발령대장_설정!$B$5))</x:f>
        <x:v>#NAME?</x:v>
      </x:c>
      <x:c r="G29" s="27" t="e">
        <x:f>IF($A29="","",IF(발령대장_설정!$B$6="","",발령대장_설정!$B$6))</x:f>
        <x:v>#NAME?</x:v>
      </x:c>
      <x:c r="H29" s="27" t="e">
        <x:f>IF($A29="","",IF(발령대장_설정!$B$7="","",발령대장_설정!$B$7))</x:f>
        <x:v>#NAME?</x:v>
      </x:c>
      <x:c r="I29" s="27" t="e">
        <x:f>IF($A29="","",IF(발령대장_설정!$B$8="","",발령대장_설정!$B$8))</x:f>
        <x:v>#NAME?</x:v>
      </x:c>
      <x:c r="J29" s="27" t="e">
        <x:f>IF($A29="","",IF(대장!K14="","",대장!K14))</x:f>
        <x:v>#NAME?</x:v>
      </x:c>
    </x:row>
    <x:row r="30" ht="42" customHeight="1">
      <x:c r="A30" s="47" t="e">
        <x:f>IF(AND(대장!A14&lt;&gt;"",ISNUMBER(대장!F14),ISNUMBER(대장!G14),대장!G14&gt;=대장!F14,대장!H14&lt;&gt;""),대장!G14,"")</x:f>
        <x:v>#NAME?</x:v>
      </x:c>
      <x:c r="B30" s="27" t="e">
        <x:f>IF($A30="","",IF(발령대장_설정!$B$4="","",발령대장_설정!$B$4))</x:f>
        <x:v>#NAME?</x:v>
      </x:c>
      <x:c r="C30" s="27" t="e">
        <x:f>IF($A30="","",대장!D14)</x:f>
        <x:v>#NAME?</x:v>
      </x:c>
      <x:c r="D30" s="27" t="e">
        <x:f>IF($A30="","",대장!A14)</x:f>
        <x:v>#NAME?</x:v>
      </x:c>
      <x:c r="E30" s="27" t="e">
        <x:f>IF($A30="","",IF(OR(ISNUMBER(SEARCH("계약만료",대장!H14&amp;"")),ISNUMBER(SEARCH("기간만료",대장!H14&amp;""))),"계약기간 만료로 퇴직",IF(ISNUMBER(SEARCH("의원면직",대장!H14&amp;"")),"의원면직",IF(ISNUMBER(SEARCH("정년퇴직",대장!H14&amp;"")),"정년퇴직",대장!H14))))</x:f>
        <x:v>#NAME?</x:v>
      </x:c>
      <x:c r="F30" s="27" t="e">
        <x:f>IF($A30="","",IF(발령대장_설정!$B$5="","",발령대장_설정!$B$5))</x:f>
        <x:v>#NAME?</x:v>
      </x:c>
      <x:c r="G30" s="27" t="e">
        <x:f>IF($A30="","",IF(발령대장_설정!$B$6="","",발령대장_설정!$B$6))</x:f>
        <x:v>#NAME?</x:v>
      </x:c>
      <x:c r="H30" s="27" t="e">
        <x:f>IF($A30="","",IF(발령대장_설정!$B$7="","",발령대장_설정!$B$7))</x:f>
        <x:v>#NAME?</x:v>
      </x:c>
      <x:c r="I30" s="27" t="e">
        <x:f>IF($A30="","",IF(발령대장_설정!$B$8="","",발령대장_설정!$B$8))</x:f>
        <x:v>#NAME?</x:v>
      </x:c>
      <x:c r="J30" s="27" t="str">
        <x:f>""</x:f>
      </x:c>
    </x:row>
    <x:row r="31" ht="42" customHeight="1">
      <x:c r="A31" s="47" t="e">
        <x:f>IF(AND(대장!A15&lt;&gt;"",ISNUMBER(대장!F15),OR(대장!G15="",AND(ISNUMBER(대장!G15),대장!G15&gt;=대장!F15))),대장!F15,"")</x:f>
        <x:v>#NAME?</x:v>
      </x:c>
      <x:c r="B31" s="27" t="e">
        <x:f>IF($A31="","",IF(발령대장_설정!$B$4="","",발령대장_설정!$B$4))</x:f>
        <x:v>#NAME?</x:v>
      </x:c>
      <x:c r="C31" s="27" t="e">
        <x:f>IF($A31="","",대장!D15)</x:f>
        <x:v>#NAME?</x:v>
      </x:c>
      <x:c r="D31" s="27" t="e">
        <x:f>IF($A31="","",대장!A15)</x:f>
        <x:v>#NAME?</x:v>
      </x:c>
      <x:c r="E31" s="27" t="e">
        <x:f>IF($A31="","",IF(대장!J15&lt;&gt;"",대장!J15,대장!D15&amp;"에 임함"&amp;IF(대장!E15="","",CHAR(10)&amp;"고용형태: "&amp;대장!E15)&amp;IF(대장!I15="","",CHAR(10)&amp;"소정근로시간: "&amp;대장!I15)&amp;CHAR(10)&amp;"근로기간: "&amp;YEAR(대장!F15)&amp;"."&amp;MONTH(대장!F15)&amp;"."&amp;DAY(대장!F15)&amp;"."&amp;" ~ "&amp;IF(ISNUMBER(대장!G15),YEAR(대장!G15)&amp;"."&amp;MONTH(대장!G15)&amp;"."&amp;DAY(대장!G15)&amp;".","재직 중")))</x:f>
        <x:v>#NAME?</x:v>
      </x:c>
      <x:c r="F31" s="27" t="e">
        <x:f>IF($A31="","",IF(발령대장_설정!$B$5="","",발령대장_설정!$B$5))</x:f>
        <x:v>#NAME?</x:v>
      </x:c>
      <x:c r="G31" s="27" t="e">
        <x:f>IF($A31="","",IF(발령대장_설정!$B$6="","",발령대장_설정!$B$6))</x:f>
        <x:v>#NAME?</x:v>
      </x:c>
      <x:c r="H31" s="27" t="e">
        <x:f>IF($A31="","",IF(발령대장_설정!$B$7="","",발령대장_설정!$B$7))</x:f>
        <x:v>#NAME?</x:v>
      </x:c>
      <x:c r="I31" s="27" t="e">
        <x:f>IF($A31="","",IF(발령대장_설정!$B$8="","",발령대장_설정!$B$8))</x:f>
        <x:v>#NAME?</x:v>
      </x:c>
      <x:c r="J31" s="27" t="e">
        <x:f>IF($A31="","",IF(대장!K15="","",대장!K15))</x:f>
        <x:v>#NAME?</x:v>
      </x:c>
    </x:row>
    <x:row r="32" ht="42" customHeight="1">
      <x:c r="A32" s="47" t="e">
        <x:f>IF(AND(대장!A15&lt;&gt;"",ISNUMBER(대장!F15),ISNUMBER(대장!G15),대장!G15&gt;=대장!F15,대장!H15&lt;&gt;""),대장!G15,"")</x:f>
        <x:v>#NAME?</x:v>
      </x:c>
      <x:c r="B32" s="27" t="e">
        <x:f>IF($A32="","",IF(발령대장_설정!$B$4="","",발령대장_설정!$B$4))</x:f>
        <x:v>#NAME?</x:v>
      </x:c>
      <x:c r="C32" s="27" t="e">
        <x:f>IF($A32="","",대장!D15)</x:f>
        <x:v>#NAME?</x:v>
      </x:c>
      <x:c r="D32" s="27" t="e">
        <x:f>IF($A32="","",대장!A15)</x:f>
        <x:v>#NAME?</x:v>
      </x:c>
      <x:c r="E32" s="27" t="e">
        <x:f>IF($A32="","",IF(OR(ISNUMBER(SEARCH("계약만료",대장!H15&amp;"")),ISNUMBER(SEARCH("기간만료",대장!H15&amp;""))),"계약기간 만료로 퇴직",IF(ISNUMBER(SEARCH("의원면직",대장!H15&amp;"")),"의원면직",IF(ISNUMBER(SEARCH("정년퇴직",대장!H15&amp;"")),"정년퇴직",대장!H15))))</x:f>
        <x:v>#NAME?</x:v>
      </x:c>
      <x:c r="F32" s="27" t="e">
        <x:f>IF($A32="","",IF(발령대장_설정!$B$5="","",발령대장_설정!$B$5))</x:f>
        <x:v>#NAME?</x:v>
      </x:c>
      <x:c r="G32" s="27" t="e">
        <x:f>IF($A32="","",IF(발령대장_설정!$B$6="","",발령대장_설정!$B$6))</x:f>
        <x:v>#NAME?</x:v>
      </x:c>
      <x:c r="H32" s="27" t="e">
        <x:f>IF($A32="","",IF(발령대장_설정!$B$7="","",발령대장_설정!$B$7))</x:f>
        <x:v>#NAME?</x:v>
      </x:c>
      <x:c r="I32" s="27" t="e">
        <x:f>IF($A32="","",IF(발령대장_설정!$B$8="","",발령대장_설정!$B$8))</x:f>
        <x:v>#NAME?</x:v>
      </x:c>
      <x:c r="J32" s="27" t="str">
        <x:f>""</x:f>
      </x:c>
    </x:row>
    <x:row r="33" ht="42" customHeight="1">
      <x:c r="A33" s="47" t="e">
        <x:f>IF(AND(대장!A16&lt;&gt;"",ISNUMBER(대장!F16),OR(대장!G16="",AND(ISNUMBER(대장!G16),대장!G16&gt;=대장!F16))),대장!F16,"")</x:f>
        <x:v>#NAME?</x:v>
      </x:c>
      <x:c r="B33" s="27" t="e">
        <x:f>IF($A33="","",IF(발령대장_설정!$B$4="","",발령대장_설정!$B$4))</x:f>
        <x:v>#NAME?</x:v>
      </x:c>
      <x:c r="C33" s="27" t="e">
        <x:f>IF($A33="","",대장!D16)</x:f>
        <x:v>#NAME?</x:v>
      </x:c>
      <x:c r="D33" s="27" t="e">
        <x:f>IF($A33="","",대장!A16)</x:f>
        <x:v>#NAME?</x:v>
      </x:c>
      <x:c r="E33" s="27" t="e">
        <x:f>IF($A33="","",IF(대장!J16&lt;&gt;"",대장!J16,대장!D16&amp;"에 임함"&amp;IF(대장!E16="","",CHAR(10)&amp;"고용형태: "&amp;대장!E16)&amp;IF(대장!I16="","",CHAR(10)&amp;"소정근로시간: "&amp;대장!I16)&amp;CHAR(10)&amp;"근로기간: "&amp;YEAR(대장!F16)&amp;"."&amp;MONTH(대장!F16)&amp;"."&amp;DAY(대장!F16)&amp;"."&amp;" ~ "&amp;IF(ISNUMBER(대장!G16),YEAR(대장!G16)&amp;"."&amp;MONTH(대장!G16)&amp;"."&amp;DAY(대장!G16)&amp;".","재직 중")))</x:f>
        <x:v>#NAME?</x:v>
      </x:c>
      <x:c r="F33" s="27" t="e">
        <x:f>IF($A33="","",IF(발령대장_설정!$B$5="","",발령대장_설정!$B$5))</x:f>
        <x:v>#NAME?</x:v>
      </x:c>
      <x:c r="G33" s="27" t="e">
        <x:f>IF($A33="","",IF(발령대장_설정!$B$6="","",발령대장_설정!$B$6))</x:f>
        <x:v>#NAME?</x:v>
      </x:c>
      <x:c r="H33" s="27" t="e">
        <x:f>IF($A33="","",IF(발령대장_설정!$B$7="","",발령대장_설정!$B$7))</x:f>
        <x:v>#NAME?</x:v>
      </x:c>
      <x:c r="I33" s="27" t="e">
        <x:f>IF($A33="","",IF(발령대장_설정!$B$8="","",발령대장_설정!$B$8))</x:f>
        <x:v>#NAME?</x:v>
      </x:c>
      <x:c r="J33" s="27" t="e">
        <x:f>IF($A33="","",IF(대장!K16="","",대장!K16))</x:f>
        <x:v>#NAME?</x:v>
      </x:c>
    </x:row>
    <x:row r="34" ht="42" customHeight="1">
      <x:c r="A34" s="47" t="e">
        <x:f>IF(AND(대장!A16&lt;&gt;"",ISNUMBER(대장!F16),ISNUMBER(대장!G16),대장!G16&gt;=대장!F16,대장!H16&lt;&gt;""),대장!G16,"")</x:f>
        <x:v>#NAME?</x:v>
      </x:c>
      <x:c r="B34" s="27" t="e">
        <x:f>IF($A34="","",IF(발령대장_설정!$B$4="","",발령대장_설정!$B$4))</x:f>
        <x:v>#NAME?</x:v>
      </x:c>
      <x:c r="C34" s="27" t="e">
        <x:f>IF($A34="","",대장!D16)</x:f>
        <x:v>#NAME?</x:v>
      </x:c>
      <x:c r="D34" s="27" t="e">
        <x:f>IF($A34="","",대장!A16)</x:f>
        <x:v>#NAME?</x:v>
      </x:c>
      <x:c r="E34" s="27" t="e">
        <x:f>IF($A34="","",IF(OR(ISNUMBER(SEARCH("계약만료",대장!H16&amp;"")),ISNUMBER(SEARCH("기간만료",대장!H16&amp;""))),"계약기간 만료로 퇴직",IF(ISNUMBER(SEARCH("의원면직",대장!H16&amp;"")),"의원면직",IF(ISNUMBER(SEARCH("정년퇴직",대장!H16&amp;"")),"정년퇴직",대장!H16))))</x:f>
        <x:v>#NAME?</x:v>
      </x:c>
      <x:c r="F34" s="27" t="e">
        <x:f>IF($A34="","",IF(발령대장_설정!$B$5="","",발령대장_설정!$B$5))</x:f>
        <x:v>#NAME?</x:v>
      </x:c>
      <x:c r="G34" s="27" t="e">
        <x:f>IF($A34="","",IF(발령대장_설정!$B$6="","",발령대장_설정!$B$6))</x:f>
        <x:v>#NAME?</x:v>
      </x:c>
      <x:c r="H34" s="27" t="e">
        <x:f>IF($A34="","",IF(발령대장_설정!$B$7="","",발령대장_설정!$B$7))</x:f>
        <x:v>#NAME?</x:v>
      </x:c>
      <x:c r="I34" s="27" t="e">
        <x:f>IF($A34="","",IF(발령대장_설정!$B$8="","",발령대장_설정!$B$8))</x:f>
        <x:v>#NAME?</x:v>
      </x:c>
      <x:c r="J34" s="27" t="str">
        <x:f>""</x:f>
      </x:c>
    </x:row>
    <x:row r="35" ht="42" customHeight="1">
      <x:c r="A35" s="47" t="e">
        <x:f>IF(AND(대장!A17&lt;&gt;"",ISNUMBER(대장!F17),OR(대장!G17="",AND(ISNUMBER(대장!G17),대장!G17&gt;=대장!F17))),대장!F17,"")</x:f>
        <x:v>#NAME?</x:v>
      </x:c>
      <x:c r="B35" s="27" t="e">
        <x:f>IF($A35="","",IF(발령대장_설정!$B$4="","",발령대장_설정!$B$4))</x:f>
        <x:v>#NAME?</x:v>
      </x:c>
      <x:c r="C35" s="27" t="e">
        <x:f>IF($A35="","",대장!D17)</x:f>
        <x:v>#NAME?</x:v>
      </x:c>
      <x:c r="D35" s="27" t="e">
        <x:f>IF($A35="","",대장!A17)</x:f>
        <x:v>#NAME?</x:v>
      </x:c>
      <x:c r="E35" s="27" t="e">
        <x:f>IF($A35="","",IF(대장!J17&lt;&gt;"",대장!J17,대장!D17&amp;"에 임함"&amp;IF(대장!E17="","",CHAR(10)&amp;"고용형태: "&amp;대장!E17)&amp;IF(대장!I17="","",CHAR(10)&amp;"소정근로시간: "&amp;대장!I17)&amp;CHAR(10)&amp;"근로기간: "&amp;YEAR(대장!F17)&amp;"."&amp;MONTH(대장!F17)&amp;"."&amp;DAY(대장!F17)&amp;"."&amp;" ~ "&amp;IF(ISNUMBER(대장!G17),YEAR(대장!G17)&amp;"."&amp;MONTH(대장!G17)&amp;"."&amp;DAY(대장!G17)&amp;".","재직 중")))</x:f>
        <x:v>#NAME?</x:v>
      </x:c>
      <x:c r="F35" s="27" t="e">
        <x:f>IF($A35="","",IF(발령대장_설정!$B$5="","",발령대장_설정!$B$5))</x:f>
        <x:v>#NAME?</x:v>
      </x:c>
      <x:c r="G35" s="27" t="e">
        <x:f>IF($A35="","",IF(발령대장_설정!$B$6="","",발령대장_설정!$B$6))</x:f>
        <x:v>#NAME?</x:v>
      </x:c>
      <x:c r="H35" s="27" t="e">
        <x:f>IF($A35="","",IF(발령대장_설정!$B$7="","",발령대장_설정!$B$7))</x:f>
        <x:v>#NAME?</x:v>
      </x:c>
      <x:c r="I35" s="27" t="e">
        <x:f>IF($A35="","",IF(발령대장_설정!$B$8="","",발령대장_설정!$B$8))</x:f>
        <x:v>#NAME?</x:v>
      </x:c>
      <x:c r="J35" s="27" t="e">
        <x:f>IF($A35="","",IF(대장!K17="","",대장!K17))</x:f>
        <x:v>#NAME?</x:v>
      </x:c>
    </x:row>
    <x:row r="36" ht="42" customHeight="1">
      <x:c r="A36" s="47" t="e">
        <x:f>IF(AND(대장!A17&lt;&gt;"",ISNUMBER(대장!F17),ISNUMBER(대장!G17),대장!G17&gt;=대장!F17,대장!H17&lt;&gt;""),대장!G17,"")</x:f>
        <x:v>#NAME?</x:v>
      </x:c>
      <x:c r="B36" s="27" t="e">
        <x:f>IF($A36="","",IF(발령대장_설정!$B$4="","",발령대장_설정!$B$4))</x:f>
        <x:v>#NAME?</x:v>
      </x:c>
      <x:c r="C36" s="27" t="e">
        <x:f>IF($A36="","",대장!D17)</x:f>
        <x:v>#NAME?</x:v>
      </x:c>
      <x:c r="D36" s="27" t="e">
        <x:f>IF($A36="","",대장!A17)</x:f>
        <x:v>#NAME?</x:v>
      </x:c>
      <x:c r="E36" s="27" t="e">
        <x:f>IF($A36="","",IF(OR(ISNUMBER(SEARCH("계약만료",대장!H17&amp;"")),ISNUMBER(SEARCH("기간만료",대장!H17&amp;""))),"계약기간 만료로 퇴직",IF(ISNUMBER(SEARCH("의원면직",대장!H17&amp;"")),"의원면직",IF(ISNUMBER(SEARCH("정년퇴직",대장!H17&amp;"")),"정년퇴직",대장!H17))))</x:f>
        <x:v>#NAME?</x:v>
      </x:c>
      <x:c r="F36" s="27" t="e">
        <x:f>IF($A36="","",IF(발령대장_설정!$B$5="","",발령대장_설정!$B$5))</x:f>
        <x:v>#NAME?</x:v>
      </x:c>
      <x:c r="G36" s="27" t="e">
        <x:f>IF($A36="","",IF(발령대장_설정!$B$6="","",발령대장_설정!$B$6))</x:f>
        <x:v>#NAME?</x:v>
      </x:c>
      <x:c r="H36" s="27" t="e">
        <x:f>IF($A36="","",IF(발령대장_설정!$B$7="","",발령대장_설정!$B$7))</x:f>
        <x:v>#NAME?</x:v>
      </x:c>
      <x:c r="I36" s="27" t="e">
        <x:f>IF($A36="","",IF(발령대장_설정!$B$8="","",발령대장_설정!$B$8))</x:f>
        <x:v>#NAME?</x:v>
      </x:c>
      <x:c r="J36" s="27" t="str">
        <x:f>""</x:f>
      </x:c>
    </x:row>
    <x:row r="37" ht="42" customHeight="1">
      <x:c r="A37" s="47" t="e">
        <x:f>IF(AND(대장!A18&lt;&gt;"",ISNUMBER(대장!F18),OR(대장!G18="",AND(ISNUMBER(대장!G18),대장!G18&gt;=대장!F18))),대장!F18,"")</x:f>
        <x:v>#NAME?</x:v>
      </x:c>
      <x:c r="B37" s="27" t="e">
        <x:f>IF($A37="","",IF(발령대장_설정!$B$4="","",발령대장_설정!$B$4))</x:f>
        <x:v>#NAME?</x:v>
      </x:c>
      <x:c r="C37" s="27" t="e">
        <x:f>IF($A37="","",대장!D18)</x:f>
        <x:v>#NAME?</x:v>
      </x:c>
      <x:c r="D37" s="27" t="e">
        <x:f>IF($A37="","",대장!A18)</x:f>
        <x:v>#NAME?</x:v>
      </x:c>
      <x:c r="E37" s="27" t="e">
        <x:f>IF($A37="","",IF(대장!J18&lt;&gt;"",대장!J18,대장!D18&amp;"에 임함"&amp;IF(대장!E18="","",CHAR(10)&amp;"고용형태: "&amp;대장!E18)&amp;IF(대장!I18="","",CHAR(10)&amp;"소정근로시간: "&amp;대장!I18)&amp;CHAR(10)&amp;"근로기간: "&amp;YEAR(대장!F18)&amp;"."&amp;MONTH(대장!F18)&amp;"."&amp;DAY(대장!F18)&amp;"."&amp;" ~ "&amp;IF(ISNUMBER(대장!G18),YEAR(대장!G18)&amp;"."&amp;MONTH(대장!G18)&amp;"."&amp;DAY(대장!G18)&amp;".","재직 중")))</x:f>
        <x:v>#NAME?</x:v>
      </x:c>
      <x:c r="F37" s="27" t="e">
        <x:f>IF($A37="","",IF(발령대장_설정!$B$5="","",발령대장_설정!$B$5))</x:f>
        <x:v>#NAME?</x:v>
      </x:c>
      <x:c r="G37" s="27" t="e">
        <x:f>IF($A37="","",IF(발령대장_설정!$B$6="","",발령대장_설정!$B$6))</x:f>
        <x:v>#NAME?</x:v>
      </x:c>
      <x:c r="H37" s="27" t="e">
        <x:f>IF($A37="","",IF(발령대장_설정!$B$7="","",발령대장_설정!$B$7))</x:f>
        <x:v>#NAME?</x:v>
      </x:c>
      <x:c r="I37" s="27" t="e">
        <x:f>IF($A37="","",IF(발령대장_설정!$B$8="","",발령대장_설정!$B$8))</x:f>
        <x:v>#NAME?</x:v>
      </x:c>
      <x:c r="J37" s="27" t="e">
        <x:f>IF($A37="","",IF(대장!K18="","",대장!K18))</x:f>
        <x:v>#NAME?</x:v>
      </x:c>
    </x:row>
    <x:row r="38" ht="42" customHeight="1">
      <x:c r="A38" s="47" t="e">
        <x:f>IF(AND(대장!A18&lt;&gt;"",ISNUMBER(대장!F18),ISNUMBER(대장!G18),대장!G18&gt;=대장!F18,대장!H18&lt;&gt;""),대장!G18,"")</x:f>
        <x:v>#NAME?</x:v>
      </x:c>
      <x:c r="B38" s="27" t="e">
        <x:f>IF($A38="","",IF(발령대장_설정!$B$4="","",발령대장_설정!$B$4))</x:f>
        <x:v>#NAME?</x:v>
      </x:c>
      <x:c r="C38" s="27" t="e">
        <x:f>IF($A38="","",대장!D18)</x:f>
        <x:v>#NAME?</x:v>
      </x:c>
      <x:c r="D38" s="27" t="e">
        <x:f>IF($A38="","",대장!A18)</x:f>
        <x:v>#NAME?</x:v>
      </x:c>
      <x:c r="E38" s="27" t="e">
        <x:f>IF($A38="","",IF(OR(ISNUMBER(SEARCH("계약만료",대장!H18&amp;"")),ISNUMBER(SEARCH("기간만료",대장!H18&amp;""))),"계약기간 만료로 퇴직",IF(ISNUMBER(SEARCH("의원면직",대장!H18&amp;"")),"의원면직",IF(ISNUMBER(SEARCH("정년퇴직",대장!H18&amp;"")),"정년퇴직",대장!H18))))</x:f>
        <x:v>#NAME?</x:v>
      </x:c>
      <x:c r="F38" s="27" t="e">
        <x:f>IF($A38="","",IF(발령대장_설정!$B$5="","",발령대장_설정!$B$5))</x:f>
        <x:v>#NAME?</x:v>
      </x:c>
      <x:c r="G38" s="27" t="e">
        <x:f>IF($A38="","",IF(발령대장_설정!$B$6="","",발령대장_설정!$B$6))</x:f>
        <x:v>#NAME?</x:v>
      </x:c>
      <x:c r="H38" s="27" t="e">
        <x:f>IF($A38="","",IF(발령대장_설정!$B$7="","",발령대장_설정!$B$7))</x:f>
        <x:v>#NAME?</x:v>
      </x:c>
      <x:c r="I38" s="27" t="e">
        <x:f>IF($A38="","",IF(발령대장_설정!$B$8="","",발령대장_설정!$B$8))</x:f>
        <x:v>#NAME?</x:v>
      </x:c>
      <x:c r="J38" s="27" t="str">
        <x:f>""</x:f>
      </x:c>
    </x:row>
    <x:row r="39" ht="42" customHeight="1">
      <x:c r="A39" s="47" t="e">
        <x:f>IF(AND(대장!A19&lt;&gt;"",ISNUMBER(대장!F19),OR(대장!G19="",AND(ISNUMBER(대장!G19),대장!G19&gt;=대장!F19))),대장!F19,"")</x:f>
        <x:v>#NAME?</x:v>
      </x:c>
      <x:c r="B39" s="27" t="e">
        <x:f>IF($A39="","",IF(발령대장_설정!$B$4="","",발령대장_설정!$B$4))</x:f>
        <x:v>#NAME?</x:v>
      </x:c>
      <x:c r="C39" s="27" t="e">
        <x:f>IF($A39="","",대장!D19)</x:f>
        <x:v>#NAME?</x:v>
      </x:c>
      <x:c r="D39" s="27" t="e">
        <x:f>IF($A39="","",대장!A19)</x:f>
        <x:v>#NAME?</x:v>
      </x:c>
      <x:c r="E39" s="27" t="e">
        <x:f>IF($A39="","",IF(대장!J19&lt;&gt;"",대장!J19,대장!D19&amp;"에 임함"&amp;IF(대장!E19="","",CHAR(10)&amp;"고용형태: "&amp;대장!E19)&amp;IF(대장!I19="","",CHAR(10)&amp;"소정근로시간: "&amp;대장!I19)&amp;CHAR(10)&amp;"근로기간: "&amp;YEAR(대장!F19)&amp;"."&amp;MONTH(대장!F19)&amp;"."&amp;DAY(대장!F19)&amp;"."&amp;" ~ "&amp;IF(ISNUMBER(대장!G19),YEAR(대장!G19)&amp;"."&amp;MONTH(대장!G19)&amp;"."&amp;DAY(대장!G19)&amp;".","재직 중")))</x:f>
        <x:v>#NAME?</x:v>
      </x:c>
      <x:c r="F39" s="27" t="e">
        <x:f>IF($A39="","",IF(발령대장_설정!$B$5="","",발령대장_설정!$B$5))</x:f>
        <x:v>#NAME?</x:v>
      </x:c>
      <x:c r="G39" s="27" t="e">
        <x:f>IF($A39="","",IF(발령대장_설정!$B$6="","",발령대장_설정!$B$6))</x:f>
        <x:v>#NAME?</x:v>
      </x:c>
      <x:c r="H39" s="27" t="e">
        <x:f>IF($A39="","",IF(발령대장_설정!$B$7="","",발령대장_설정!$B$7))</x:f>
        <x:v>#NAME?</x:v>
      </x:c>
      <x:c r="I39" s="27" t="e">
        <x:f>IF($A39="","",IF(발령대장_설정!$B$8="","",발령대장_설정!$B$8))</x:f>
        <x:v>#NAME?</x:v>
      </x:c>
      <x:c r="J39" s="27" t="e">
        <x:f>IF($A39="","",IF(대장!K19="","",대장!K19))</x:f>
        <x:v>#NAME?</x:v>
      </x:c>
    </x:row>
    <x:row r="40" ht="42" customHeight="1">
      <x:c r="A40" s="47" t="e">
        <x:f>IF(AND(대장!A19&lt;&gt;"",ISNUMBER(대장!F19),ISNUMBER(대장!G19),대장!G19&gt;=대장!F19,대장!H19&lt;&gt;""),대장!G19,"")</x:f>
        <x:v>#NAME?</x:v>
      </x:c>
      <x:c r="B40" s="27" t="e">
        <x:f>IF($A40="","",IF(발령대장_설정!$B$4="","",발령대장_설정!$B$4))</x:f>
        <x:v>#NAME?</x:v>
      </x:c>
      <x:c r="C40" s="27" t="e">
        <x:f>IF($A40="","",대장!D19)</x:f>
        <x:v>#NAME?</x:v>
      </x:c>
      <x:c r="D40" s="27" t="e">
        <x:f>IF($A40="","",대장!A19)</x:f>
        <x:v>#NAME?</x:v>
      </x:c>
      <x:c r="E40" s="27" t="e">
        <x:f>IF($A40="","",IF(OR(ISNUMBER(SEARCH("계약만료",대장!H19&amp;"")),ISNUMBER(SEARCH("기간만료",대장!H19&amp;""))),"계약기간 만료로 퇴직",IF(ISNUMBER(SEARCH("의원면직",대장!H19&amp;"")),"의원면직",IF(ISNUMBER(SEARCH("정년퇴직",대장!H19&amp;"")),"정년퇴직",대장!H19))))</x:f>
        <x:v>#NAME?</x:v>
      </x:c>
      <x:c r="F40" s="27" t="e">
        <x:f>IF($A40="","",IF(발령대장_설정!$B$5="","",발령대장_설정!$B$5))</x:f>
        <x:v>#NAME?</x:v>
      </x:c>
      <x:c r="G40" s="27" t="e">
        <x:f>IF($A40="","",IF(발령대장_설정!$B$6="","",발령대장_설정!$B$6))</x:f>
        <x:v>#NAME?</x:v>
      </x:c>
      <x:c r="H40" s="27" t="e">
        <x:f>IF($A40="","",IF(발령대장_설정!$B$7="","",발령대장_설정!$B$7))</x:f>
        <x:v>#NAME?</x:v>
      </x:c>
      <x:c r="I40" s="27" t="e">
        <x:f>IF($A40="","",IF(발령대장_설정!$B$8="","",발령대장_설정!$B$8))</x:f>
        <x:v>#NAME?</x:v>
      </x:c>
      <x:c r="J40" s="27" t="str">
        <x:f>""</x:f>
      </x:c>
    </x:row>
    <x:row r="41" ht="42" customHeight="1">
      <x:c r="A41" s="47" t="e">
        <x:f>IF(AND(대장!A20&lt;&gt;"",ISNUMBER(대장!F20),OR(대장!G20="",AND(ISNUMBER(대장!G20),대장!G20&gt;=대장!F20))),대장!F20,"")</x:f>
        <x:v>#NAME?</x:v>
      </x:c>
      <x:c r="B41" s="27" t="e">
        <x:f>IF($A41="","",IF(발령대장_설정!$B$4="","",발령대장_설정!$B$4))</x:f>
        <x:v>#NAME?</x:v>
      </x:c>
      <x:c r="C41" s="27" t="e">
        <x:f>IF($A41="","",대장!D20)</x:f>
        <x:v>#NAME?</x:v>
      </x:c>
      <x:c r="D41" s="27" t="e">
        <x:f>IF($A41="","",대장!A20)</x:f>
        <x:v>#NAME?</x:v>
      </x:c>
      <x:c r="E41" s="27" t="e">
        <x:f>IF($A41="","",IF(대장!J20&lt;&gt;"",대장!J20,대장!D20&amp;"에 임함"&amp;IF(대장!E20="","",CHAR(10)&amp;"고용형태: "&amp;대장!E20)&amp;IF(대장!I20="","",CHAR(10)&amp;"소정근로시간: "&amp;대장!I20)&amp;CHAR(10)&amp;"근로기간: "&amp;YEAR(대장!F20)&amp;"."&amp;MONTH(대장!F20)&amp;"."&amp;DAY(대장!F20)&amp;"."&amp;" ~ "&amp;IF(ISNUMBER(대장!G20),YEAR(대장!G20)&amp;"."&amp;MONTH(대장!G20)&amp;"."&amp;DAY(대장!G20)&amp;".","재직 중")))</x:f>
        <x:v>#NAME?</x:v>
      </x:c>
      <x:c r="F41" s="27" t="e">
        <x:f>IF($A41="","",IF(발령대장_설정!$B$5="","",발령대장_설정!$B$5))</x:f>
        <x:v>#NAME?</x:v>
      </x:c>
      <x:c r="G41" s="27" t="e">
        <x:f>IF($A41="","",IF(발령대장_설정!$B$6="","",발령대장_설정!$B$6))</x:f>
        <x:v>#NAME?</x:v>
      </x:c>
      <x:c r="H41" s="27" t="e">
        <x:f>IF($A41="","",IF(발령대장_설정!$B$7="","",발령대장_설정!$B$7))</x:f>
        <x:v>#NAME?</x:v>
      </x:c>
      <x:c r="I41" s="27" t="e">
        <x:f>IF($A41="","",IF(발령대장_설정!$B$8="","",발령대장_설정!$B$8))</x:f>
        <x:v>#NAME?</x:v>
      </x:c>
      <x:c r="J41" s="27" t="e">
        <x:f>IF($A41="","",IF(대장!K20="","",대장!K20))</x:f>
        <x:v>#NAME?</x:v>
      </x:c>
    </x:row>
    <x:row r="42" ht="42" customHeight="1">
      <x:c r="A42" s="47" t="e">
        <x:f>IF(AND(대장!A20&lt;&gt;"",ISNUMBER(대장!F20),ISNUMBER(대장!G20),대장!G20&gt;=대장!F20,대장!H20&lt;&gt;""),대장!G20,"")</x:f>
        <x:v>#NAME?</x:v>
      </x:c>
      <x:c r="B42" s="27" t="e">
        <x:f>IF($A42="","",IF(발령대장_설정!$B$4="","",발령대장_설정!$B$4))</x:f>
        <x:v>#NAME?</x:v>
      </x:c>
      <x:c r="C42" s="27" t="e">
        <x:f>IF($A42="","",대장!D20)</x:f>
        <x:v>#NAME?</x:v>
      </x:c>
      <x:c r="D42" s="27" t="e">
        <x:f>IF($A42="","",대장!A20)</x:f>
        <x:v>#NAME?</x:v>
      </x:c>
      <x:c r="E42" s="27" t="e">
        <x:f>IF($A42="","",IF(OR(ISNUMBER(SEARCH("계약만료",대장!H20&amp;"")),ISNUMBER(SEARCH("기간만료",대장!H20&amp;""))),"계약기간 만료로 퇴직",IF(ISNUMBER(SEARCH("의원면직",대장!H20&amp;"")),"의원면직",IF(ISNUMBER(SEARCH("정년퇴직",대장!H20&amp;"")),"정년퇴직",대장!H20))))</x:f>
        <x:v>#NAME?</x:v>
      </x:c>
      <x:c r="F42" s="27" t="e">
        <x:f>IF($A42="","",IF(발령대장_설정!$B$5="","",발령대장_설정!$B$5))</x:f>
        <x:v>#NAME?</x:v>
      </x:c>
      <x:c r="G42" s="27" t="e">
        <x:f>IF($A42="","",IF(발령대장_설정!$B$6="","",발령대장_설정!$B$6))</x:f>
        <x:v>#NAME?</x:v>
      </x:c>
      <x:c r="H42" s="27" t="e">
        <x:f>IF($A42="","",IF(발령대장_설정!$B$7="","",발령대장_설정!$B$7))</x:f>
        <x:v>#NAME?</x:v>
      </x:c>
      <x:c r="I42" s="27" t="e">
        <x:f>IF($A42="","",IF(발령대장_설정!$B$8="","",발령대장_설정!$B$8))</x:f>
        <x:v>#NAME?</x:v>
      </x:c>
      <x:c r="J42" s="27" t="str">
        <x:f>""</x:f>
      </x:c>
    </x:row>
    <x:row r="43" ht="42" customHeight="1">
      <x:c r="A43" s="47" t="e">
        <x:f>IF(AND(대장!A21&lt;&gt;"",ISNUMBER(대장!F21),OR(대장!G21="",AND(ISNUMBER(대장!G21),대장!G21&gt;=대장!F21))),대장!F21,"")</x:f>
        <x:v>#NAME?</x:v>
      </x:c>
      <x:c r="B43" s="27" t="e">
        <x:f>IF($A43="","",IF(발령대장_설정!$B$4="","",발령대장_설정!$B$4))</x:f>
        <x:v>#NAME?</x:v>
      </x:c>
      <x:c r="C43" s="27" t="e">
        <x:f>IF($A43="","",대장!D21)</x:f>
        <x:v>#NAME?</x:v>
      </x:c>
      <x:c r="D43" s="27" t="e">
        <x:f>IF($A43="","",대장!A21)</x:f>
        <x:v>#NAME?</x:v>
      </x:c>
      <x:c r="E43" s="27" t="e">
        <x:f>IF($A43="","",IF(대장!J21&lt;&gt;"",대장!J21,대장!D21&amp;"에 임함"&amp;IF(대장!E21="","",CHAR(10)&amp;"고용형태: "&amp;대장!E21)&amp;IF(대장!I21="","",CHAR(10)&amp;"소정근로시간: "&amp;대장!I21)&amp;CHAR(10)&amp;"근로기간: "&amp;YEAR(대장!F21)&amp;"."&amp;MONTH(대장!F21)&amp;"."&amp;DAY(대장!F21)&amp;"."&amp;" ~ "&amp;IF(ISNUMBER(대장!G21),YEAR(대장!G21)&amp;"."&amp;MONTH(대장!G21)&amp;"."&amp;DAY(대장!G21)&amp;".","재직 중")))</x:f>
        <x:v>#NAME?</x:v>
      </x:c>
      <x:c r="F43" s="27" t="e">
        <x:f>IF($A43="","",IF(발령대장_설정!$B$5="","",발령대장_설정!$B$5))</x:f>
        <x:v>#NAME?</x:v>
      </x:c>
      <x:c r="G43" s="27" t="e">
        <x:f>IF($A43="","",IF(발령대장_설정!$B$6="","",발령대장_설정!$B$6))</x:f>
        <x:v>#NAME?</x:v>
      </x:c>
      <x:c r="H43" s="27" t="e">
        <x:f>IF($A43="","",IF(발령대장_설정!$B$7="","",발령대장_설정!$B$7))</x:f>
        <x:v>#NAME?</x:v>
      </x:c>
      <x:c r="I43" s="27" t="e">
        <x:f>IF($A43="","",IF(발령대장_설정!$B$8="","",발령대장_설정!$B$8))</x:f>
        <x:v>#NAME?</x:v>
      </x:c>
      <x:c r="J43" s="27" t="e">
        <x:f>IF($A43="","",IF(대장!K21="","",대장!K21))</x:f>
        <x:v>#NAME?</x:v>
      </x:c>
    </x:row>
    <x:row r="44" ht="42" customHeight="1">
      <x:c r="A44" s="47" t="e">
        <x:f>IF(AND(대장!A21&lt;&gt;"",ISNUMBER(대장!F21),ISNUMBER(대장!G21),대장!G21&gt;=대장!F21,대장!H21&lt;&gt;""),대장!G21,"")</x:f>
        <x:v>#NAME?</x:v>
      </x:c>
      <x:c r="B44" s="27" t="e">
        <x:f>IF($A44="","",IF(발령대장_설정!$B$4="","",발령대장_설정!$B$4))</x:f>
        <x:v>#NAME?</x:v>
      </x:c>
      <x:c r="C44" s="27" t="e">
        <x:f>IF($A44="","",대장!D21)</x:f>
        <x:v>#NAME?</x:v>
      </x:c>
      <x:c r="D44" s="27" t="e">
        <x:f>IF($A44="","",대장!A21)</x:f>
        <x:v>#NAME?</x:v>
      </x:c>
      <x:c r="E44" s="27" t="e">
        <x:f>IF($A44="","",IF(OR(ISNUMBER(SEARCH("계약만료",대장!H21&amp;"")),ISNUMBER(SEARCH("기간만료",대장!H21&amp;""))),"계약기간 만료로 퇴직",IF(ISNUMBER(SEARCH("의원면직",대장!H21&amp;"")),"의원면직",IF(ISNUMBER(SEARCH("정년퇴직",대장!H21&amp;"")),"정년퇴직",대장!H21))))</x:f>
        <x:v>#NAME?</x:v>
      </x:c>
      <x:c r="F44" s="27" t="e">
        <x:f>IF($A44="","",IF(발령대장_설정!$B$5="","",발령대장_설정!$B$5))</x:f>
        <x:v>#NAME?</x:v>
      </x:c>
      <x:c r="G44" s="27" t="e">
        <x:f>IF($A44="","",IF(발령대장_설정!$B$6="","",발령대장_설정!$B$6))</x:f>
        <x:v>#NAME?</x:v>
      </x:c>
      <x:c r="H44" s="27" t="e">
        <x:f>IF($A44="","",IF(발령대장_설정!$B$7="","",발령대장_설정!$B$7))</x:f>
        <x:v>#NAME?</x:v>
      </x:c>
      <x:c r="I44" s="27" t="e">
        <x:f>IF($A44="","",IF(발령대장_설정!$B$8="","",발령대장_설정!$B$8))</x:f>
        <x:v>#NAME?</x:v>
      </x:c>
      <x:c r="J44" s="27" t="str">
        <x:f>""</x:f>
      </x:c>
    </x:row>
    <x:row r="45" ht="42" customHeight="1">
      <x:c r="A45" s="47" t="e">
        <x:f>IF(AND(대장!A22&lt;&gt;"",ISNUMBER(대장!F22),OR(대장!G22="",AND(ISNUMBER(대장!G22),대장!G22&gt;=대장!F22))),대장!F22,"")</x:f>
        <x:v>#NAME?</x:v>
      </x:c>
      <x:c r="B45" s="27" t="e">
        <x:f>IF($A45="","",IF(발령대장_설정!$B$4="","",발령대장_설정!$B$4))</x:f>
        <x:v>#NAME?</x:v>
      </x:c>
      <x:c r="C45" s="27" t="e">
        <x:f>IF($A45="","",대장!D22)</x:f>
        <x:v>#NAME?</x:v>
      </x:c>
      <x:c r="D45" s="27" t="e">
        <x:f>IF($A45="","",대장!A22)</x:f>
        <x:v>#NAME?</x:v>
      </x:c>
      <x:c r="E45" s="27" t="e">
        <x:f>IF($A45="","",IF(대장!J22&lt;&gt;"",대장!J22,대장!D22&amp;"에 임함"&amp;IF(대장!E22="","",CHAR(10)&amp;"고용형태: "&amp;대장!E22)&amp;IF(대장!I22="","",CHAR(10)&amp;"소정근로시간: "&amp;대장!I22)&amp;CHAR(10)&amp;"근로기간: "&amp;YEAR(대장!F22)&amp;"."&amp;MONTH(대장!F22)&amp;"."&amp;DAY(대장!F22)&amp;"."&amp;" ~ "&amp;IF(ISNUMBER(대장!G22),YEAR(대장!G22)&amp;"."&amp;MONTH(대장!G22)&amp;"."&amp;DAY(대장!G22)&amp;".","재직 중")))</x:f>
        <x:v>#NAME?</x:v>
      </x:c>
      <x:c r="F45" s="27" t="e">
        <x:f>IF($A45="","",IF(발령대장_설정!$B$5="","",발령대장_설정!$B$5))</x:f>
        <x:v>#NAME?</x:v>
      </x:c>
      <x:c r="G45" s="27" t="e">
        <x:f>IF($A45="","",IF(발령대장_설정!$B$6="","",발령대장_설정!$B$6))</x:f>
        <x:v>#NAME?</x:v>
      </x:c>
      <x:c r="H45" s="27" t="e">
        <x:f>IF($A45="","",IF(발령대장_설정!$B$7="","",발령대장_설정!$B$7))</x:f>
        <x:v>#NAME?</x:v>
      </x:c>
      <x:c r="I45" s="27" t="e">
        <x:f>IF($A45="","",IF(발령대장_설정!$B$8="","",발령대장_설정!$B$8))</x:f>
        <x:v>#NAME?</x:v>
      </x:c>
      <x:c r="J45" s="27" t="e">
        <x:f>IF($A45="","",IF(대장!K22="","",대장!K22))</x:f>
        <x:v>#NAME?</x:v>
      </x:c>
    </x:row>
    <x:row r="46" ht="42" customHeight="1">
      <x:c r="A46" s="47" t="e">
        <x:f>IF(AND(대장!A22&lt;&gt;"",ISNUMBER(대장!F22),ISNUMBER(대장!G22),대장!G22&gt;=대장!F22,대장!H22&lt;&gt;""),대장!G22,"")</x:f>
        <x:v>#NAME?</x:v>
      </x:c>
      <x:c r="B46" s="27" t="e">
        <x:f>IF($A46="","",IF(발령대장_설정!$B$4="","",발령대장_설정!$B$4))</x:f>
        <x:v>#NAME?</x:v>
      </x:c>
      <x:c r="C46" s="27" t="e">
        <x:f>IF($A46="","",대장!D22)</x:f>
        <x:v>#NAME?</x:v>
      </x:c>
      <x:c r="D46" s="27" t="e">
        <x:f>IF($A46="","",대장!A22)</x:f>
        <x:v>#NAME?</x:v>
      </x:c>
      <x:c r="E46" s="27" t="e">
        <x:f>IF($A46="","",IF(OR(ISNUMBER(SEARCH("계약만료",대장!H22&amp;"")),ISNUMBER(SEARCH("기간만료",대장!H22&amp;""))),"계약기간 만료로 퇴직",IF(ISNUMBER(SEARCH("의원면직",대장!H22&amp;"")),"의원면직",IF(ISNUMBER(SEARCH("정년퇴직",대장!H22&amp;"")),"정년퇴직",대장!H22))))</x:f>
        <x:v>#NAME?</x:v>
      </x:c>
      <x:c r="F46" s="27" t="e">
        <x:f>IF($A46="","",IF(발령대장_설정!$B$5="","",발령대장_설정!$B$5))</x:f>
        <x:v>#NAME?</x:v>
      </x:c>
      <x:c r="G46" s="27" t="e">
        <x:f>IF($A46="","",IF(발령대장_설정!$B$6="","",발령대장_설정!$B$6))</x:f>
        <x:v>#NAME?</x:v>
      </x:c>
      <x:c r="H46" s="27" t="e">
        <x:f>IF($A46="","",IF(발령대장_설정!$B$7="","",발령대장_설정!$B$7))</x:f>
        <x:v>#NAME?</x:v>
      </x:c>
      <x:c r="I46" s="27" t="e">
        <x:f>IF($A46="","",IF(발령대장_설정!$B$8="","",발령대장_설정!$B$8))</x:f>
        <x:v>#NAME?</x:v>
      </x:c>
      <x:c r="J46" s="27" t="str">
        <x:f>""</x:f>
      </x:c>
    </x:row>
    <x:row r="47" ht="42" customHeight="1">
      <x:c r="A47" s="47" t="e">
        <x:f>IF(AND(대장!A23&lt;&gt;"",ISNUMBER(대장!F23),OR(대장!G23="",AND(ISNUMBER(대장!G23),대장!G23&gt;=대장!F23))),대장!F23,"")</x:f>
        <x:v>#NAME?</x:v>
      </x:c>
      <x:c r="B47" s="27" t="e">
        <x:f>IF($A47="","",IF(발령대장_설정!$B$4="","",발령대장_설정!$B$4))</x:f>
        <x:v>#NAME?</x:v>
      </x:c>
      <x:c r="C47" s="27" t="e">
        <x:f>IF($A47="","",대장!D23)</x:f>
        <x:v>#NAME?</x:v>
      </x:c>
      <x:c r="D47" s="27" t="e">
        <x:f>IF($A47="","",대장!A23)</x:f>
        <x:v>#NAME?</x:v>
      </x:c>
      <x:c r="E47" s="27" t="e">
        <x:f>IF($A47="","",IF(대장!J23&lt;&gt;"",대장!J23,대장!D23&amp;"에 임함"&amp;IF(대장!E23="","",CHAR(10)&amp;"고용형태: "&amp;대장!E23)&amp;IF(대장!I23="","",CHAR(10)&amp;"소정근로시간: "&amp;대장!I23)&amp;CHAR(10)&amp;"근로기간: "&amp;YEAR(대장!F23)&amp;"."&amp;MONTH(대장!F23)&amp;"."&amp;DAY(대장!F23)&amp;"."&amp;" ~ "&amp;IF(ISNUMBER(대장!G23),YEAR(대장!G23)&amp;"."&amp;MONTH(대장!G23)&amp;"."&amp;DAY(대장!G23)&amp;".","재직 중")))</x:f>
        <x:v>#NAME?</x:v>
      </x:c>
      <x:c r="F47" s="27" t="e">
        <x:f>IF($A47="","",IF(발령대장_설정!$B$5="","",발령대장_설정!$B$5))</x:f>
        <x:v>#NAME?</x:v>
      </x:c>
      <x:c r="G47" s="27" t="e">
        <x:f>IF($A47="","",IF(발령대장_설정!$B$6="","",발령대장_설정!$B$6))</x:f>
        <x:v>#NAME?</x:v>
      </x:c>
      <x:c r="H47" s="27" t="e">
        <x:f>IF($A47="","",IF(발령대장_설정!$B$7="","",발령대장_설정!$B$7))</x:f>
        <x:v>#NAME?</x:v>
      </x:c>
      <x:c r="I47" s="27" t="e">
        <x:f>IF($A47="","",IF(발령대장_설정!$B$8="","",발령대장_설정!$B$8))</x:f>
        <x:v>#NAME?</x:v>
      </x:c>
      <x:c r="J47" s="27" t="e">
        <x:f>IF($A47="","",IF(대장!K23="","",대장!K23))</x:f>
        <x:v>#NAME?</x:v>
      </x:c>
    </x:row>
    <x:row r="48" ht="42" customHeight="1">
      <x:c r="A48" s="47" t="e">
        <x:f>IF(AND(대장!A23&lt;&gt;"",ISNUMBER(대장!F23),ISNUMBER(대장!G23),대장!G23&gt;=대장!F23,대장!H23&lt;&gt;""),대장!G23,"")</x:f>
        <x:v>#NAME?</x:v>
      </x:c>
      <x:c r="B48" s="27" t="e">
        <x:f>IF($A48="","",IF(발령대장_설정!$B$4="","",발령대장_설정!$B$4))</x:f>
        <x:v>#NAME?</x:v>
      </x:c>
      <x:c r="C48" s="27" t="e">
        <x:f>IF($A48="","",대장!D23)</x:f>
        <x:v>#NAME?</x:v>
      </x:c>
      <x:c r="D48" s="27" t="e">
        <x:f>IF($A48="","",대장!A23)</x:f>
        <x:v>#NAME?</x:v>
      </x:c>
      <x:c r="E48" s="27" t="e">
        <x:f>IF($A48="","",IF(OR(ISNUMBER(SEARCH("계약만료",대장!H23&amp;"")),ISNUMBER(SEARCH("기간만료",대장!H23&amp;""))),"계약기간 만료로 퇴직",IF(ISNUMBER(SEARCH("의원면직",대장!H23&amp;"")),"의원면직",IF(ISNUMBER(SEARCH("정년퇴직",대장!H23&amp;"")),"정년퇴직",대장!H23))))</x:f>
        <x:v>#NAME?</x:v>
      </x:c>
      <x:c r="F48" s="27" t="e">
        <x:f>IF($A48="","",IF(발령대장_설정!$B$5="","",발령대장_설정!$B$5))</x:f>
        <x:v>#NAME?</x:v>
      </x:c>
      <x:c r="G48" s="27" t="e">
        <x:f>IF($A48="","",IF(발령대장_설정!$B$6="","",발령대장_설정!$B$6))</x:f>
        <x:v>#NAME?</x:v>
      </x:c>
      <x:c r="H48" s="27" t="e">
        <x:f>IF($A48="","",IF(발령대장_설정!$B$7="","",발령대장_설정!$B$7))</x:f>
        <x:v>#NAME?</x:v>
      </x:c>
      <x:c r="I48" s="27" t="e">
        <x:f>IF($A48="","",IF(발령대장_설정!$B$8="","",발령대장_설정!$B$8))</x:f>
        <x:v>#NAME?</x:v>
      </x:c>
      <x:c r="J48" s="27" t="str">
        <x:f>""</x:f>
      </x:c>
    </x:row>
    <x:row r="49" ht="42" customHeight="1">
      <x:c r="A49" s="47" t="e">
        <x:f>IF(AND(대장!A24&lt;&gt;"",ISNUMBER(대장!F24),OR(대장!G24="",AND(ISNUMBER(대장!G24),대장!G24&gt;=대장!F24))),대장!F24,"")</x:f>
        <x:v>#NAME?</x:v>
      </x:c>
      <x:c r="B49" s="27" t="e">
        <x:f>IF($A49="","",IF(발령대장_설정!$B$4="","",발령대장_설정!$B$4))</x:f>
        <x:v>#NAME?</x:v>
      </x:c>
      <x:c r="C49" s="27" t="e">
        <x:f>IF($A49="","",대장!D24)</x:f>
        <x:v>#NAME?</x:v>
      </x:c>
      <x:c r="D49" s="27" t="e">
        <x:f>IF($A49="","",대장!A24)</x:f>
        <x:v>#NAME?</x:v>
      </x:c>
      <x:c r="E49" s="27" t="e">
        <x:f>IF($A49="","",IF(대장!J24&lt;&gt;"",대장!J24,대장!D24&amp;"에 임함"&amp;IF(대장!E24="","",CHAR(10)&amp;"고용형태: "&amp;대장!E24)&amp;IF(대장!I24="","",CHAR(10)&amp;"소정근로시간: "&amp;대장!I24)&amp;CHAR(10)&amp;"근로기간: "&amp;YEAR(대장!F24)&amp;"."&amp;MONTH(대장!F24)&amp;"."&amp;DAY(대장!F24)&amp;"."&amp;" ~ "&amp;IF(ISNUMBER(대장!G24),YEAR(대장!G24)&amp;"."&amp;MONTH(대장!G24)&amp;"."&amp;DAY(대장!G24)&amp;".","재직 중")))</x:f>
        <x:v>#NAME?</x:v>
      </x:c>
      <x:c r="F49" s="27" t="e">
        <x:f>IF($A49="","",IF(발령대장_설정!$B$5="","",발령대장_설정!$B$5))</x:f>
        <x:v>#NAME?</x:v>
      </x:c>
      <x:c r="G49" s="27" t="e">
        <x:f>IF($A49="","",IF(발령대장_설정!$B$6="","",발령대장_설정!$B$6))</x:f>
        <x:v>#NAME?</x:v>
      </x:c>
      <x:c r="H49" s="27" t="e">
        <x:f>IF($A49="","",IF(발령대장_설정!$B$7="","",발령대장_설정!$B$7))</x:f>
        <x:v>#NAME?</x:v>
      </x:c>
      <x:c r="I49" s="27" t="e">
        <x:f>IF($A49="","",IF(발령대장_설정!$B$8="","",발령대장_설정!$B$8))</x:f>
        <x:v>#NAME?</x:v>
      </x:c>
      <x:c r="J49" s="27" t="e">
        <x:f>IF($A49="","",IF(대장!K24="","",대장!K24))</x:f>
        <x:v>#NAME?</x:v>
      </x:c>
    </x:row>
    <x:row r="50" ht="42" customHeight="1">
      <x:c r="A50" s="47" t="e">
        <x:f>IF(AND(대장!A24&lt;&gt;"",ISNUMBER(대장!F24),ISNUMBER(대장!G24),대장!G24&gt;=대장!F24,대장!H24&lt;&gt;""),대장!G24,"")</x:f>
        <x:v>#NAME?</x:v>
      </x:c>
      <x:c r="B50" s="27" t="e">
        <x:f>IF($A50="","",IF(발령대장_설정!$B$4="","",발령대장_설정!$B$4))</x:f>
        <x:v>#NAME?</x:v>
      </x:c>
      <x:c r="C50" s="27" t="e">
        <x:f>IF($A50="","",대장!D24)</x:f>
        <x:v>#NAME?</x:v>
      </x:c>
      <x:c r="D50" s="27" t="e">
        <x:f>IF($A50="","",대장!A24)</x:f>
        <x:v>#NAME?</x:v>
      </x:c>
      <x:c r="E50" s="27" t="e">
        <x:f>IF($A50="","",IF(OR(ISNUMBER(SEARCH("계약만료",대장!H24&amp;"")),ISNUMBER(SEARCH("기간만료",대장!H24&amp;""))),"계약기간 만료로 퇴직",IF(ISNUMBER(SEARCH("의원면직",대장!H24&amp;"")),"의원면직",IF(ISNUMBER(SEARCH("정년퇴직",대장!H24&amp;"")),"정년퇴직",대장!H24))))</x:f>
        <x:v>#NAME?</x:v>
      </x:c>
      <x:c r="F50" s="27" t="e">
        <x:f>IF($A50="","",IF(발령대장_설정!$B$5="","",발령대장_설정!$B$5))</x:f>
        <x:v>#NAME?</x:v>
      </x:c>
      <x:c r="G50" s="27" t="e">
        <x:f>IF($A50="","",IF(발령대장_설정!$B$6="","",발령대장_설정!$B$6))</x:f>
        <x:v>#NAME?</x:v>
      </x:c>
      <x:c r="H50" s="27" t="e">
        <x:f>IF($A50="","",IF(발령대장_설정!$B$7="","",발령대장_설정!$B$7))</x:f>
        <x:v>#NAME?</x:v>
      </x:c>
      <x:c r="I50" s="27" t="e">
        <x:f>IF($A50="","",IF(발령대장_설정!$B$8="","",발령대장_설정!$B$8))</x:f>
        <x:v>#NAME?</x:v>
      </x:c>
      <x:c r="J50" s="27" t="str">
        <x:f>""</x:f>
      </x:c>
    </x:row>
    <x:row r="51" ht="42" customHeight="1">
      <x:c r="A51" s="47" t="e">
        <x:f>IF(AND(대장!A25&lt;&gt;"",ISNUMBER(대장!F25),OR(대장!G25="",AND(ISNUMBER(대장!G25),대장!G25&gt;=대장!F25))),대장!F25,"")</x:f>
        <x:v>#NAME?</x:v>
      </x:c>
      <x:c r="B51" s="27" t="e">
        <x:f>IF($A51="","",IF(발령대장_설정!$B$4="","",발령대장_설정!$B$4))</x:f>
        <x:v>#NAME?</x:v>
      </x:c>
      <x:c r="C51" s="27" t="e">
        <x:f>IF($A51="","",대장!D25)</x:f>
        <x:v>#NAME?</x:v>
      </x:c>
      <x:c r="D51" s="27" t="e">
        <x:f>IF($A51="","",대장!A25)</x:f>
        <x:v>#NAME?</x:v>
      </x:c>
      <x:c r="E51" s="27" t="e">
        <x:f>IF($A51="","",IF(대장!J25&lt;&gt;"",대장!J25,대장!D25&amp;"에 임함"&amp;IF(대장!E25="","",CHAR(10)&amp;"고용형태: "&amp;대장!E25)&amp;IF(대장!I25="","",CHAR(10)&amp;"소정근로시간: "&amp;대장!I25)&amp;CHAR(10)&amp;"근로기간: "&amp;YEAR(대장!F25)&amp;"."&amp;MONTH(대장!F25)&amp;"."&amp;DAY(대장!F25)&amp;"."&amp;" ~ "&amp;IF(ISNUMBER(대장!G25),YEAR(대장!G25)&amp;"."&amp;MONTH(대장!G25)&amp;"."&amp;DAY(대장!G25)&amp;".","재직 중")))</x:f>
        <x:v>#NAME?</x:v>
      </x:c>
      <x:c r="F51" s="27" t="e">
        <x:f>IF($A51="","",IF(발령대장_설정!$B$5="","",발령대장_설정!$B$5))</x:f>
        <x:v>#NAME?</x:v>
      </x:c>
      <x:c r="G51" s="27" t="e">
        <x:f>IF($A51="","",IF(발령대장_설정!$B$6="","",발령대장_설정!$B$6))</x:f>
        <x:v>#NAME?</x:v>
      </x:c>
      <x:c r="H51" s="27" t="e">
        <x:f>IF($A51="","",IF(발령대장_설정!$B$7="","",발령대장_설정!$B$7))</x:f>
        <x:v>#NAME?</x:v>
      </x:c>
      <x:c r="I51" s="27" t="e">
        <x:f>IF($A51="","",IF(발령대장_설정!$B$8="","",발령대장_설정!$B$8))</x:f>
        <x:v>#NAME?</x:v>
      </x:c>
      <x:c r="J51" s="27" t="e">
        <x:f>IF($A51="","",IF(대장!K25="","",대장!K25))</x:f>
        <x:v>#NAME?</x:v>
      </x:c>
    </x:row>
    <x:row r="52" ht="42" customHeight="1">
      <x:c r="A52" s="47" t="e">
        <x:f>IF(AND(대장!A25&lt;&gt;"",ISNUMBER(대장!F25),ISNUMBER(대장!G25),대장!G25&gt;=대장!F25,대장!H25&lt;&gt;""),대장!G25,"")</x:f>
        <x:v>#NAME?</x:v>
      </x:c>
      <x:c r="B52" s="27" t="e">
        <x:f>IF($A52="","",IF(발령대장_설정!$B$4="","",발령대장_설정!$B$4))</x:f>
        <x:v>#NAME?</x:v>
      </x:c>
      <x:c r="C52" s="27" t="e">
        <x:f>IF($A52="","",대장!D25)</x:f>
        <x:v>#NAME?</x:v>
      </x:c>
      <x:c r="D52" s="27" t="e">
        <x:f>IF($A52="","",대장!A25)</x:f>
        <x:v>#NAME?</x:v>
      </x:c>
      <x:c r="E52" s="27" t="e">
        <x:f>IF($A52="","",IF(OR(ISNUMBER(SEARCH("계약만료",대장!H25&amp;"")),ISNUMBER(SEARCH("기간만료",대장!H25&amp;""))),"계약기간 만료로 퇴직",IF(ISNUMBER(SEARCH("의원면직",대장!H25&amp;"")),"의원면직",IF(ISNUMBER(SEARCH("정년퇴직",대장!H25&amp;"")),"정년퇴직",대장!H25))))</x:f>
        <x:v>#NAME?</x:v>
      </x:c>
      <x:c r="F52" s="27" t="e">
        <x:f>IF($A52="","",IF(발령대장_설정!$B$5="","",발령대장_설정!$B$5))</x:f>
        <x:v>#NAME?</x:v>
      </x:c>
      <x:c r="G52" s="27" t="e">
        <x:f>IF($A52="","",IF(발령대장_설정!$B$6="","",발령대장_설정!$B$6))</x:f>
        <x:v>#NAME?</x:v>
      </x:c>
      <x:c r="H52" s="27" t="e">
        <x:f>IF($A52="","",IF(발령대장_설정!$B$7="","",발령대장_설정!$B$7))</x:f>
        <x:v>#NAME?</x:v>
      </x:c>
      <x:c r="I52" s="27" t="e">
        <x:f>IF($A52="","",IF(발령대장_설정!$B$8="","",발령대장_설정!$B$8))</x:f>
        <x:v>#NAME?</x:v>
      </x:c>
      <x:c r="J52" s="27" t="str">
        <x:f>""</x:f>
      </x:c>
    </x:row>
    <x:row r="53" ht="42" customHeight="1">
      <x:c r="A53" s="47" t="e">
        <x:f>IF(AND(대장!A26&lt;&gt;"",ISNUMBER(대장!F26),OR(대장!G26="",AND(ISNUMBER(대장!G26),대장!G26&gt;=대장!F26))),대장!F26,"")</x:f>
        <x:v>#NAME?</x:v>
      </x:c>
      <x:c r="B53" s="27" t="e">
        <x:f>IF($A53="","",IF(발령대장_설정!$B$4="","",발령대장_설정!$B$4))</x:f>
        <x:v>#NAME?</x:v>
      </x:c>
      <x:c r="C53" s="27" t="e">
        <x:f>IF($A53="","",대장!D26)</x:f>
        <x:v>#NAME?</x:v>
      </x:c>
      <x:c r="D53" s="27" t="e">
        <x:f>IF($A53="","",대장!A26)</x:f>
        <x:v>#NAME?</x:v>
      </x:c>
      <x:c r="E53" s="27" t="e">
        <x:f>IF($A53="","",IF(대장!J26&lt;&gt;"",대장!J26,대장!D26&amp;"에 임함"&amp;IF(대장!E26="","",CHAR(10)&amp;"고용형태: "&amp;대장!E26)&amp;IF(대장!I26="","",CHAR(10)&amp;"소정근로시간: "&amp;대장!I26)&amp;CHAR(10)&amp;"근로기간: "&amp;YEAR(대장!F26)&amp;"."&amp;MONTH(대장!F26)&amp;"."&amp;DAY(대장!F26)&amp;"."&amp;" ~ "&amp;IF(ISNUMBER(대장!G26),YEAR(대장!G26)&amp;"."&amp;MONTH(대장!G26)&amp;"."&amp;DAY(대장!G26)&amp;".","재직 중")))</x:f>
        <x:v>#NAME?</x:v>
      </x:c>
      <x:c r="F53" s="27" t="e">
        <x:f>IF($A53="","",IF(발령대장_설정!$B$5="","",발령대장_설정!$B$5))</x:f>
        <x:v>#NAME?</x:v>
      </x:c>
      <x:c r="G53" s="27" t="e">
        <x:f>IF($A53="","",IF(발령대장_설정!$B$6="","",발령대장_설정!$B$6))</x:f>
        <x:v>#NAME?</x:v>
      </x:c>
      <x:c r="H53" s="27" t="e">
        <x:f>IF($A53="","",IF(발령대장_설정!$B$7="","",발령대장_설정!$B$7))</x:f>
        <x:v>#NAME?</x:v>
      </x:c>
      <x:c r="I53" s="27" t="e">
        <x:f>IF($A53="","",IF(발령대장_설정!$B$8="","",발령대장_설정!$B$8))</x:f>
        <x:v>#NAME?</x:v>
      </x:c>
      <x:c r="J53" s="27" t="e">
        <x:f>IF($A53="","",IF(대장!K26="","",대장!K26))</x:f>
        <x:v>#NAME?</x:v>
      </x:c>
    </x:row>
    <x:row r="54" ht="42" customHeight="1">
      <x:c r="A54" s="47" t="e">
        <x:f>IF(AND(대장!A26&lt;&gt;"",ISNUMBER(대장!F26),ISNUMBER(대장!G26),대장!G26&gt;=대장!F26,대장!H26&lt;&gt;""),대장!G26,"")</x:f>
        <x:v>#NAME?</x:v>
      </x:c>
      <x:c r="B54" s="27" t="e">
        <x:f>IF($A54="","",IF(발령대장_설정!$B$4="","",발령대장_설정!$B$4))</x:f>
        <x:v>#NAME?</x:v>
      </x:c>
      <x:c r="C54" s="27" t="e">
        <x:f>IF($A54="","",대장!D26)</x:f>
        <x:v>#NAME?</x:v>
      </x:c>
      <x:c r="D54" s="27" t="e">
        <x:f>IF($A54="","",대장!A26)</x:f>
        <x:v>#NAME?</x:v>
      </x:c>
      <x:c r="E54" s="27" t="e">
        <x:f>IF($A54="","",IF(OR(ISNUMBER(SEARCH("계약만료",대장!H26&amp;"")),ISNUMBER(SEARCH("기간만료",대장!H26&amp;""))),"계약기간 만료로 퇴직",IF(ISNUMBER(SEARCH("의원면직",대장!H26&amp;"")),"의원면직",IF(ISNUMBER(SEARCH("정년퇴직",대장!H26&amp;"")),"정년퇴직",대장!H26))))</x:f>
        <x:v>#NAME?</x:v>
      </x:c>
      <x:c r="F54" s="27" t="e">
        <x:f>IF($A54="","",IF(발령대장_설정!$B$5="","",발령대장_설정!$B$5))</x:f>
        <x:v>#NAME?</x:v>
      </x:c>
      <x:c r="G54" s="27" t="e">
        <x:f>IF($A54="","",IF(발령대장_설정!$B$6="","",발령대장_설정!$B$6))</x:f>
        <x:v>#NAME?</x:v>
      </x:c>
      <x:c r="H54" s="27" t="e">
        <x:f>IF($A54="","",IF(발령대장_설정!$B$7="","",발령대장_설정!$B$7))</x:f>
        <x:v>#NAME?</x:v>
      </x:c>
      <x:c r="I54" s="27" t="e">
        <x:f>IF($A54="","",IF(발령대장_설정!$B$8="","",발령대장_설정!$B$8))</x:f>
        <x:v>#NAME?</x:v>
      </x:c>
      <x:c r="J54" s="27" t="str">
        <x:f>""</x:f>
      </x:c>
    </x:row>
    <x:row r="55" ht="42" customHeight="1">
      <x:c r="A55" s="47" t="e">
        <x:f>IF(AND(대장!A27&lt;&gt;"",ISNUMBER(대장!F27),OR(대장!G27="",AND(ISNUMBER(대장!G27),대장!G27&gt;=대장!F27))),대장!F27,"")</x:f>
        <x:v>#NAME?</x:v>
      </x:c>
      <x:c r="B55" s="27" t="e">
        <x:f>IF($A55="","",IF(발령대장_설정!$B$4="","",발령대장_설정!$B$4))</x:f>
        <x:v>#NAME?</x:v>
      </x:c>
      <x:c r="C55" s="27" t="e">
        <x:f>IF($A55="","",대장!D27)</x:f>
        <x:v>#NAME?</x:v>
      </x:c>
      <x:c r="D55" s="27" t="e">
        <x:f>IF($A55="","",대장!A27)</x:f>
        <x:v>#NAME?</x:v>
      </x:c>
      <x:c r="E55" s="27" t="e">
        <x:f>IF($A55="","",IF(대장!J27&lt;&gt;"",대장!J27,대장!D27&amp;"에 임함"&amp;IF(대장!E27="","",CHAR(10)&amp;"고용형태: "&amp;대장!E27)&amp;IF(대장!I27="","",CHAR(10)&amp;"소정근로시간: "&amp;대장!I27)&amp;CHAR(10)&amp;"근로기간: "&amp;YEAR(대장!F27)&amp;"."&amp;MONTH(대장!F27)&amp;"."&amp;DAY(대장!F27)&amp;"."&amp;" ~ "&amp;IF(ISNUMBER(대장!G27),YEAR(대장!G27)&amp;"."&amp;MONTH(대장!G27)&amp;"."&amp;DAY(대장!G27)&amp;".","재직 중")))</x:f>
        <x:v>#NAME?</x:v>
      </x:c>
      <x:c r="F55" s="27" t="e">
        <x:f>IF($A55="","",IF(발령대장_설정!$B$5="","",발령대장_설정!$B$5))</x:f>
        <x:v>#NAME?</x:v>
      </x:c>
      <x:c r="G55" s="27" t="e">
        <x:f>IF($A55="","",IF(발령대장_설정!$B$6="","",발령대장_설정!$B$6))</x:f>
        <x:v>#NAME?</x:v>
      </x:c>
      <x:c r="H55" s="27" t="e">
        <x:f>IF($A55="","",IF(발령대장_설정!$B$7="","",발령대장_설정!$B$7))</x:f>
        <x:v>#NAME?</x:v>
      </x:c>
      <x:c r="I55" s="27" t="e">
        <x:f>IF($A55="","",IF(발령대장_설정!$B$8="","",발령대장_설정!$B$8))</x:f>
        <x:v>#NAME?</x:v>
      </x:c>
      <x:c r="J55" s="27" t="e">
        <x:f>IF($A55="","",IF(대장!K27="","",대장!K27))</x:f>
        <x:v>#NAME?</x:v>
      </x:c>
    </x:row>
    <x:row r="56" ht="42" customHeight="1">
      <x:c r="A56" s="47" t="e">
        <x:f>IF(AND(대장!A27&lt;&gt;"",ISNUMBER(대장!F27),ISNUMBER(대장!G27),대장!G27&gt;=대장!F27,대장!H27&lt;&gt;""),대장!G27,"")</x:f>
        <x:v>#NAME?</x:v>
      </x:c>
      <x:c r="B56" s="27" t="e">
        <x:f>IF($A56="","",IF(발령대장_설정!$B$4="","",발령대장_설정!$B$4))</x:f>
        <x:v>#NAME?</x:v>
      </x:c>
      <x:c r="C56" s="27" t="e">
        <x:f>IF($A56="","",대장!D27)</x:f>
        <x:v>#NAME?</x:v>
      </x:c>
      <x:c r="D56" s="27" t="e">
        <x:f>IF($A56="","",대장!A27)</x:f>
        <x:v>#NAME?</x:v>
      </x:c>
      <x:c r="E56" s="27" t="e">
        <x:f>IF($A56="","",IF(OR(ISNUMBER(SEARCH("계약만료",대장!H27&amp;"")),ISNUMBER(SEARCH("기간만료",대장!H27&amp;""))),"계약기간 만료로 퇴직",IF(ISNUMBER(SEARCH("의원면직",대장!H27&amp;"")),"의원면직",IF(ISNUMBER(SEARCH("정년퇴직",대장!H27&amp;"")),"정년퇴직",대장!H27))))</x:f>
        <x:v>#NAME?</x:v>
      </x:c>
      <x:c r="F56" s="27" t="e">
        <x:f>IF($A56="","",IF(발령대장_설정!$B$5="","",발령대장_설정!$B$5))</x:f>
        <x:v>#NAME?</x:v>
      </x:c>
      <x:c r="G56" s="27" t="e">
        <x:f>IF($A56="","",IF(발령대장_설정!$B$6="","",발령대장_설정!$B$6))</x:f>
        <x:v>#NAME?</x:v>
      </x:c>
      <x:c r="H56" s="27" t="e">
        <x:f>IF($A56="","",IF(발령대장_설정!$B$7="","",발령대장_설정!$B$7))</x:f>
        <x:v>#NAME?</x:v>
      </x:c>
      <x:c r="I56" s="27" t="e">
        <x:f>IF($A56="","",IF(발령대장_설정!$B$8="","",발령대장_설정!$B$8))</x:f>
        <x:v>#NAME?</x:v>
      </x:c>
      <x:c r="J56" s="27" t="str">
        <x:f>""</x:f>
      </x:c>
    </x:row>
    <x:row r="57" ht="42" customHeight="1">
      <x:c r="A57" s="47" t="e">
        <x:f>IF(AND(대장!A28&lt;&gt;"",ISNUMBER(대장!F28),OR(대장!G28="",AND(ISNUMBER(대장!G28),대장!G28&gt;=대장!F28))),대장!F28,"")</x:f>
        <x:v>#NAME?</x:v>
      </x:c>
      <x:c r="B57" s="27" t="e">
        <x:f>IF($A57="","",IF(발령대장_설정!$B$4="","",발령대장_설정!$B$4))</x:f>
        <x:v>#NAME?</x:v>
      </x:c>
      <x:c r="C57" s="27" t="e">
        <x:f>IF($A57="","",대장!D28)</x:f>
        <x:v>#NAME?</x:v>
      </x:c>
      <x:c r="D57" s="27" t="e">
        <x:f>IF($A57="","",대장!A28)</x:f>
        <x:v>#NAME?</x:v>
      </x:c>
      <x:c r="E57" s="27" t="e">
        <x:f>IF($A57="","",IF(대장!J28&lt;&gt;"",대장!J28,대장!D28&amp;"에 임함"&amp;IF(대장!E28="","",CHAR(10)&amp;"고용형태: "&amp;대장!E28)&amp;IF(대장!I28="","",CHAR(10)&amp;"소정근로시간: "&amp;대장!I28)&amp;CHAR(10)&amp;"근로기간: "&amp;YEAR(대장!F28)&amp;"."&amp;MONTH(대장!F28)&amp;"."&amp;DAY(대장!F28)&amp;"."&amp;" ~ "&amp;IF(ISNUMBER(대장!G28),YEAR(대장!G28)&amp;"."&amp;MONTH(대장!G28)&amp;"."&amp;DAY(대장!G28)&amp;".","재직 중")))</x:f>
        <x:v>#NAME?</x:v>
      </x:c>
      <x:c r="F57" s="27" t="e">
        <x:f>IF($A57="","",IF(발령대장_설정!$B$5="","",발령대장_설정!$B$5))</x:f>
        <x:v>#NAME?</x:v>
      </x:c>
      <x:c r="G57" s="27" t="e">
        <x:f>IF($A57="","",IF(발령대장_설정!$B$6="","",발령대장_설정!$B$6))</x:f>
        <x:v>#NAME?</x:v>
      </x:c>
      <x:c r="H57" s="27" t="e">
        <x:f>IF($A57="","",IF(발령대장_설정!$B$7="","",발령대장_설정!$B$7))</x:f>
        <x:v>#NAME?</x:v>
      </x:c>
      <x:c r="I57" s="27" t="e">
        <x:f>IF($A57="","",IF(발령대장_설정!$B$8="","",발령대장_설정!$B$8))</x:f>
        <x:v>#NAME?</x:v>
      </x:c>
      <x:c r="J57" s="27" t="e">
        <x:f>IF($A57="","",IF(대장!K28="","",대장!K28))</x:f>
        <x:v>#NAME?</x:v>
      </x:c>
    </x:row>
    <x:row r="58" ht="42" customHeight="1">
      <x:c r="A58" s="47" t="e">
        <x:f>IF(AND(대장!A28&lt;&gt;"",ISNUMBER(대장!F28),ISNUMBER(대장!G28),대장!G28&gt;=대장!F28,대장!H28&lt;&gt;""),대장!G28,"")</x:f>
        <x:v>#NAME?</x:v>
      </x:c>
      <x:c r="B58" s="27" t="e">
        <x:f>IF($A58="","",IF(발령대장_설정!$B$4="","",발령대장_설정!$B$4))</x:f>
        <x:v>#NAME?</x:v>
      </x:c>
      <x:c r="C58" s="27" t="e">
        <x:f>IF($A58="","",대장!D28)</x:f>
        <x:v>#NAME?</x:v>
      </x:c>
      <x:c r="D58" s="27" t="e">
        <x:f>IF($A58="","",대장!A28)</x:f>
        <x:v>#NAME?</x:v>
      </x:c>
      <x:c r="E58" s="27" t="e">
        <x:f>IF($A58="","",IF(OR(ISNUMBER(SEARCH("계약만료",대장!H28&amp;"")),ISNUMBER(SEARCH("기간만료",대장!H28&amp;""))),"계약기간 만료로 퇴직",IF(ISNUMBER(SEARCH("의원면직",대장!H28&amp;"")),"의원면직",IF(ISNUMBER(SEARCH("정년퇴직",대장!H28&amp;"")),"정년퇴직",대장!H28))))</x:f>
        <x:v>#NAME?</x:v>
      </x:c>
      <x:c r="F58" s="27" t="e">
        <x:f>IF($A58="","",IF(발령대장_설정!$B$5="","",발령대장_설정!$B$5))</x:f>
        <x:v>#NAME?</x:v>
      </x:c>
      <x:c r="G58" s="27" t="e">
        <x:f>IF($A58="","",IF(발령대장_설정!$B$6="","",발령대장_설정!$B$6))</x:f>
        <x:v>#NAME?</x:v>
      </x:c>
      <x:c r="H58" s="27" t="e">
        <x:f>IF($A58="","",IF(발령대장_설정!$B$7="","",발령대장_설정!$B$7))</x:f>
        <x:v>#NAME?</x:v>
      </x:c>
      <x:c r="I58" s="27" t="e">
        <x:f>IF($A58="","",IF(발령대장_설정!$B$8="","",발령대장_설정!$B$8))</x:f>
        <x:v>#NAME?</x:v>
      </x:c>
      <x:c r="J58" s="27" t="str">
        <x:f>""</x:f>
      </x:c>
    </x:row>
    <x:row r="59" ht="42" customHeight="1">
      <x:c r="A59" s="47" t="e">
        <x:f>IF(AND(대장!A29&lt;&gt;"",ISNUMBER(대장!F29),OR(대장!G29="",AND(ISNUMBER(대장!G29),대장!G29&gt;=대장!F29))),대장!F29,"")</x:f>
        <x:v>#NAME?</x:v>
      </x:c>
      <x:c r="B59" s="27" t="e">
        <x:f>IF($A59="","",IF(발령대장_설정!$B$4="","",발령대장_설정!$B$4))</x:f>
        <x:v>#NAME?</x:v>
      </x:c>
      <x:c r="C59" s="27" t="e">
        <x:f>IF($A59="","",대장!D29)</x:f>
        <x:v>#NAME?</x:v>
      </x:c>
      <x:c r="D59" s="27" t="e">
        <x:f>IF($A59="","",대장!A29)</x:f>
        <x:v>#NAME?</x:v>
      </x:c>
      <x:c r="E59" s="27" t="e">
        <x:f>IF($A59="","",IF(대장!J29&lt;&gt;"",대장!J29,대장!D29&amp;"에 임함"&amp;IF(대장!E29="","",CHAR(10)&amp;"고용형태: "&amp;대장!E29)&amp;IF(대장!I29="","",CHAR(10)&amp;"소정근로시간: "&amp;대장!I29)&amp;CHAR(10)&amp;"근로기간: "&amp;YEAR(대장!F29)&amp;"."&amp;MONTH(대장!F29)&amp;"."&amp;DAY(대장!F29)&amp;"."&amp;" ~ "&amp;IF(ISNUMBER(대장!G29),YEAR(대장!G29)&amp;"."&amp;MONTH(대장!G29)&amp;"."&amp;DAY(대장!G29)&amp;".","재직 중")))</x:f>
        <x:v>#NAME?</x:v>
      </x:c>
      <x:c r="F59" s="27" t="e">
        <x:f>IF($A59="","",IF(발령대장_설정!$B$5="","",발령대장_설정!$B$5))</x:f>
        <x:v>#NAME?</x:v>
      </x:c>
      <x:c r="G59" s="27" t="e">
        <x:f>IF($A59="","",IF(발령대장_설정!$B$6="","",발령대장_설정!$B$6))</x:f>
        <x:v>#NAME?</x:v>
      </x:c>
      <x:c r="H59" s="27" t="e">
        <x:f>IF($A59="","",IF(발령대장_설정!$B$7="","",발령대장_설정!$B$7))</x:f>
        <x:v>#NAME?</x:v>
      </x:c>
      <x:c r="I59" s="27" t="e">
        <x:f>IF($A59="","",IF(발령대장_설정!$B$8="","",발령대장_설정!$B$8))</x:f>
        <x:v>#NAME?</x:v>
      </x:c>
      <x:c r="J59" s="27" t="e">
        <x:f>IF($A59="","",IF(대장!K29="","",대장!K29))</x:f>
        <x:v>#NAME?</x:v>
      </x:c>
    </x:row>
    <x:row r="60" ht="42" customHeight="1">
      <x:c r="A60" s="47" t="e">
        <x:f>IF(AND(대장!A29&lt;&gt;"",ISNUMBER(대장!F29),ISNUMBER(대장!G29),대장!G29&gt;=대장!F29,대장!H29&lt;&gt;""),대장!G29,"")</x:f>
        <x:v>#NAME?</x:v>
      </x:c>
      <x:c r="B60" s="27" t="e">
        <x:f>IF($A60="","",IF(발령대장_설정!$B$4="","",발령대장_설정!$B$4))</x:f>
        <x:v>#NAME?</x:v>
      </x:c>
      <x:c r="C60" s="27" t="e">
        <x:f>IF($A60="","",대장!D29)</x:f>
        <x:v>#NAME?</x:v>
      </x:c>
      <x:c r="D60" s="27" t="e">
        <x:f>IF($A60="","",대장!A29)</x:f>
        <x:v>#NAME?</x:v>
      </x:c>
      <x:c r="E60" s="27" t="e">
        <x:f>IF($A60="","",IF(OR(ISNUMBER(SEARCH("계약만료",대장!H29&amp;"")),ISNUMBER(SEARCH("기간만료",대장!H29&amp;""))),"계약기간 만료로 퇴직",IF(ISNUMBER(SEARCH("의원면직",대장!H29&amp;"")),"의원면직",IF(ISNUMBER(SEARCH("정년퇴직",대장!H29&amp;"")),"정년퇴직",대장!H29))))</x:f>
        <x:v>#NAME?</x:v>
      </x:c>
      <x:c r="F60" s="27" t="e">
        <x:f>IF($A60="","",IF(발령대장_설정!$B$5="","",발령대장_설정!$B$5))</x:f>
        <x:v>#NAME?</x:v>
      </x:c>
      <x:c r="G60" s="27" t="e">
        <x:f>IF($A60="","",IF(발령대장_설정!$B$6="","",발령대장_설정!$B$6))</x:f>
        <x:v>#NAME?</x:v>
      </x:c>
      <x:c r="H60" s="27" t="e">
        <x:f>IF($A60="","",IF(발령대장_설정!$B$7="","",발령대장_설정!$B$7))</x:f>
        <x:v>#NAME?</x:v>
      </x:c>
      <x:c r="I60" s="27" t="e">
        <x:f>IF($A60="","",IF(발령대장_설정!$B$8="","",발령대장_설정!$B$8))</x:f>
        <x:v>#NAME?</x:v>
      </x:c>
      <x:c r="J60" s="27" t="str">
        <x:f>""</x:f>
      </x:c>
    </x:row>
    <x:row r="61" ht="42" customHeight="1">
      <x:c r="A61" s="47" t="e">
        <x:f>IF(AND(대장!A30&lt;&gt;"",ISNUMBER(대장!F30),OR(대장!G30="",AND(ISNUMBER(대장!G30),대장!G30&gt;=대장!F30))),대장!F30,"")</x:f>
        <x:v>#NAME?</x:v>
      </x:c>
      <x:c r="B61" s="27" t="e">
        <x:f>IF($A61="","",IF(발령대장_설정!$B$4="","",발령대장_설정!$B$4))</x:f>
        <x:v>#NAME?</x:v>
      </x:c>
      <x:c r="C61" s="27" t="e">
        <x:f>IF($A61="","",대장!D30)</x:f>
        <x:v>#NAME?</x:v>
      </x:c>
      <x:c r="D61" s="27" t="e">
        <x:f>IF($A61="","",대장!A30)</x:f>
        <x:v>#NAME?</x:v>
      </x:c>
      <x:c r="E61" s="27" t="e">
        <x:f>IF($A61="","",IF(대장!J30&lt;&gt;"",대장!J30,대장!D30&amp;"에 임함"&amp;IF(대장!E30="","",CHAR(10)&amp;"고용형태: "&amp;대장!E30)&amp;IF(대장!I30="","",CHAR(10)&amp;"소정근로시간: "&amp;대장!I30)&amp;CHAR(10)&amp;"근로기간: "&amp;YEAR(대장!F30)&amp;"."&amp;MONTH(대장!F30)&amp;"."&amp;DAY(대장!F30)&amp;"."&amp;" ~ "&amp;IF(ISNUMBER(대장!G30),YEAR(대장!G30)&amp;"."&amp;MONTH(대장!G30)&amp;"."&amp;DAY(대장!G30)&amp;".","재직 중")))</x:f>
        <x:v>#NAME?</x:v>
      </x:c>
      <x:c r="F61" s="27" t="e">
        <x:f>IF($A61="","",IF(발령대장_설정!$B$5="","",발령대장_설정!$B$5))</x:f>
        <x:v>#NAME?</x:v>
      </x:c>
      <x:c r="G61" s="27" t="e">
        <x:f>IF($A61="","",IF(발령대장_설정!$B$6="","",발령대장_설정!$B$6))</x:f>
        <x:v>#NAME?</x:v>
      </x:c>
      <x:c r="H61" s="27" t="e">
        <x:f>IF($A61="","",IF(발령대장_설정!$B$7="","",발령대장_설정!$B$7))</x:f>
        <x:v>#NAME?</x:v>
      </x:c>
      <x:c r="I61" s="27" t="e">
        <x:f>IF($A61="","",IF(발령대장_설정!$B$8="","",발령대장_설정!$B$8))</x:f>
        <x:v>#NAME?</x:v>
      </x:c>
      <x:c r="J61" s="27" t="e">
        <x:f>IF($A61="","",IF(대장!K30="","",대장!K30))</x:f>
        <x:v>#NAME?</x:v>
      </x:c>
    </x:row>
    <x:row r="62" ht="42" customHeight="1">
      <x:c r="A62" s="47" t="e">
        <x:f>IF(AND(대장!A30&lt;&gt;"",ISNUMBER(대장!F30),ISNUMBER(대장!G30),대장!G30&gt;=대장!F30,대장!H30&lt;&gt;""),대장!G30,"")</x:f>
        <x:v>#NAME?</x:v>
      </x:c>
      <x:c r="B62" s="27" t="e">
        <x:f>IF($A62="","",IF(발령대장_설정!$B$4="","",발령대장_설정!$B$4))</x:f>
        <x:v>#NAME?</x:v>
      </x:c>
      <x:c r="C62" s="27" t="e">
        <x:f>IF($A62="","",대장!D30)</x:f>
        <x:v>#NAME?</x:v>
      </x:c>
      <x:c r="D62" s="27" t="e">
        <x:f>IF($A62="","",대장!A30)</x:f>
        <x:v>#NAME?</x:v>
      </x:c>
      <x:c r="E62" s="27" t="e">
        <x:f>IF($A62="","",IF(OR(ISNUMBER(SEARCH("계약만료",대장!H30&amp;"")),ISNUMBER(SEARCH("기간만료",대장!H30&amp;""))),"계약기간 만료로 퇴직",IF(ISNUMBER(SEARCH("의원면직",대장!H30&amp;"")),"의원면직",IF(ISNUMBER(SEARCH("정년퇴직",대장!H30&amp;"")),"정년퇴직",대장!H30))))</x:f>
        <x:v>#NAME?</x:v>
      </x:c>
      <x:c r="F62" s="27" t="e">
        <x:f>IF($A62="","",IF(발령대장_설정!$B$5="","",발령대장_설정!$B$5))</x:f>
        <x:v>#NAME?</x:v>
      </x:c>
      <x:c r="G62" s="27" t="e">
        <x:f>IF($A62="","",IF(발령대장_설정!$B$6="","",발령대장_설정!$B$6))</x:f>
        <x:v>#NAME?</x:v>
      </x:c>
      <x:c r="H62" s="27" t="e">
        <x:f>IF($A62="","",IF(발령대장_설정!$B$7="","",발령대장_설정!$B$7))</x:f>
        <x:v>#NAME?</x:v>
      </x:c>
      <x:c r="I62" s="27" t="e">
        <x:f>IF($A62="","",IF(발령대장_설정!$B$8="","",발령대장_설정!$B$8))</x:f>
        <x:v>#NAME?</x:v>
      </x:c>
      <x:c r="J62" s="27" t="str">
        <x:f>""</x:f>
      </x:c>
    </x:row>
    <x:row r="63" ht="42" customHeight="1">
      <x:c r="A63" s="47" t="e">
        <x:f>IF(AND(대장!A31&lt;&gt;"",ISNUMBER(대장!F31),OR(대장!G31="",AND(ISNUMBER(대장!G31),대장!G31&gt;=대장!F31))),대장!F31,"")</x:f>
        <x:v>#NAME?</x:v>
      </x:c>
      <x:c r="B63" s="27" t="e">
        <x:f>IF($A63="","",IF(발령대장_설정!$B$4="","",발령대장_설정!$B$4))</x:f>
        <x:v>#NAME?</x:v>
      </x:c>
      <x:c r="C63" s="27" t="e">
        <x:f>IF($A63="","",대장!D31)</x:f>
        <x:v>#NAME?</x:v>
      </x:c>
      <x:c r="D63" s="27" t="e">
        <x:f>IF($A63="","",대장!A31)</x:f>
        <x:v>#NAME?</x:v>
      </x:c>
      <x:c r="E63" s="27" t="e">
        <x:f>IF($A63="","",IF(대장!J31&lt;&gt;"",대장!J31,대장!D31&amp;"에 임함"&amp;IF(대장!E31="","",CHAR(10)&amp;"고용형태: "&amp;대장!E31)&amp;IF(대장!I31="","",CHAR(10)&amp;"소정근로시간: "&amp;대장!I31)&amp;CHAR(10)&amp;"근로기간: "&amp;YEAR(대장!F31)&amp;"."&amp;MONTH(대장!F31)&amp;"."&amp;DAY(대장!F31)&amp;"."&amp;" ~ "&amp;IF(ISNUMBER(대장!G31),YEAR(대장!G31)&amp;"."&amp;MONTH(대장!G31)&amp;"."&amp;DAY(대장!G31)&amp;".","재직 중")))</x:f>
        <x:v>#NAME?</x:v>
      </x:c>
      <x:c r="F63" s="27" t="e">
        <x:f>IF($A63="","",IF(발령대장_설정!$B$5="","",발령대장_설정!$B$5))</x:f>
        <x:v>#NAME?</x:v>
      </x:c>
      <x:c r="G63" s="27" t="e">
        <x:f>IF($A63="","",IF(발령대장_설정!$B$6="","",발령대장_설정!$B$6))</x:f>
        <x:v>#NAME?</x:v>
      </x:c>
      <x:c r="H63" s="27" t="e">
        <x:f>IF($A63="","",IF(발령대장_설정!$B$7="","",발령대장_설정!$B$7))</x:f>
        <x:v>#NAME?</x:v>
      </x:c>
      <x:c r="I63" s="27" t="e">
        <x:f>IF($A63="","",IF(발령대장_설정!$B$8="","",발령대장_설정!$B$8))</x:f>
        <x:v>#NAME?</x:v>
      </x:c>
      <x:c r="J63" s="27" t="e">
        <x:f>IF($A63="","",IF(대장!K31="","",대장!K31))</x:f>
        <x:v>#NAME?</x:v>
      </x:c>
    </x:row>
    <x:row r="64" ht="42" customHeight="1">
      <x:c r="A64" s="47" t="e">
        <x:f>IF(AND(대장!A31&lt;&gt;"",ISNUMBER(대장!F31),ISNUMBER(대장!G31),대장!G31&gt;=대장!F31,대장!H31&lt;&gt;""),대장!G31,"")</x:f>
        <x:v>#NAME?</x:v>
      </x:c>
      <x:c r="B64" s="27" t="e">
        <x:f>IF($A64="","",IF(발령대장_설정!$B$4="","",발령대장_설정!$B$4))</x:f>
        <x:v>#NAME?</x:v>
      </x:c>
      <x:c r="C64" s="27" t="e">
        <x:f>IF($A64="","",대장!D31)</x:f>
        <x:v>#NAME?</x:v>
      </x:c>
      <x:c r="D64" s="27" t="e">
        <x:f>IF($A64="","",대장!A31)</x:f>
        <x:v>#NAME?</x:v>
      </x:c>
      <x:c r="E64" s="27" t="e">
        <x:f>IF($A64="","",IF(OR(ISNUMBER(SEARCH("계약만료",대장!H31&amp;"")),ISNUMBER(SEARCH("기간만료",대장!H31&amp;""))),"계약기간 만료로 퇴직",IF(ISNUMBER(SEARCH("의원면직",대장!H31&amp;"")),"의원면직",IF(ISNUMBER(SEARCH("정년퇴직",대장!H31&amp;"")),"정년퇴직",대장!H31))))</x:f>
        <x:v>#NAME?</x:v>
      </x:c>
      <x:c r="F64" s="27" t="e">
        <x:f>IF($A64="","",IF(발령대장_설정!$B$5="","",발령대장_설정!$B$5))</x:f>
        <x:v>#NAME?</x:v>
      </x:c>
      <x:c r="G64" s="27" t="e">
        <x:f>IF($A64="","",IF(발령대장_설정!$B$6="","",발령대장_설정!$B$6))</x:f>
        <x:v>#NAME?</x:v>
      </x:c>
      <x:c r="H64" s="27" t="e">
        <x:f>IF($A64="","",IF(발령대장_설정!$B$7="","",발령대장_설정!$B$7))</x:f>
        <x:v>#NAME?</x:v>
      </x:c>
      <x:c r="I64" s="27" t="e">
        <x:f>IF($A64="","",IF(발령대장_설정!$B$8="","",발령대장_설정!$B$8))</x:f>
        <x:v>#NAME?</x:v>
      </x:c>
      <x:c r="J64" s="27" t="str">
        <x:f>""</x:f>
      </x:c>
    </x:row>
    <x:row r="65" ht="42" customHeight="1">
      <x:c r="A65" s="47" t="e">
        <x:f>IF(AND(대장!A32&lt;&gt;"",ISNUMBER(대장!F32),OR(대장!G32="",AND(ISNUMBER(대장!G32),대장!G32&gt;=대장!F32))),대장!F32,"")</x:f>
        <x:v>#NAME?</x:v>
      </x:c>
      <x:c r="B65" s="27" t="e">
        <x:f>IF($A65="","",IF(발령대장_설정!$B$4="","",발령대장_설정!$B$4))</x:f>
        <x:v>#NAME?</x:v>
      </x:c>
      <x:c r="C65" s="27" t="e">
        <x:f>IF($A65="","",대장!D32)</x:f>
        <x:v>#NAME?</x:v>
      </x:c>
      <x:c r="D65" s="27" t="e">
        <x:f>IF($A65="","",대장!A32)</x:f>
        <x:v>#NAME?</x:v>
      </x:c>
      <x:c r="E65" s="27" t="e">
        <x:f>IF($A65="","",IF(대장!J32&lt;&gt;"",대장!J32,대장!D32&amp;"에 임함"&amp;IF(대장!E32="","",CHAR(10)&amp;"고용형태: "&amp;대장!E32)&amp;IF(대장!I32="","",CHAR(10)&amp;"소정근로시간: "&amp;대장!I32)&amp;CHAR(10)&amp;"근로기간: "&amp;YEAR(대장!F32)&amp;"."&amp;MONTH(대장!F32)&amp;"."&amp;DAY(대장!F32)&amp;"."&amp;" ~ "&amp;IF(ISNUMBER(대장!G32),YEAR(대장!G32)&amp;"."&amp;MONTH(대장!G32)&amp;"."&amp;DAY(대장!G32)&amp;".","재직 중")))</x:f>
        <x:v>#NAME?</x:v>
      </x:c>
      <x:c r="F65" s="27" t="e">
        <x:f>IF($A65="","",IF(발령대장_설정!$B$5="","",발령대장_설정!$B$5))</x:f>
        <x:v>#NAME?</x:v>
      </x:c>
      <x:c r="G65" s="27" t="e">
        <x:f>IF($A65="","",IF(발령대장_설정!$B$6="","",발령대장_설정!$B$6))</x:f>
        <x:v>#NAME?</x:v>
      </x:c>
      <x:c r="H65" s="27" t="e">
        <x:f>IF($A65="","",IF(발령대장_설정!$B$7="","",발령대장_설정!$B$7))</x:f>
        <x:v>#NAME?</x:v>
      </x:c>
      <x:c r="I65" s="27" t="e">
        <x:f>IF($A65="","",IF(발령대장_설정!$B$8="","",발령대장_설정!$B$8))</x:f>
        <x:v>#NAME?</x:v>
      </x:c>
      <x:c r="J65" s="27" t="e">
        <x:f>IF($A65="","",IF(대장!K32="","",대장!K32))</x:f>
        <x:v>#NAME?</x:v>
      </x:c>
    </x:row>
    <x:row r="66" ht="42" customHeight="1">
      <x:c r="A66" s="47" t="e">
        <x:f>IF(AND(대장!A32&lt;&gt;"",ISNUMBER(대장!F32),ISNUMBER(대장!G32),대장!G32&gt;=대장!F32,대장!H32&lt;&gt;""),대장!G32,"")</x:f>
        <x:v>#NAME?</x:v>
      </x:c>
      <x:c r="B66" s="27" t="e">
        <x:f>IF($A66="","",IF(발령대장_설정!$B$4="","",발령대장_설정!$B$4))</x:f>
        <x:v>#NAME?</x:v>
      </x:c>
      <x:c r="C66" s="27" t="e">
        <x:f>IF($A66="","",대장!D32)</x:f>
        <x:v>#NAME?</x:v>
      </x:c>
      <x:c r="D66" s="27" t="e">
        <x:f>IF($A66="","",대장!A32)</x:f>
        <x:v>#NAME?</x:v>
      </x:c>
      <x:c r="E66" s="27" t="e">
        <x:f>IF($A66="","",IF(OR(ISNUMBER(SEARCH("계약만료",대장!H32&amp;"")),ISNUMBER(SEARCH("기간만료",대장!H32&amp;""))),"계약기간 만료로 퇴직",IF(ISNUMBER(SEARCH("의원면직",대장!H32&amp;"")),"의원면직",IF(ISNUMBER(SEARCH("정년퇴직",대장!H32&amp;"")),"정년퇴직",대장!H32))))</x:f>
        <x:v>#NAME?</x:v>
      </x:c>
      <x:c r="F66" s="27" t="e">
        <x:f>IF($A66="","",IF(발령대장_설정!$B$5="","",발령대장_설정!$B$5))</x:f>
        <x:v>#NAME?</x:v>
      </x:c>
      <x:c r="G66" s="27" t="e">
        <x:f>IF($A66="","",IF(발령대장_설정!$B$6="","",발령대장_설정!$B$6))</x:f>
        <x:v>#NAME?</x:v>
      </x:c>
      <x:c r="H66" s="27" t="e">
        <x:f>IF($A66="","",IF(발령대장_설정!$B$7="","",발령대장_설정!$B$7))</x:f>
        <x:v>#NAME?</x:v>
      </x:c>
      <x:c r="I66" s="27" t="e">
        <x:f>IF($A66="","",IF(발령대장_설정!$B$8="","",발령대장_설정!$B$8))</x:f>
        <x:v>#NAME?</x:v>
      </x:c>
      <x:c r="J66" s="27" t="str">
        <x:f>""</x:f>
      </x:c>
    </x:row>
    <x:row r="67" ht="42" customHeight="1">
      <x:c r="A67" s="47" t="e">
        <x:f>IF(AND(대장!A33&lt;&gt;"",ISNUMBER(대장!F33),OR(대장!G33="",AND(ISNUMBER(대장!G33),대장!G33&gt;=대장!F33))),대장!F33,"")</x:f>
        <x:v>#NAME?</x:v>
      </x:c>
      <x:c r="B67" s="27" t="e">
        <x:f>IF($A67="","",IF(발령대장_설정!$B$4="","",발령대장_설정!$B$4))</x:f>
        <x:v>#NAME?</x:v>
      </x:c>
      <x:c r="C67" s="27" t="e">
        <x:f>IF($A67="","",대장!D33)</x:f>
        <x:v>#NAME?</x:v>
      </x:c>
      <x:c r="D67" s="27" t="e">
        <x:f>IF($A67="","",대장!A33)</x:f>
        <x:v>#NAME?</x:v>
      </x:c>
      <x:c r="E67" s="27" t="e">
        <x:f>IF($A67="","",IF(대장!J33&lt;&gt;"",대장!J33,대장!D33&amp;"에 임함"&amp;IF(대장!E33="","",CHAR(10)&amp;"고용형태: "&amp;대장!E33)&amp;IF(대장!I33="","",CHAR(10)&amp;"소정근로시간: "&amp;대장!I33)&amp;CHAR(10)&amp;"근로기간: "&amp;YEAR(대장!F33)&amp;"."&amp;MONTH(대장!F33)&amp;"."&amp;DAY(대장!F33)&amp;"."&amp;" ~ "&amp;IF(ISNUMBER(대장!G33),YEAR(대장!G33)&amp;"."&amp;MONTH(대장!G33)&amp;"."&amp;DAY(대장!G33)&amp;".","재직 중")))</x:f>
        <x:v>#NAME?</x:v>
      </x:c>
      <x:c r="F67" s="27" t="e">
        <x:f>IF($A67="","",IF(발령대장_설정!$B$5="","",발령대장_설정!$B$5))</x:f>
        <x:v>#NAME?</x:v>
      </x:c>
      <x:c r="G67" s="27" t="e">
        <x:f>IF($A67="","",IF(발령대장_설정!$B$6="","",발령대장_설정!$B$6))</x:f>
        <x:v>#NAME?</x:v>
      </x:c>
      <x:c r="H67" s="27" t="e">
        <x:f>IF($A67="","",IF(발령대장_설정!$B$7="","",발령대장_설정!$B$7))</x:f>
        <x:v>#NAME?</x:v>
      </x:c>
      <x:c r="I67" s="27" t="e">
        <x:f>IF($A67="","",IF(발령대장_설정!$B$8="","",발령대장_설정!$B$8))</x:f>
        <x:v>#NAME?</x:v>
      </x:c>
      <x:c r="J67" s="27" t="e">
        <x:f>IF($A67="","",IF(대장!K33="","",대장!K33))</x:f>
        <x:v>#NAME?</x:v>
      </x:c>
    </x:row>
    <x:row r="68" ht="42" customHeight="1">
      <x:c r="A68" s="47" t="e">
        <x:f>IF(AND(대장!A33&lt;&gt;"",ISNUMBER(대장!F33),ISNUMBER(대장!G33),대장!G33&gt;=대장!F33,대장!H33&lt;&gt;""),대장!G33,"")</x:f>
        <x:v>#NAME?</x:v>
      </x:c>
      <x:c r="B68" s="27" t="e">
        <x:f>IF($A68="","",IF(발령대장_설정!$B$4="","",발령대장_설정!$B$4))</x:f>
        <x:v>#NAME?</x:v>
      </x:c>
      <x:c r="C68" s="27" t="e">
        <x:f>IF($A68="","",대장!D33)</x:f>
        <x:v>#NAME?</x:v>
      </x:c>
      <x:c r="D68" s="27" t="e">
        <x:f>IF($A68="","",대장!A33)</x:f>
        <x:v>#NAME?</x:v>
      </x:c>
      <x:c r="E68" s="27" t="e">
        <x:f>IF($A68="","",IF(OR(ISNUMBER(SEARCH("계약만료",대장!H33&amp;"")),ISNUMBER(SEARCH("기간만료",대장!H33&amp;""))),"계약기간 만료로 퇴직",IF(ISNUMBER(SEARCH("의원면직",대장!H33&amp;"")),"의원면직",IF(ISNUMBER(SEARCH("정년퇴직",대장!H33&amp;"")),"정년퇴직",대장!H33))))</x:f>
        <x:v>#NAME?</x:v>
      </x:c>
      <x:c r="F68" s="27" t="e">
        <x:f>IF($A68="","",IF(발령대장_설정!$B$5="","",발령대장_설정!$B$5))</x:f>
        <x:v>#NAME?</x:v>
      </x:c>
      <x:c r="G68" s="27" t="e">
        <x:f>IF($A68="","",IF(발령대장_설정!$B$6="","",발령대장_설정!$B$6))</x:f>
        <x:v>#NAME?</x:v>
      </x:c>
      <x:c r="H68" s="27" t="e">
        <x:f>IF($A68="","",IF(발령대장_설정!$B$7="","",발령대장_설정!$B$7))</x:f>
        <x:v>#NAME?</x:v>
      </x:c>
      <x:c r="I68" s="27" t="e">
        <x:f>IF($A68="","",IF(발령대장_설정!$B$8="","",발령대장_설정!$B$8))</x:f>
        <x:v>#NAME?</x:v>
      </x:c>
      <x:c r="J68" s="27" t="str">
        <x:f>""</x:f>
      </x:c>
    </x:row>
    <x:row r="69" ht="42" customHeight="1">
      <x:c r="A69" s="47" t="e">
        <x:f>IF(AND(대장!A34&lt;&gt;"",ISNUMBER(대장!F34),OR(대장!G34="",AND(ISNUMBER(대장!G34),대장!G34&gt;=대장!F34))),대장!F34,"")</x:f>
        <x:v>#NAME?</x:v>
      </x:c>
      <x:c r="B69" s="27" t="e">
        <x:f>IF($A69="","",IF(발령대장_설정!$B$4="","",발령대장_설정!$B$4))</x:f>
        <x:v>#NAME?</x:v>
      </x:c>
      <x:c r="C69" s="27" t="e">
        <x:f>IF($A69="","",대장!D34)</x:f>
        <x:v>#NAME?</x:v>
      </x:c>
      <x:c r="D69" s="27" t="e">
        <x:f>IF($A69="","",대장!A34)</x:f>
        <x:v>#NAME?</x:v>
      </x:c>
      <x:c r="E69" s="27" t="e">
        <x:f>IF($A69="","",IF(대장!J34&lt;&gt;"",대장!J34,대장!D34&amp;"에 임함"&amp;IF(대장!E34="","",CHAR(10)&amp;"고용형태: "&amp;대장!E34)&amp;IF(대장!I34="","",CHAR(10)&amp;"소정근로시간: "&amp;대장!I34)&amp;CHAR(10)&amp;"근로기간: "&amp;YEAR(대장!F34)&amp;"."&amp;MONTH(대장!F34)&amp;"."&amp;DAY(대장!F34)&amp;"."&amp;" ~ "&amp;IF(ISNUMBER(대장!G34),YEAR(대장!G34)&amp;"."&amp;MONTH(대장!G34)&amp;"."&amp;DAY(대장!G34)&amp;".","재직 중")))</x:f>
        <x:v>#NAME?</x:v>
      </x:c>
      <x:c r="F69" s="27" t="e">
        <x:f>IF($A69="","",IF(발령대장_설정!$B$5="","",발령대장_설정!$B$5))</x:f>
        <x:v>#NAME?</x:v>
      </x:c>
      <x:c r="G69" s="27" t="e">
        <x:f>IF($A69="","",IF(발령대장_설정!$B$6="","",발령대장_설정!$B$6))</x:f>
        <x:v>#NAME?</x:v>
      </x:c>
      <x:c r="H69" s="27" t="e">
        <x:f>IF($A69="","",IF(발령대장_설정!$B$7="","",발령대장_설정!$B$7))</x:f>
        <x:v>#NAME?</x:v>
      </x:c>
      <x:c r="I69" s="27" t="e">
        <x:f>IF($A69="","",IF(발령대장_설정!$B$8="","",발령대장_설정!$B$8))</x:f>
        <x:v>#NAME?</x:v>
      </x:c>
      <x:c r="J69" s="27" t="e">
        <x:f>IF($A69="","",IF(대장!K34="","",대장!K34))</x:f>
        <x:v>#NAME?</x:v>
      </x:c>
    </x:row>
    <x:row r="70" ht="42" customHeight="1">
      <x:c r="A70" s="47" t="e">
        <x:f>IF(AND(대장!A34&lt;&gt;"",ISNUMBER(대장!F34),ISNUMBER(대장!G34),대장!G34&gt;=대장!F34,대장!H34&lt;&gt;""),대장!G34,"")</x:f>
        <x:v>#NAME?</x:v>
      </x:c>
      <x:c r="B70" s="27" t="e">
        <x:f>IF($A70="","",IF(발령대장_설정!$B$4="","",발령대장_설정!$B$4))</x:f>
        <x:v>#NAME?</x:v>
      </x:c>
      <x:c r="C70" s="27" t="e">
        <x:f>IF($A70="","",대장!D34)</x:f>
        <x:v>#NAME?</x:v>
      </x:c>
      <x:c r="D70" s="27" t="e">
        <x:f>IF($A70="","",대장!A34)</x:f>
        <x:v>#NAME?</x:v>
      </x:c>
      <x:c r="E70" s="27" t="e">
        <x:f>IF($A70="","",IF(OR(ISNUMBER(SEARCH("계약만료",대장!H34&amp;"")),ISNUMBER(SEARCH("기간만료",대장!H34&amp;""))),"계약기간 만료로 퇴직",IF(ISNUMBER(SEARCH("의원면직",대장!H34&amp;"")),"의원면직",IF(ISNUMBER(SEARCH("정년퇴직",대장!H34&amp;"")),"정년퇴직",대장!H34))))</x:f>
        <x:v>#NAME?</x:v>
      </x:c>
      <x:c r="F70" s="27" t="e">
        <x:f>IF($A70="","",IF(발령대장_설정!$B$5="","",발령대장_설정!$B$5))</x:f>
        <x:v>#NAME?</x:v>
      </x:c>
      <x:c r="G70" s="27" t="e">
        <x:f>IF($A70="","",IF(발령대장_설정!$B$6="","",발령대장_설정!$B$6))</x:f>
        <x:v>#NAME?</x:v>
      </x:c>
      <x:c r="H70" s="27" t="e">
        <x:f>IF($A70="","",IF(발령대장_설정!$B$7="","",발령대장_설정!$B$7))</x:f>
        <x:v>#NAME?</x:v>
      </x:c>
      <x:c r="I70" s="27" t="e">
        <x:f>IF($A70="","",IF(발령대장_설정!$B$8="","",발령대장_설정!$B$8))</x:f>
        <x:v>#NAME?</x:v>
      </x:c>
      <x:c r="J70" s="27" t="str">
        <x:f>""</x:f>
      </x:c>
    </x:row>
    <x:row r="71" ht="42" customHeight="1">
      <x:c r="A71" s="47" t="e">
        <x:f>IF(AND(대장!A35&lt;&gt;"",ISNUMBER(대장!F35),OR(대장!G35="",AND(ISNUMBER(대장!G35),대장!G35&gt;=대장!F35))),대장!F35,"")</x:f>
        <x:v>#NAME?</x:v>
      </x:c>
      <x:c r="B71" s="27" t="e">
        <x:f>IF($A71="","",IF(발령대장_설정!$B$4="","",발령대장_설정!$B$4))</x:f>
        <x:v>#NAME?</x:v>
      </x:c>
      <x:c r="C71" s="27" t="e">
        <x:f>IF($A71="","",대장!D35)</x:f>
        <x:v>#NAME?</x:v>
      </x:c>
      <x:c r="D71" s="27" t="e">
        <x:f>IF($A71="","",대장!A35)</x:f>
        <x:v>#NAME?</x:v>
      </x:c>
      <x:c r="E71" s="27" t="e">
        <x:f>IF($A71="","",IF(대장!J35&lt;&gt;"",대장!J35,대장!D35&amp;"에 임함"&amp;IF(대장!E35="","",CHAR(10)&amp;"고용형태: "&amp;대장!E35)&amp;IF(대장!I35="","",CHAR(10)&amp;"소정근로시간: "&amp;대장!I35)&amp;CHAR(10)&amp;"근로기간: "&amp;YEAR(대장!F35)&amp;"."&amp;MONTH(대장!F35)&amp;"."&amp;DAY(대장!F35)&amp;"."&amp;" ~ "&amp;IF(ISNUMBER(대장!G35),YEAR(대장!G35)&amp;"."&amp;MONTH(대장!G35)&amp;"."&amp;DAY(대장!G35)&amp;".","재직 중")))</x:f>
        <x:v>#NAME?</x:v>
      </x:c>
      <x:c r="F71" s="27" t="e">
        <x:f>IF($A71="","",IF(발령대장_설정!$B$5="","",발령대장_설정!$B$5))</x:f>
        <x:v>#NAME?</x:v>
      </x:c>
      <x:c r="G71" s="27" t="e">
        <x:f>IF($A71="","",IF(발령대장_설정!$B$6="","",발령대장_설정!$B$6))</x:f>
        <x:v>#NAME?</x:v>
      </x:c>
      <x:c r="H71" s="27" t="e">
        <x:f>IF($A71="","",IF(발령대장_설정!$B$7="","",발령대장_설정!$B$7))</x:f>
        <x:v>#NAME?</x:v>
      </x:c>
      <x:c r="I71" s="27" t="e">
        <x:f>IF($A71="","",IF(발령대장_설정!$B$8="","",발령대장_설정!$B$8))</x:f>
        <x:v>#NAME?</x:v>
      </x:c>
      <x:c r="J71" s="27" t="e">
        <x:f>IF($A71="","",IF(대장!K35="","",대장!K35))</x:f>
        <x:v>#NAME?</x:v>
      </x:c>
    </x:row>
    <x:row r="72" ht="42" customHeight="1">
      <x:c r="A72" s="47" t="e">
        <x:f>IF(AND(대장!A35&lt;&gt;"",ISNUMBER(대장!F35),ISNUMBER(대장!G35),대장!G35&gt;=대장!F35,대장!H35&lt;&gt;""),대장!G35,"")</x:f>
        <x:v>#NAME?</x:v>
      </x:c>
      <x:c r="B72" s="27" t="e">
        <x:f>IF($A72="","",IF(발령대장_설정!$B$4="","",발령대장_설정!$B$4))</x:f>
        <x:v>#NAME?</x:v>
      </x:c>
      <x:c r="C72" s="27" t="e">
        <x:f>IF($A72="","",대장!D35)</x:f>
        <x:v>#NAME?</x:v>
      </x:c>
      <x:c r="D72" s="27" t="e">
        <x:f>IF($A72="","",대장!A35)</x:f>
        <x:v>#NAME?</x:v>
      </x:c>
      <x:c r="E72" s="27" t="e">
        <x:f>IF($A72="","",IF(OR(ISNUMBER(SEARCH("계약만료",대장!H35&amp;"")),ISNUMBER(SEARCH("기간만료",대장!H35&amp;""))),"계약기간 만료로 퇴직",IF(ISNUMBER(SEARCH("의원면직",대장!H35&amp;"")),"의원면직",IF(ISNUMBER(SEARCH("정년퇴직",대장!H35&amp;"")),"정년퇴직",대장!H35))))</x:f>
        <x:v>#NAME?</x:v>
      </x:c>
      <x:c r="F72" s="27" t="e">
        <x:f>IF($A72="","",IF(발령대장_설정!$B$5="","",발령대장_설정!$B$5))</x:f>
        <x:v>#NAME?</x:v>
      </x:c>
      <x:c r="G72" s="27" t="e">
        <x:f>IF($A72="","",IF(발령대장_설정!$B$6="","",발령대장_설정!$B$6))</x:f>
        <x:v>#NAME?</x:v>
      </x:c>
      <x:c r="H72" s="27" t="e">
        <x:f>IF($A72="","",IF(발령대장_설정!$B$7="","",발령대장_설정!$B$7))</x:f>
        <x:v>#NAME?</x:v>
      </x:c>
      <x:c r="I72" s="27" t="e">
        <x:f>IF($A72="","",IF(발령대장_설정!$B$8="","",발령대장_설정!$B$8))</x:f>
        <x:v>#NAME?</x:v>
      </x:c>
      <x:c r="J72" s="27" t="str">
        <x:f>""</x:f>
      </x:c>
    </x:row>
    <x:row r="73" ht="42" customHeight="1">
      <x:c r="A73" s="47" t="e">
        <x:f>IF(AND(대장!A36&lt;&gt;"",ISNUMBER(대장!F36),OR(대장!G36="",AND(ISNUMBER(대장!G36),대장!G36&gt;=대장!F36))),대장!F36,"")</x:f>
        <x:v>#NAME?</x:v>
      </x:c>
      <x:c r="B73" s="27" t="e">
        <x:f>IF($A73="","",IF(발령대장_설정!$B$4="","",발령대장_설정!$B$4))</x:f>
        <x:v>#NAME?</x:v>
      </x:c>
      <x:c r="C73" s="27" t="e">
        <x:f>IF($A73="","",대장!D36)</x:f>
        <x:v>#NAME?</x:v>
      </x:c>
      <x:c r="D73" s="27" t="e">
        <x:f>IF($A73="","",대장!A36)</x:f>
        <x:v>#NAME?</x:v>
      </x:c>
      <x:c r="E73" s="27" t="e">
        <x:f>IF($A73="","",IF(대장!J36&lt;&gt;"",대장!J36,대장!D36&amp;"에 임함"&amp;IF(대장!E36="","",CHAR(10)&amp;"고용형태: "&amp;대장!E36)&amp;IF(대장!I36="","",CHAR(10)&amp;"소정근로시간: "&amp;대장!I36)&amp;CHAR(10)&amp;"근로기간: "&amp;YEAR(대장!F36)&amp;"."&amp;MONTH(대장!F36)&amp;"."&amp;DAY(대장!F36)&amp;"."&amp;" ~ "&amp;IF(ISNUMBER(대장!G36),YEAR(대장!G36)&amp;"."&amp;MONTH(대장!G36)&amp;"."&amp;DAY(대장!G36)&amp;".","재직 중")))</x:f>
        <x:v>#NAME?</x:v>
      </x:c>
      <x:c r="F73" s="27" t="e">
        <x:f>IF($A73="","",IF(발령대장_설정!$B$5="","",발령대장_설정!$B$5))</x:f>
        <x:v>#NAME?</x:v>
      </x:c>
      <x:c r="G73" s="27" t="e">
        <x:f>IF($A73="","",IF(발령대장_설정!$B$6="","",발령대장_설정!$B$6))</x:f>
        <x:v>#NAME?</x:v>
      </x:c>
      <x:c r="H73" s="27" t="e">
        <x:f>IF($A73="","",IF(발령대장_설정!$B$7="","",발령대장_설정!$B$7))</x:f>
        <x:v>#NAME?</x:v>
      </x:c>
      <x:c r="I73" s="27" t="e">
        <x:f>IF($A73="","",IF(발령대장_설정!$B$8="","",발령대장_설정!$B$8))</x:f>
        <x:v>#NAME?</x:v>
      </x:c>
      <x:c r="J73" s="27" t="e">
        <x:f>IF($A73="","",IF(대장!K36="","",대장!K36))</x:f>
        <x:v>#NAME?</x:v>
      </x:c>
    </x:row>
    <x:row r="74" ht="42" customHeight="1">
      <x:c r="A74" s="47" t="e">
        <x:f>IF(AND(대장!A36&lt;&gt;"",ISNUMBER(대장!F36),ISNUMBER(대장!G36),대장!G36&gt;=대장!F36,대장!H36&lt;&gt;""),대장!G36,"")</x:f>
        <x:v>#NAME?</x:v>
      </x:c>
      <x:c r="B74" s="27" t="e">
        <x:f>IF($A74="","",IF(발령대장_설정!$B$4="","",발령대장_설정!$B$4))</x:f>
        <x:v>#NAME?</x:v>
      </x:c>
      <x:c r="C74" s="27" t="e">
        <x:f>IF($A74="","",대장!D36)</x:f>
        <x:v>#NAME?</x:v>
      </x:c>
      <x:c r="D74" s="27" t="e">
        <x:f>IF($A74="","",대장!A36)</x:f>
        <x:v>#NAME?</x:v>
      </x:c>
      <x:c r="E74" s="27" t="e">
        <x:f>IF($A74="","",IF(OR(ISNUMBER(SEARCH("계약만료",대장!H36&amp;"")),ISNUMBER(SEARCH("기간만료",대장!H36&amp;""))),"계약기간 만료로 퇴직",IF(ISNUMBER(SEARCH("의원면직",대장!H36&amp;"")),"의원면직",IF(ISNUMBER(SEARCH("정년퇴직",대장!H36&amp;"")),"정년퇴직",대장!H36))))</x:f>
        <x:v>#NAME?</x:v>
      </x:c>
      <x:c r="F74" s="27" t="e">
        <x:f>IF($A74="","",IF(발령대장_설정!$B$5="","",발령대장_설정!$B$5))</x:f>
        <x:v>#NAME?</x:v>
      </x:c>
      <x:c r="G74" s="27" t="e">
        <x:f>IF($A74="","",IF(발령대장_설정!$B$6="","",발령대장_설정!$B$6))</x:f>
        <x:v>#NAME?</x:v>
      </x:c>
      <x:c r="H74" s="27" t="e">
        <x:f>IF($A74="","",IF(발령대장_설정!$B$7="","",발령대장_설정!$B$7))</x:f>
        <x:v>#NAME?</x:v>
      </x:c>
      <x:c r="I74" s="27" t="e">
        <x:f>IF($A74="","",IF(발령대장_설정!$B$8="","",발령대장_설정!$B$8))</x:f>
        <x:v>#NAME?</x:v>
      </x:c>
      <x:c r="J74" s="27" t="str">
        <x:f>""</x:f>
      </x:c>
    </x:row>
    <x:row r="75" ht="42" customHeight="1">
      <x:c r="A75" s="47" t="e">
        <x:f>IF(AND(대장!A37&lt;&gt;"",ISNUMBER(대장!F37),OR(대장!G37="",AND(ISNUMBER(대장!G37),대장!G37&gt;=대장!F37))),대장!F37,"")</x:f>
        <x:v>#NAME?</x:v>
      </x:c>
      <x:c r="B75" s="27" t="e">
        <x:f>IF($A75="","",IF(발령대장_설정!$B$4="","",발령대장_설정!$B$4))</x:f>
        <x:v>#NAME?</x:v>
      </x:c>
      <x:c r="C75" s="27" t="e">
        <x:f>IF($A75="","",대장!D37)</x:f>
        <x:v>#NAME?</x:v>
      </x:c>
      <x:c r="D75" s="27" t="e">
        <x:f>IF($A75="","",대장!A37)</x:f>
        <x:v>#NAME?</x:v>
      </x:c>
      <x:c r="E75" s="27" t="e">
        <x:f>IF($A75="","",IF(대장!J37&lt;&gt;"",대장!J37,대장!D37&amp;"에 임함"&amp;IF(대장!E37="","",CHAR(10)&amp;"고용형태: "&amp;대장!E37)&amp;IF(대장!I37="","",CHAR(10)&amp;"소정근로시간: "&amp;대장!I37)&amp;CHAR(10)&amp;"근로기간: "&amp;YEAR(대장!F37)&amp;"."&amp;MONTH(대장!F37)&amp;"."&amp;DAY(대장!F37)&amp;"."&amp;" ~ "&amp;IF(ISNUMBER(대장!G37),YEAR(대장!G37)&amp;"."&amp;MONTH(대장!G37)&amp;"."&amp;DAY(대장!G37)&amp;".","재직 중")))</x:f>
        <x:v>#NAME?</x:v>
      </x:c>
      <x:c r="F75" s="27" t="e">
        <x:f>IF($A75="","",IF(발령대장_설정!$B$5="","",발령대장_설정!$B$5))</x:f>
        <x:v>#NAME?</x:v>
      </x:c>
      <x:c r="G75" s="27" t="e">
        <x:f>IF($A75="","",IF(발령대장_설정!$B$6="","",발령대장_설정!$B$6))</x:f>
        <x:v>#NAME?</x:v>
      </x:c>
      <x:c r="H75" s="27" t="e">
        <x:f>IF($A75="","",IF(발령대장_설정!$B$7="","",발령대장_설정!$B$7))</x:f>
        <x:v>#NAME?</x:v>
      </x:c>
      <x:c r="I75" s="27" t="e">
        <x:f>IF($A75="","",IF(발령대장_설정!$B$8="","",발령대장_설정!$B$8))</x:f>
        <x:v>#NAME?</x:v>
      </x:c>
      <x:c r="J75" s="27" t="e">
        <x:f>IF($A75="","",IF(대장!K37="","",대장!K37))</x:f>
        <x:v>#NAME?</x:v>
      </x:c>
    </x:row>
    <x:row r="76" ht="42" customHeight="1">
      <x:c r="A76" s="47" t="e">
        <x:f>IF(AND(대장!A37&lt;&gt;"",ISNUMBER(대장!F37),ISNUMBER(대장!G37),대장!G37&gt;=대장!F37,대장!H37&lt;&gt;""),대장!G37,"")</x:f>
        <x:v>#NAME?</x:v>
      </x:c>
      <x:c r="B76" s="27" t="e">
        <x:f>IF($A76="","",IF(발령대장_설정!$B$4="","",발령대장_설정!$B$4))</x:f>
        <x:v>#NAME?</x:v>
      </x:c>
      <x:c r="C76" s="27" t="e">
        <x:f>IF($A76="","",대장!D37)</x:f>
        <x:v>#NAME?</x:v>
      </x:c>
      <x:c r="D76" s="27" t="e">
        <x:f>IF($A76="","",대장!A37)</x:f>
        <x:v>#NAME?</x:v>
      </x:c>
      <x:c r="E76" s="27" t="e">
        <x:f>IF($A76="","",IF(OR(ISNUMBER(SEARCH("계약만료",대장!H37&amp;"")),ISNUMBER(SEARCH("기간만료",대장!H37&amp;""))),"계약기간 만료로 퇴직",IF(ISNUMBER(SEARCH("의원면직",대장!H37&amp;"")),"의원면직",IF(ISNUMBER(SEARCH("정년퇴직",대장!H37&amp;"")),"정년퇴직",대장!H37))))</x:f>
        <x:v>#NAME?</x:v>
      </x:c>
      <x:c r="F76" s="27" t="e">
        <x:f>IF($A76="","",IF(발령대장_설정!$B$5="","",발령대장_설정!$B$5))</x:f>
        <x:v>#NAME?</x:v>
      </x:c>
      <x:c r="G76" s="27" t="e">
        <x:f>IF($A76="","",IF(발령대장_설정!$B$6="","",발령대장_설정!$B$6))</x:f>
        <x:v>#NAME?</x:v>
      </x:c>
      <x:c r="H76" s="27" t="e">
        <x:f>IF($A76="","",IF(발령대장_설정!$B$7="","",발령대장_설정!$B$7))</x:f>
        <x:v>#NAME?</x:v>
      </x:c>
      <x:c r="I76" s="27" t="e">
        <x:f>IF($A76="","",IF(발령대장_설정!$B$8="","",발령대장_설정!$B$8))</x:f>
        <x:v>#NAME?</x:v>
      </x:c>
      <x:c r="J76" s="27" t="str">
        <x:f>""</x:f>
      </x:c>
    </x:row>
    <x:row r="77" ht="42" customHeight="1">
      <x:c r="A77" s="47" t="e">
        <x:f>IF(AND(대장!A38&lt;&gt;"",ISNUMBER(대장!F38),OR(대장!G38="",AND(ISNUMBER(대장!G38),대장!G38&gt;=대장!F38))),대장!F38,"")</x:f>
        <x:v>#NAME?</x:v>
      </x:c>
      <x:c r="B77" s="27" t="e">
        <x:f>IF($A77="","",IF(발령대장_설정!$B$4="","",발령대장_설정!$B$4))</x:f>
        <x:v>#NAME?</x:v>
      </x:c>
      <x:c r="C77" s="27" t="e">
        <x:f>IF($A77="","",대장!D38)</x:f>
        <x:v>#NAME?</x:v>
      </x:c>
      <x:c r="D77" s="27" t="e">
        <x:f>IF($A77="","",대장!A38)</x:f>
        <x:v>#NAME?</x:v>
      </x:c>
      <x:c r="E77" s="27" t="e">
        <x:f>IF($A77="","",IF(대장!J38&lt;&gt;"",대장!J38,대장!D38&amp;"에 임함"&amp;IF(대장!E38="","",CHAR(10)&amp;"고용형태: "&amp;대장!E38)&amp;IF(대장!I38="","",CHAR(10)&amp;"소정근로시간: "&amp;대장!I38)&amp;CHAR(10)&amp;"근로기간: "&amp;YEAR(대장!F38)&amp;"."&amp;MONTH(대장!F38)&amp;"."&amp;DAY(대장!F38)&amp;"."&amp;" ~ "&amp;IF(ISNUMBER(대장!G38),YEAR(대장!G38)&amp;"."&amp;MONTH(대장!G38)&amp;"."&amp;DAY(대장!G38)&amp;".","재직 중")))</x:f>
        <x:v>#NAME?</x:v>
      </x:c>
      <x:c r="F77" s="27" t="e">
        <x:f>IF($A77="","",IF(발령대장_설정!$B$5="","",발령대장_설정!$B$5))</x:f>
        <x:v>#NAME?</x:v>
      </x:c>
      <x:c r="G77" s="27" t="e">
        <x:f>IF($A77="","",IF(발령대장_설정!$B$6="","",발령대장_설정!$B$6))</x:f>
        <x:v>#NAME?</x:v>
      </x:c>
      <x:c r="H77" s="27" t="e">
        <x:f>IF($A77="","",IF(발령대장_설정!$B$7="","",발령대장_설정!$B$7))</x:f>
        <x:v>#NAME?</x:v>
      </x:c>
      <x:c r="I77" s="27" t="e">
        <x:f>IF($A77="","",IF(발령대장_설정!$B$8="","",발령대장_설정!$B$8))</x:f>
        <x:v>#NAME?</x:v>
      </x:c>
      <x:c r="J77" s="27" t="e">
        <x:f>IF($A77="","",IF(대장!K38="","",대장!K38))</x:f>
        <x:v>#NAME?</x:v>
      </x:c>
    </x:row>
    <x:row r="78" ht="42" customHeight="1">
      <x:c r="A78" s="47" t="e">
        <x:f>IF(AND(대장!A38&lt;&gt;"",ISNUMBER(대장!F38),ISNUMBER(대장!G38),대장!G38&gt;=대장!F38,대장!H38&lt;&gt;""),대장!G38,"")</x:f>
        <x:v>#NAME?</x:v>
      </x:c>
      <x:c r="B78" s="27" t="e">
        <x:f>IF($A78="","",IF(발령대장_설정!$B$4="","",발령대장_설정!$B$4))</x:f>
        <x:v>#NAME?</x:v>
      </x:c>
      <x:c r="C78" s="27" t="e">
        <x:f>IF($A78="","",대장!D38)</x:f>
        <x:v>#NAME?</x:v>
      </x:c>
      <x:c r="D78" s="27" t="e">
        <x:f>IF($A78="","",대장!A38)</x:f>
        <x:v>#NAME?</x:v>
      </x:c>
      <x:c r="E78" s="27" t="e">
        <x:f>IF($A78="","",IF(OR(ISNUMBER(SEARCH("계약만료",대장!H38&amp;"")),ISNUMBER(SEARCH("기간만료",대장!H38&amp;""))),"계약기간 만료로 퇴직",IF(ISNUMBER(SEARCH("의원면직",대장!H38&amp;"")),"의원면직",IF(ISNUMBER(SEARCH("정년퇴직",대장!H38&amp;"")),"정년퇴직",대장!H38))))</x:f>
        <x:v>#NAME?</x:v>
      </x:c>
      <x:c r="F78" s="27" t="e">
        <x:f>IF($A78="","",IF(발령대장_설정!$B$5="","",발령대장_설정!$B$5))</x:f>
        <x:v>#NAME?</x:v>
      </x:c>
      <x:c r="G78" s="27" t="e">
        <x:f>IF($A78="","",IF(발령대장_설정!$B$6="","",발령대장_설정!$B$6))</x:f>
        <x:v>#NAME?</x:v>
      </x:c>
      <x:c r="H78" s="27" t="e">
        <x:f>IF($A78="","",IF(발령대장_설정!$B$7="","",발령대장_설정!$B$7))</x:f>
        <x:v>#NAME?</x:v>
      </x:c>
      <x:c r="I78" s="27" t="e">
        <x:f>IF($A78="","",IF(발령대장_설정!$B$8="","",발령대장_설정!$B$8))</x:f>
        <x:v>#NAME?</x:v>
      </x:c>
      <x:c r="J78" s="27" t="str">
        <x:f>""</x:f>
      </x:c>
    </x:row>
    <x:row r="79" ht="42" customHeight="1">
      <x:c r="A79" s="47" t="e">
        <x:f>IF(AND(대장!A39&lt;&gt;"",ISNUMBER(대장!F39),OR(대장!G39="",AND(ISNUMBER(대장!G39),대장!G39&gt;=대장!F39))),대장!F39,"")</x:f>
        <x:v>#NAME?</x:v>
      </x:c>
      <x:c r="B79" s="27" t="e">
        <x:f>IF($A79="","",IF(발령대장_설정!$B$4="","",발령대장_설정!$B$4))</x:f>
        <x:v>#NAME?</x:v>
      </x:c>
      <x:c r="C79" s="27" t="e">
        <x:f>IF($A79="","",대장!D39)</x:f>
        <x:v>#NAME?</x:v>
      </x:c>
      <x:c r="D79" s="27" t="e">
        <x:f>IF($A79="","",대장!A39)</x:f>
        <x:v>#NAME?</x:v>
      </x:c>
      <x:c r="E79" s="27" t="e">
        <x:f>IF($A79="","",IF(대장!J39&lt;&gt;"",대장!J39,대장!D39&amp;"에 임함"&amp;IF(대장!E39="","",CHAR(10)&amp;"고용형태: "&amp;대장!E39)&amp;IF(대장!I39="","",CHAR(10)&amp;"소정근로시간: "&amp;대장!I39)&amp;CHAR(10)&amp;"근로기간: "&amp;YEAR(대장!F39)&amp;"."&amp;MONTH(대장!F39)&amp;"."&amp;DAY(대장!F39)&amp;"."&amp;" ~ "&amp;IF(ISNUMBER(대장!G39),YEAR(대장!G39)&amp;"."&amp;MONTH(대장!G39)&amp;"."&amp;DAY(대장!G39)&amp;".","재직 중")))</x:f>
        <x:v>#NAME?</x:v>
      </x:c>
      <x:c r="F79" s="27" t="e">
        <x:f>IF($A79="","",IF(발령대장_설정!$B$5="","",발령대장_설정!$B$5))</x:f>
        <x:v>#NAME?</x:v>
      </x:c>
      <x:c r="G79" s="27" t="e">
        <x:f>IF($A79="","",IF(발령대장_설정!$B$6="","",발령대장_설정!$B$6))</x:f>
        <x:v>#NAME?</x:v>
      </x:c>
      <x:c r="H79" s="27" t="e">
        <x:f>IF($A79="","",IF(발령대장_설정!$B$7="","",발령대장_설정!$B$7))</x:f>
        <x:v>#NAME?</x:v>
      </x:c>
      <x:c r="I79" s="27" t="e">
        <x:f>IF($A79="","",IF(발령대장_설정!$B$8="","",발령대장_설정!$B$8))</x:f>
        <x:v>#NAME?</x:v>
      </x:c>
      <x:c r="J79" s="27" t="e">
        <x:f>IF($A79="","",IF(대장!K39="","",대장!K39))</x:f>
        <x:v>#NAME?</x:v>
      </x:c>
    </x:row>
    <x:row r="80" ht="42" customHeight="1">
      <x:c r="A80" s="47" t="e">
        <x:f>IF(AND(대장!A39&lt;&gt;"",ISNUMBER(대장!F39),ISNUMBER(대장!G39),대장!G39&gt;=대장!F39,대장!H39&lt;&gt;""),대장!G39,"")</x:f>
        <x:v>#NAME?</x:v>
      </x:c>
      <x:c r="B80" s="27" t="e">
        <x:f>IF($A80="","",IF(발령대장_설정!$B$4="","",발령대장_설정!$B$4))</x:f>
        <x:v>#NAME?</x:v>
      </x:c>
      <x:c r="C80" s="27" t="e">
        <x:f>IF($A80="","",대장!D39)</x:f>
        <x:v>#NAME?</x:v>
      </x:c>
      <x:c r="D80" s="27" t="e">
        <x:f>IF($A80="","",대장!A39)</x:f>
        <x:v>#NAME?</x:v>
      </x:c>
      <x:c r="E80" s="27" t="e">
        <x:f>IF($A80="","",IF(OR(ISNUMBER(SEARCH("계약만료",대장!H39&amp;"")),ISNUMBER(SEARCH("기간만료",대장!H39&amp;""))),"계약기간 만료로 퇴직",IF(ISNUMBER(SEARCH("의원면직",대장!H39&amp;"")),"의원면직",IF(ISNUMBER(SEARCH("정년퇴직",대장!H39&amp;"")),"정년퇴직",대장!H39))))</x:f>
        <x:v>#NAME?</x:v>
      </x:c>
      <x:c r="F80" s="27" t="e">
        <x:f>IF($A80="","",IF(발령대장_설정!$B$5="","",발령대장_설정!$B$5))</x:f>
        <x:v>#NAME?</x:v>
      </x:c>
      <x:c r="G80" s="27" t="e">
        <x:f>IF($A80="","",IF(발령대장_설정!$B$6="","",발령대장_설정!$B$6))</x:f>
        <x:v>#NAME?</x:v>
      </x:c>
      <x:c r="H80" s="27" t="e">
        <x:f>IF($A80="","",IF(발령대장_설정!$B$7="","",발령대장_설정!$B$7))</x:f>
        <x:v>#NAME?</x:v>
      </x:c>
      <x:c r="I80" s="27" t="e">
        <x:f>IF($A80="","",IF(발령대장_설정!$B$8="","",발령대장_설정!$B$8))</x:f>
        <x:v>#NAME?</x:v>
      </x:c>
      <x:c r="J80" s="27" t="str">
        <x:f>""</x:f>
      </x:c>
    </x:row>
    <x:row r="81" ht="42" customHeight="1">
      <x:c r="A81" s="47" t="e">
        <x:f>IF(AND(대장!A40&lt;&gt;"",ISNUMBER(대장!F40),OR(대장!G40="",AND(ISNUMBER(대장!G40),대장!G40&gt;=대장!F40))),대장!F40,"")</x:f>
        <x:v>#NAME?</x:v>
      </x:c>
      <x:c r="B81" s="27" t="e">
        <x:f>IF($A81="","",IF(발령대장_설정!$B$4="","",발령대장_설정!$B$4))</x:f>
        <x:v>#NAME?</x:v>
      </x:c>
      <x:c r="C81" s="27" t="e">
        <x:f>IF($A81="","",대장!D40)</x:f>
        <x:v>#NAME?</x:v>
      </x:c>
      <x:c r="D81" s="27" t="e">
        <x:f>IF($A81="","",대장!A40)</x:f>
        <x:v>#NAME?</x:v>
      </x:c>
      <x:c r="E81" s="27" t="e">
        <x:f>IF($A81="","",IF(대장!J40&lt;&gt;"",대장!J40,대장!D40&amp;"에 임함"&amp;IF(대장!E40="","",CHAR(10)&amp;"고용형태: "&amp;대장!E40)&amp;IF(대장!I40="","",CHAR(10)&amp;"소정근로시간: "&amp;대장!I40)&amp;CHAR(10)&amp;"근로기간: "&amp;YEAR(대장!F40)&amp;"."&amp;MONTH(대장!F40)&amp;"."&amp;DAY(대장!F40)&amp;"."&amp;" ~ "&amp;IF(ISNUMBER(대장!G40),YEAR(대장!G40)&amp;"."&amp;MONTH(대장!G40)&amp;"."&amp;DAY(대장!G40)&amp;".","재직 중")))</x:f>
        <x:v>#NAME?</x:v>
      </x:c>
      <x:c r="F81" s="27" t="e">
        <x:f>IF($A81="","",IF(발령대장_설정!$B$5="","",발령대장_설정!$B$5))</x:f>
        <x:v>#NAME?</x:v>
      </x:c>
      <x:c r="G81" s="27" t="e">
        <x:f>IF($A81="","",IF(발령대장_설정!$B$6="","",발령대장_설정!$B$6))</x:f>
        <x:v>#NAME?</x:v>
      </x:c>
      <x:c r="H81" s="27" t="e">
        <x:f>IF($A81="","",IF(발령대장_설정!$B$7="","",발령대장_설정!$B$7))</x:f>
        <x:v>#NAME?</x:v>
      </x:c>
      <x:c r="I81" s="27" t="e">
        <x:f>IF($A81="","",IF(발령대장_설정!$B$8="","",발령대장_설정!$B$8))</x:f>
        <x:v>#NAME?</x:v>
      </x:c>
      <x:c r="J81" s="27" t="e">
        <x:f>IF($A81="","",IF(대장!K40="","",대장!K40))</x:f>
        <x:v>#NAME?</x:v>
      </x:c>
    </x:row>
    <x:row r="82" ht="42" customHeight="1">
      <x:c r="A82" s="47" t="e">
        <x:f>IF(AND(대장!A40&lt;&gt;"",ISNUMBER(대장!F40),ISNUMBER(대장!G40),대장!G40&gt;=대장!F40,대장!H40&lt;&gt;""),대장!G40,"")</x:f>
        <x:v>#NAME?</x:v>
      </x:c>
      <x:c r="B82" s="27" t="e">
        <x:f>IF($A82="","",IF(발령대장_설정!$B$4="","",발령대장_설정!$B$4))</x:f>
        <x:v>#NAME?</x:v>
      </x:c>
      <x:c r="C82" s="27" t="e">
        <x:f>IF($A82="","",대장!D40)</x:f>
        <x:v>#NAME?</x:v>
      </x:c>
      <x:c r="D82" s="27" t="e">
        <x:f>IF($A82="","",대장!A40)</x:f>
        <x:v>#NAME?</x:v>
      </x:c>
      <x:c r="E82" s="27" t="e">
        <x:f>IF($A82="","",IF(OR(ISNUMBER(SEARCH("계약만료",대장!H40&amp;"")),ISNUMBER(SEARCH("기간만료",대장!H40&amp;""))),"계약기간 만료로 퇴직",IF(ISNUMBER(SEARCH("의원면직",대장!H40&amp;"")),"의원면직",IF(ISNUMBER(SEARCH("정년퇴직",대장!H40&amp;"")),"정년퇴직",대장!H40))))</x:f>
        <x:v>#NAME?</x:v>
      </x:c>
      <x:c r="F82" s="27" t="e">
        <x:f>IF($A82="","",IF(발령대장_설정!$B$5="","",발령대장_설정!$B$5))</x:f>
        <x:v>#NAME?</x:v>
      </x:c>
      <x:c r="G82" s="27" t="e">
        <x:f>IF($A82="","",IF(발령대장_설정!$B$6="","",발령대장_설정!$B$6))</x:f>
        <x:v>#NAME?</x:v>
      </x:c>
      <x:c r="H82" s="27" t="e">
        <x:f>IF($A82="","",IF(발령대장_설정!$B$7="","",발령대장_설정!$B$7))</x:f>
        <x:v>#NAME?</x:v>
      </x:c>
      <x:c r="I82" s="27" t="e">
        <x:f>IF($A82="","",IF(발령대장_설정!$B$8="","",발령대장_설정!$B$8))</x:f>
        <x:v>#NAME?</x:v>
      </x:c>
      <x:c r="J82" s="27" t="str">
        <x:f>""</x:f>
      </x:c>
    </x:row>
    <x:row r="83" ht="42" customHeight="1">
      <x:c r="A83" s="47" t="e">
        <x:f>IF(AND(대장!A41&lt;&gt;"",ISNUMBER(대장!F41),OR(대장!G41="",AND(ISNUMBER(대장!G41),대장!G41&gt;=대장!F41))),대장!F41,"")</x:f>
        <x:v>#NAME?</x:v>
      </x:c>
      <x:c r="B83" s="27" t="e">
        <x:f>IF($A83="","",IF(발령대장_설정!$B$4="","",발령대장_설정!$B$4))</x:f>
        <x:v>#NAME?</x:v>
      </x:c>
      <x:c r="C83" s="27" t="e">
        <x:f>IF($A83="","",대장!D41)</x:f>
        <x:v>#NAME?</x:v>
      </x:c>
      <x:c r="D83" s="27" t="e">
        <x:f>IF($A83="","",대장!A41)</x:f>
        <x:v>#NAME?</x:v>
      </x:c>
      <x:c r="E83" s="27" t="e">
        <x:f>IF($A83="","",IF(대장!J41&lt;&gt;"",대장!J41,대장!D41&amp;"에 임함"&amp;IF(대장!E41="","",CHAR(10)&amp;"고용형태: "&amp;대장!E41)&amp;IF(대장!I41="","",CHAR(10)&amp;"소정근로시간: "&amp;대장!I41)&amp;CHAR(10)&amp;"근로기간: "&amp;YEAR(대장!F41)&amp;"."&amp;MONTH(대장!F41)&amp;"."&amp;DAY(대장!F41)&amp;"."&amp;" ~ "&amp;IF(ISNUMBER(대장!G41),YEAR(대장!G41)&amp;"."&amp;MONTH(대장!G41)&amp;"."&amp;DAY(대장!G41)&amp;".","재직 중")))</x:f>
        <x:v>#NAME?</x:v>
      </x:c>
      <x:c r="F83" s="27" t="e">
        <x:f>IF($A83="","",IF(발령대장_설정!$B$5="","",발령대장_설정!$B$5))</x:f>
        <x:v>#NAME?</x:v>
      </x:c>
      <x:c r="G83" s="27" t="e">
        <x:f>IF($A83="","",IF(발령대장_설정!$B$6="","",발령대장_설정!$B$6))</x:f>
        <x:v>#NAME?</x:v>
      </x:c>
      <x:c r="H83" s="27" t="e">
        <x:f>IF($A83="","",IF(발령대장_설정!$B$7="","",발령대장_설정!$B$7))</x:f>
        <x:v>#NAME?</x:v>
      </x:c>
      <x:c r="I83" s="27" t="e">
        <x:f>IF($A83="","",IF(발령대장_설정!$B$8="","",발령대장_설정!$B$8))</x:f>
        <x:v>#NAME?</x:v>
      </x:c>
      <x:c r="J83" s="27" t="e">
        <x:f>IF($A83="","",IF(대장!K41="","",대장!K41))</x:f>
        <x:v>#NAME?</x:v>
      </x:c>
    </x:row>
    <x:row r="84" ht="42" customHeight="1">
      <x:c r="A84" s="47" t="e">
        <x:f>IF(AND(대장!A41&lt;&gt;"",ISNUMBER(대장!F41),ISNUMBER(대장!G41),대장!G41&gt;=대장!F41,대장!H41&lt;&gt;""),대장!G41,"")</x:f>
        <x:v>#NAME?</x:v>
      </x:c>
      <x:c r="B84" s="27" t="e">
        <x:f>IF($A84="","",IF(발령대장_설정!$B$4="","",발령대장_설정!$B$4))</x:f>
        <x:v>#NAME?</x:v>
      </x:c>
      <x:c r="C84" s="27" t="e">
        <x:f>IF($A84="","",대장!D41)</x:f>
        <x:v>#NAME?</x:v>
      </x:c>
      <x:c r="D84" s="27" t="e">
        <x:f>IF($A84="","",대장!A41)</x:f>
        <x:v>#NAME?</x:v>
      </x:c>
      <x:c r="E84" s="27" t="e">
        <x:f>IF($A84="","",IF(OR(ISNUMBER(SEARCH("계약만료",대장!H41&amp;"")),ISNUMBER(SEARCH("기간만료",대장!H41&amp;""))),"계약기간 만료로 퇴직",IF(ISNUMBER(SEARCH("의원면직",대장!H41&amp;"")),"의원면직",IF(ISNUMBER(SEARCH("정년퇴직",대장!H41&amp;"")),"정년퇴직",대장!H41))))</x:f>
        <x:v>#NAME?</x:v>
      </x:c>
      <x:c r="F84" s="27" t="e">
        <x:f>IF($A84="","",IF(발령대장_설정!$B$5="","",발령대장_설정!$B$5))</x:f>
        <x:v>#NAME?</x:v>
      </x:c>
      <x:c r="G84" s="27" t="e">
        <x:f>IF($A84="","",IF(발령대장_설정!$B$6="","",발령대장_설정!$B$6))</x:f>
        <x:v>#NAME?</x:v>
      </x:c>
      <x:c r="H84" s="27" t="e">
        <x:f>IF($A84="","",IF(발령대장_설정!$B$7="","",발령대장_설정!$B$7))</x:f>
        <x:v>#NAME?</x:v>
      </x:c>
      <x:c r="I84" s="27" t="e">
        <x:f>IF($A84="","",IF(발령대장_설정!$B$8="","",발령대장_설정!$B$8))</x:f>
        <x:v>#NAME?</x:v>
      </x:c>
      <x:c r="J84" s="27" t="str">
        <x:f>""</x:f>
      </x:c>
    </x:row>
    <x:row r="85" ht="42" customHeight="1">
      <x:c r="A85" s="47" t="e">
        <x:f>IF(AND(대장!A42&lt;&gt;"",ISNUMBER(대장!F42),OR(대장!G42="",AND(ISNUMBER(대장!G42),대장!G42&gt;=대장!F42))),대장!F42,"")</x:f>
        <x:v>#NAME?</x:v>
      </x:c>
      <x:c r="B85" s="27" t="e">
        <x:f>IF($A85="","",IF(발령대장_설정!$B$4="","",발령대장_설정!$B$4))</x:f>
        <x:v>#NAME?</x:v>
      </x:c>
      <x:c r="C85" s="27" t="e">
        <x:f>IF($A85="","",대장!D42)</x:f>
        <x:v>#NAME?</x:v>
      </x:c>
      <x:c r="D85" s="27" t="e">
        <x:f>IF($A85="","",대장!A42)</x:f>
        <x:v>#NAME?</x:v>
      </x:c>
      <x:c r="E85" s="27" t="e">
        <x:f>IF($A85="","",IF(대장!J42&lt;&gt;"",대장!J42,대장!D42&amp;"에 임함"&amp;IF(대장!E42="","",CHAR(10)&amp;"고용형태: "&amp;대장!E42)&amp;IF(대장!I42="","",CHAR(10)&amp;"소정근로시간: "&amp;대장!I42)&amp;CHAR(10)&amp;"근로기간: "&amp;YEAR(대장!F42)&amp;"."&amp;MONTH(대장!F42)&amp;"."&amp;DAY(대장!F42)&amp;"."&amp;" ~ "&amp;IF(ISNUMBER(대장!G42),YEAR(대장!G42)&amp;"."&amp;MONTH(대장!G42)&amp;"."&amp;DAY(대장!G42)&amp;".","재직 중")))</x:f>
        <x:v>#NAME?</x:v>
      </x:c>
      <x:c r="F85" s="27" t="e">
        <x:f>IF($A85="","",IF(발령대장_설정!$B$5="","",발령대장_설정!$B$5))</x:f>
        <x:v>#NAME?</x:v>
      </x:c>
      <x:c r="G85" s="27" t="e">
        <x:f>IF($A85="","",IF(발령대장_설정!$B$6="","",발령대장_설정!$B$6))</x:f>
        <x:v>#NAME?</x:v>
      </x:c>
      <x:c r="H85" s="27" t="e">
        <x:f>IF($A85="","",IF(발령대장_설정!$B$7="","",발령대장_설정!$B$7))</x:f>
        <x:v>#NAME?</x:v>
      </x:c>
      <x:c r="I85" s="27" t="e">
        <x:f>IF($A85="","",IF(발령대장_설정!$B$8="","",발령대장_설정!$B$8))</x:f>
        <x:v>#NAME?</x:v>
      </x:c>
      <x:c r="J85" s="27" t="e">
        <x:f>IF($A85="","",IF(대장!K42="","",대장!K42))</x:f>
        <x:v>#NAME?</x:v>
      </x:c>
    </x:row>
    <x:row r="86" ht="42" customHeight="1">
      <x:c r="A86" s="47" t="e">
        <x:f>IF(AND(대장!A42&lt;&gt;"",ISNUMBER(대장!F42),ISNUMBER(대장!G42),대장!G42&gt;=대장!F42,대장!H42&lt;&gt;""),대장!G42,"")</x:f>
        <x:v>#NAME?</x:v>
      </x:c>
      <x:c r="B86" s="27" t="e">
        <x:f>IF($A86="","",IF(발령대장_설정!$B$4="","",발령대장_설정!$B$4))</x:f>
        <x:v>#NAME?</x:v>
      </x:c>
      <x:c r="C86" s="27" t="e">
        <x:f>IF($A86="","",대장!D42)</x:f>
        <x:v>#NAME?</x:v>
      </x:c>
      <x:c r="D86" s="27" t="e">
        <x:f>IF($A86="","",대장!A42)</x:f>
        <x:v>#NAME?</x:v>
      </x:c>
      <x:c r="E86" s="27" t="e">
        <x:f>IF($A86="","",IF(OR(ISNUMBER(SEARCH("계약만료",대장!H42&amp;"")),ISNUMBER(SEARCH("기간만료",대장!H42&amp;""))),"계약기간 만료로 퇴직",IF(ISNUMBER(SEARCH("의원면직",대장!H42&amp;"")),"의원면직",IF(ISNUMBER(SEARCH("정년퇴직",대장!H42&amp;"")),"정년퇴직",대장!H42))))</x:f>
        <x:v>#NAME?</x:v>
      </x:c>
      <x:c r="F86" s="27" t="e">
        <x:f>IF($A86="","",IF(발령대장_설정!$B$5="","",발령대장_설정!$B$5))</x:f>
        <x:v>#NAME?</x:v>
      </x:c>
      <x:c r="G86" s="27" t="e">
        <x:f>IF($A86="","",IF(발령대장_설정!$B$6="","",발령대장_설정!$B$6))</x:f>
        <x:v>#NAME?</x:v>
      </x:c>
      <x:c r="H86" s="27" t="e">
        <x:f>IF($A86="","",IF(발령대장_설정!$B$7="","",발령대장_설정!$B$7))</x:f>
        <x:v>#NAME?</x:v>
      </x:c>
      <x:c r="I86" s="27" t="e">
        <x:f>IF($A86="","",IF(발령대장_설정!$B$8="","",발령대장_설정!$B$8))</x:f>
        <x:v>#NAME?</x:v>
      </x:c>
      <x:c r="J86" s="27" t="str">
        <x:f>""</x:f>
      </x:c>
    </x:row>
    <x:row r="87" ht="42" customHeight="1">
      <x:c r="A87" s="47" t="e">
        <x:f>IF(AND(대장!A43&lt;&gt;"",ISNUMBER(대장!F43),OR(대장!G43="",AND(ISNUMBER(대장!G43),대장!G43&gt;=대장!F43))),대장!F43,"")</x:f>
        <x:v>#NAME?</x:v>
      </x:c>
      <x:c r="B87" s="27" t="e">
        <x:f>IF($A87="","",IF(발령대장_설정!$B$4="","",발령대장_설정!$B$4))</x:f>
        <x:v>#NAME?</x:v>
      </x:c>
      <x:c r="C87" s="27" t="e">
        <x:f>IF($A87="","",대장!D43)</x:f>
        <x:v>#NAME?</x:v>
      </x:c>
      <x:c r="D87" s="27" t="e">
        <x:f>IF($A87="","",대장!A43)</x:f>
        <x:v>#NAME?</x:v>
      </x:c>
      <x:c r="E87" s="27" t="e">
        <x:f>IF($A87="","",IF(대장!J43&lt;&gt;"",대장!J43,대장!D43&amp;"에 임함"&amp;IF(대장!E43="","",CHAR(10)&amp;"고용형태: "&amp;대장!E43)&amp;IF(대장!I43="","",CHAR(10)&amp;"소정근로시간: "&amp;대장!I43)&amp;CHAR(10)&amp;"근로기간: "&amp;YEAR(대장!F43)&amp;"."&amp;MONTH(대장!F43)&amp;"."&amp;DAY(대장!F43)&amp;"."&amp;" ~ "&amp;IF(ISNUMBER(대장!G43),YEAR(대장!G43)&amp;"."&amp;MONTH(대장!G43)&amp;"."&amp;DAY(대장!G43)&amp;".","재직 중")))</x:f>
        <x:v>#NAME?</x:v>
      </x:c>
      <x:c r="F87" s="27" t="e">
        <x:f>IF($A87="","",IF(발령대장_설정!$B$5="","",발령대장_설정!$B$5))</x:f>
        <x:v>#NAME?</x:v>
      </x:c>
      <x:c r="G87" s="27" t="e">
        <x:f>IF($A87="","",IF(발령대장_설정!$B$6="","",발령대장_설정!$B$6))</x:f>
        <x:v>#NAME?</x:v>
      </x:c>
      <x:c r="H87" s="27" t="e">
        <x:f>IF($A87="","",IF(발령대장_설정!$B$7="","",발령대장_설정!$B$7))</x:f>
        <x:v>#NAME?</x:v>
      </x:c>
      <x:c r="I87" s="27" t="e">
        <x:f>IF($A87="","",IF(발령대장_설정!$B$8="","",발령대장_설정!$B$8))</x:f>
        <x:v>#NAME?</x:v>
      </x:c>
      <x:c r="J87" s="27" t="e">
        <x:f>IF($A87="","",IF(대장!K43="","",대장!K43))</x:f>
        <x:v>#NAME?</x:v>
      </x:c>
    </x:row>
    <x:row r="88" ht="42" customHeight="1">
      <x:c r="A88" s="47" t="e">
        <x:f>IF(AND(대장!A43&lt;&gt;"",ISNUMBER(대장!F43),ISNUMBER(대장!G43),대장!G43&gt;=대장!F43,대장!H43&lt;&gt;""),대장!G43,"")</x:f>
        <x:v>#NAME?</x:v>
      </x:c>
      <x:c r="B88" s="27" t="e">
        <x:f>IF($A88="","",IF(발령대장_설정!$B$4="","",발령대장_설정!$B$4))</x:f>
        <x:v>#NAME?</x:v>
      </x:c>
      <x:c r="C88" s="27" t="e">
        <x:f>IF($A88="","",대장!D43)</x:f>
        <x:v>#NAME?</x:v>
      </x:c>
      <x:c r="D88" s="27" t="e">
        <x:f>IF($A88="","",대장!A43)</x:f>
        <x:v>#NAME?</x:v>
      </x:c>
      <x:c r="E88" s="27" t="e">
        <x:f>IF($A88="","",IF(OR(ISNUMBER(SEARCH("계약만료",대장!H43&amp;"")),ISNUMBER(SEARCH("기간만료",대장!H43&amp;""))),"계약기간 만료로 퇴직",IF(ISNUMBER(SEARCH("의원면직",대장!H43&amp;"")),"의원면직",IF(ISNUMBER(SEARCH("정년퇴직",대장!H43&amp;"")),"정년퇴직",대장!H43))))</x:f>
        <x:v>#NAME?</x:v>
      </x:c>
      <x:c r="F88" s="27" t="e">
        <x:f>IF($A88="","",IF(발령대장_설정!$B$5="","",발령대장_설정!$B$5))</x:f>
        <x:v>#NAME?</x:v>
      </x:c>
      <x:c r="G88" s="27" t="e">
        <x:f>IF($A88="","",IF(발령대장_설정!$B$6="","",발령대장_설정!$B$6))</x:f>
        <x:v>#NAME?</x:v>
      </x:c>
      <x:c r="H88" s="27" t="e">
        <x:f>IF($A88="","",IF(발령대장_설정!$B$7="","",발령대장_설정!$B$7))</x:f>
        <x:v>#NAME?</x:v>
      </x:c>
      <x:c r="I88" s="27" t="e">
        <x:f>IF($A88="","",IF(발령대장_설정!$B$8="","",발령대장_설정!$B$8))</x:f>
        <x:v>#NAME?</x:v>
      </x:c>
      <x:c r="J88" s="27" t="str">
        <x:f>""</x:f>
      </x:c>
    </x:row>
    <x:row r="89" ht="42" customHeight="1">
      <x:c r="A89" s="47" t="e">
        <x:f>IF(AND(대장!A44&lt;&gt;"",ISNUMBER(대장!F44),OR(대장!G44="",AND(ISNUMBER(대장!G44),대장!G44&gt;=대장!F44))),대장!F44,"")</x:f>
        <x:v>#NAME?</x:v>
      </x:c>
      <x:c r="B89" s="27" t="e">
        <x:f>IF($A89="","",IF(발령대장_설정!$B$4="","",발령대장_설정!$B$4))</x:f>
        <x:v>#NAME?</x:v>
      </x:c>
      <x:c r="C89" s="27" t="e">
        <x:f>IF($A89="","",대장!D44)</x:f>
        <x:v>#NAME?</x:v>
      </x:c>
      <x:c r="D89" s="27" t="e">
        <x:f>IF($A89="","",대장!A44)</x:f>
        <x:v>#NAME?</x:v>
      </x:c>
      <x:c r="E89" s="27" t="e">
        <x:f>IF($A89="","",IF(대장!J44&lt;&gt;"",대장!J44,대장!D44&amp;"에 임함"&amp;IF(대장!E44="","",CHAR(10)&amp;"고용형태: "&amp;대장!E44)&amp;IF(대장!I44="","",CHAR(10)&amp;"소정근로시간: "&amp;대장!I44)&amp;CHAR(10)&amp;"근로기간: "&amp;YEAR(대장!F44)&amp;"."&amp;MONTH(대장!F44)&amp;"."&amp;DAY(대장!F44)&amp;"."&amp;" ~ "&amp;IF(ISNUMBER(대장!G44),YEAR(대장!G44)&amp;"."&amp;MONTH(대장!G44)&amp;"."&amp;DAY(대장!G44)&amp;".","재직 중")))</x:f>
        <x:v>#NAME?</x:v>
      </x:c>
      <x:c r="F89" s="27" t="e">
        <x:f>IF($A89="","",IF(발령대장_설정!$B$5="","",발령대장_설정!$B$5))</x:f>
        <x:v>#NAME?</x:v>
      </x:c>
      <x:c r="G89" s="27" t="e">
        <x:f>IF($A89="","",IF(발령대장_설정!$B$6="","",발령대장_설정!$B$6))</x:f>
        <x:v>#NAME?</x:v>
      </x:c>
      <x:c r="H89" s="27" t="e">
        <x:f>IF($A89="","",IF(발령대장_설정!$B$7="","",발령대장_설정!$B$7))</x:f>
        <x:v>#NAME?</x:v>
      </x:c>
      <x:c r="I89" s="27" t="e">
        <x:f>IF($A89="","",IF(발령대장_설정!$B$8="","",발령대장_설정!$B$8))</x:f>
        <x:v>#NAME?</x:v>
      </x:c>
      <x:c r="J89" s="27" t="e">
        <x:f>IF($A89="","",IF(대장!K44="","",대장!K44))</x:f>
        <x:v>#NAME?</x:v>
      </x:c>
    </x:row>
    <x:row r="90" ht="42" customHeight="1">
      <x:c r="A90" s="47" t="e">
        <x:f>IF(AND(대장!A44&lt;&gt;"",ISNUMBER(대장!F44),ISNUMBER(대장!G44),대장!G44&gt;=대장!F44,대장!H44&lt;&gt;""),대장!G44,"")</x:f>
        <x:v>#NAME?</x:v>
      </x:c>
      <x:c r="B90" s="27" t="e">
        <x:f>IF($A90="","",IF(발령대장_설정!$B$4="","",발령대장_설정!$B$4))</x:f>
        <x:v>#NAME?</x:v>
      </x:c>
      <x:c r="C90" s="27" t="e">
        <x:f>IF($A90="","",대장!D44)</x:f>
        <x:v>#NAME?</x:v>
      </x:c>
      <x:c r="D90" s="27" t="e">
        <x:f>IF($A90="","",대장!A44)</x:f>
        <x:v>#NAME?</x:v>
      </x:c>
      <x:c r="E90" s="27" t="e">
        <x:f>IF($A90="","",IF(OR(ISNUMBER(SEARCH("계약만료",대장!H44&amp;"")),ISNUMBER(SEARCH("기간만료",대장!H44&amp;""))),"계약기간 만료로 퇴직",IF(ISNUMBER(SEARCH("의원면직",대장!H44&amp;"")),"의원면직",IF(ISNUMBER(SEARCH("정년퇴직",대장!H44&amp;"")),"정년퇴직",대장!H44))))</x:f>
        <x:v>#NAME?</x:v>
      </x:c>
      <x:c r="F90" s="27" t="e">
        <x:f>IF($A90="","",IF(발령대장_설정!$B$5="","",발령대장_설정!$B$5))</x:f>
        <x:v>#NAME?</x:v>
      </x:c>
      <x:c r="G90" s="27" t="e">
        <x:f>IF($A90="","",IF(발령대장_설정!$B$6="","",발령대장_설정!$B$6))</x:f>
        <x:v>#NAME?</x:v>
      </x:c>
      <x:c r="H90" s="27" t="e">
        <x:f>IF($A90="","",IF(발령대장_설정!$B$7="","",발령대장_설정!$B$7))</x:f>
        <x:v>#NAME?</x:v>
      </x:c>
      <x:c r="I90" s="27" t="e">
        <x:f>IF($A90="","",IF(발령대장_설정!$B$8="","",발령대장_설정!$B$8))</x:f>
        <x:v>#NAME?</x:v>
      </x:c>
      <x:c r="J90" s="27" t="str">
        <x:f>""</x:f>
      </x:c>
    </x:row>
    <x:row r="91" ht="42" customHeight="1">
      <x:c r="A91" s="47" t="e">
        <x:f>IF(AND(대장!A45&lt;&gt;"",ISNUMBER(대장!F45),OR(대장!G45="",AND(ISNUMBER(대장!G45),대장!G45&gt;=대장!F45))),대장!F45,"")</x:f>
        <x:v>#NAME?</x:v>
      </x:c>
      <x:c r="B91" s="27" t="e">
        <x:f>IF($A91="","",IF(발령대장_설정!$B$4="","",발령대장_설정!$B$4))</x:f>
        <x:v>#NAME?</x:v>
      </x:c>
      <x:c r="C91" s="27" t="e">
        <x:f>IF($A91="","",대장!D45)</x:f>
        <x:v>#NAME?</x:v>
      </x:c>
      <x:c r="D91" s="27" t="e">
        <x:f>IF($A91="","",대장!A45)</x:f>
        <x:v>#NAME?</x:v>
      </x:c>
      <x:c r="E91" s="27" t="e">
        <x:f>IF($A91="","",IF(대장!J45&lt;&gt;"",대장!J45,대장!D45&amp;"에 임함"&amp;IF(대장!E45="","",CHAR(10)&amp;"고용형태: "&amp;대장!E45)&amp;IF(대장!I45="","",CHAR(10)&amp;"소정근로시간: "&amp;대장!I45)&amp;CHAR(10)&amp;"근로기간: "&amp;YEAR(대장!F45)&amp;"."&amp;MONTH(대장!F45)&amp;"."&amp;DAY(대장!F45)&amp;"."&amp;" ~ "&amp;IF(ISNUMBER(대장!G45),YEAR(대장!G45)&amp;"."&amp;MONTH(대장!G45)&amp;"."&amp;DAY(대장!G45)&amp;".","재직 중")))</x:f>
        <x:v>#NAME?</x:v>
      </x:c>
      <x:c r="F91" s="27" t="e">
        <x:f>IF($A91="","",IF(발령대장_설정!$B$5="","",발령대장_설정!$B$5))</x:f>
        <x:v>#NAME?</x:v>
      </x:c>
      <x:c r="G91" s="27" t="e">
        <x:f>IF($A91="","",IF(발령대장_설정!$B$6="","",발령대장_설정!$B$6))</x:f>
        <x:v>#NAME?</x:v>
      </x:c>
      <x:c r="H91" s="27" t="e">
        <x:f>IF($A91="","",IF(발령대장_설정!$B$7="","",발령대장_설정!$B$7))</x:f>
        <x:v>#NAME?</x:v>
      </x:c>
      <x:c r="I91" s="27" t="e">
        <x:f>IF($A91="","",IF(발령대장_설정!$B$8="","",발령대장_설정!$B$8))</x:f>
        <x:v>#NAME?</x:v>
      </x:c>
      <x:c r="J91" s="27" t="e">
        <x:f>IF($A91="","",IF(대장!K45="","",대장!K45))</x:f>
        <x:v>#NAME?</x:v>
      </x:c>
    </x:row>
    <x:row r="92" ht="42" customHeight="1">
      <x:c r="A92" s="47" t="e">
        <x:f>IF(AND(대장!A45&lt;&gt;"",ISNUMBER(대장!F45),ISNUMBER(대장!G45),대장!G45&gt;=대장!F45,대장!H45&lt;&gt;""),대장!G45,"")</x:f>
        <x:v>#NAME?</x:v>
      </x:c>
      <x:c r="B92" s="27" t="e">
        <x:f>IF($A92="","",IF(발령대장_설정!$B$4="","",발령대장_설정!$B$4))</x:f>
        <x:v>#NAME?</x:v>
      </x:c>
      <x:c r="C92" s="27" t="e">
        <x:f>IF($A92="","",대장!D45)</x:f>
        <x:v>#NAME?</x:v>
      </x:c>
      <x:c r="D92" s="27" t="e">
        <x:f>IF($A92="","",대장!A45)</x:f>
        <x:v>#NAME?</x:v>
      </x:c>
      <x:c r="E92" s="27" t="e">
        <x:f>IF($A92="","",IF(OR(ISNUMBER(SEARCH("계약만료",대장!H45&amp;"")),ISNUMBER(SEARCH("기간만료",대장!H45&amp;""))),"계약기간 만료로 퇴직",IF(ISNUMBER(SEARCH("의원면직",대장!H45&amp;"")),"의원면직",IF(ISNUMBER(SEARCH("정년퇴직",대장!H45&amp;"")),"정년퇴직",대장!H45))))</x:f>
        <x:v>#NAME?</x:v>
      </x:c>
      <x:c r="F92" s="27" t="e">
        <x:f>IF($A92="","",IF(발령대장_설정!$B$5="","",발령대장_설정!$B$5))</x:f>
        <x:v>#NAME?</x:v>
      </x:c>
      <x:c r="G92" s="27" t="e">
        <x:f>IF($A92="","",IF(발령대장_설정!$B$6="","",발령대장_설정!$B$6))</x:f>
        <x:v>#NAME?</x:v>
      </x:c>
      <x:c r="H92" s="27" t="e">
        <x:f>IF($A92="","",IF(발령대장_설정!$B$7="","",발령대장_설정!$B$7))</x:f>
        <x:v>#NAME?</x:v>
      </x:c>
      <x:c r="I92" s="27" t="e">
        <x:f>IF($A92="","",IF(발령대장_설정!$B$8="","",발령대장_설정!$B$8))</x:f>
        <x:v>#NAME?</x:v>
      </x:c>
      <x:c r="J92" s="27" t="str">
        <x:f>""</x:f>
      </x:c>
    </x:row>
    <x:row r="93" ht="42" customHeight="1">
      <x:c r="A93" s="47" t="e">
        <x:f>IF(AND(대장!A46&lt;&gt;"",ISNUMBER(대장!F46),OR(대장!G46="",AND(ISNUMBER(대장!G46),대장!G46&gt;=대장!F46))),대장!F46,"")</x:f>
        <x:v>#NAME?</x:v>
      </x:c>
      <x:c r="B93" s="27" t="e">
        <x:f>IF($A93="","",IF(발령대장_설정!$B$4="","",발령대장_설정!$B$4))</x:f>
        <x:v>#NAME?</x:v>
      </x:c>
      <x:c r="C93" s="27" t="e">
        <x:f>IF($A93="","",대장!D46)</x:f>
        <x:v>#NAME?</x:v>
      </x:c>
      <x:c r="D93" s="27" t="e">
        <x:f>IF($A93="","",대장!A46)</x:f>
        <x:v>#NAME?</x:v>
      </x:c>
      <x:c r="E93" s="27" t="e">
        <x:f>IF($A93="","",IF(대장!J46&lt;&gt;"",대장!J46,대장!D46&amp;"에 임함"&amp;IF(대장!E46="","",CHAR(10)&amp;"고용형태: "&amp;대장!E46)&amp;IF(대장!I46="","",CHAR(10)&amp;"소정근로시간: "&amp;대장!I46)&amp;CHAR(10)&amp;"근로기간: "&amp;YEAR(대장!F46)&amp;"."&amp;MONTH(대장!F46)&amp;"."&amp;DAY(대장!F46)&amp;"."&amp;" ~ "&amp;IF(ISNUMBER(대장!G46),YEAR(대장!G46)&amp;"."&amp;MONTH(대장!G46)&amp;"."&amp;DAY(대장!G46)&amp;".","재직 중")))</x:f>
        <x:v>#NAME?</x:v>
      </x:c>
      <x:c r="F93" s="27" t="e">
        <x:f>IF($A93="","",IF(발령대장_설정!$B$5="","",발령대장_설정!$B$5))</x:f>
        <x:v>#NAME?</x:v>
      </x:c>
      <x:c r="G93" s="27" t="e">
        <x:f>IF($A93="","",IF(발령대장_설정!$B$6="","",발령대장_설정!$B$6))</x:f>
        <x:v>#NAME?</x:v>
      </x:c>
      <x:c r="H93" s="27" t="e">
        <x:f>IF($A93="","",IF(발령대장_설정!$B$7="","",발령대장_설정!$B$7))</x:f>
        <x:v>#NAME?</x:v>
      </x:c>
      <x:c r="I93" s="27" t="e">
        <x:f>IF($A93="","",IF(발령대장_설정!$B$8="","",발령대장_설정!$B$8))</x:f>
        <x:v>#NAME?</x:v>
      </x:c>
      <x:c r="J93" s="27" t="e">
        <x:f>IF($A93="","",IF(대장!K46="","",대장!K46))</x:f>
        <x:v>#NAME?</x:v>
      </x:c>
    </x:row>
    <x:row r="94" ht="42" customHeight="1">
      <x:c r="A94" s="47" t="e">
        <x:f>IF(AND(대장!A46&lt;&gt;"",ISNUMBER(대장!F46),ISNUMBER(대장!G46),대장!G46&gt;=대장!F46,대장!H46&lt;&gt;""),대장!G46,"")</x:f>
        <x:v>#NAME?</x:v>
      </x:c>
      <x:c r="B94" s="27" t="e">
        <x:f>IF($A94="","",IF(발령대장_설정!$B$4="","",발령대장_설정!$B$4))</x:f>
        <x:v>#NAME?</x:v>
      </x:c>
      <x:c r="C94" s="27" t="e">
        <x:f>IF($A94="","",대장!D46)</x:f>
        <x:v>#NAME?</x:v>
      </x:c>
      <x:c r="D94" s="27" t="e">
        <x:f>IF($A94="","",대장!A46)</x:f>
        <x:v>#NAME?</x:v>
      </x:c>
      <x:c r="E94" s="27" t="e">
        <x:f>IF($A94="","",IF(OR(ISNUMBER(SEARCH("계약만료",대장!H46&amp;"")),ISNUMBER(SEARCH("기간만료",대장!H46&amp;""))),"계약기간 만료로 퇴직",IF(ISNUMBER(SEARCH("의원면직",대장!H46&amp;"")),"의원면직",IF(ISNUMBER(SEARCH("정년퇴직",대장!H46&amp;"")),"정년퇴직",대장!H46))))</x:f>
        <x:v>#NAME?</x:v>
      </x:c>
      <x:c r="F94" s="27" t="e">
        <x:f>IF($A94="","",IF(발령대장_설정!$B$5="","",발령대장_설정!$B$5))</x:f>
        <x:v>#NAME?</x:v>
      </x:c>
      <x:c r="G94" s="27" t="e">
        <x:f>IF($A94="","",IF(발령대장_설정!$B$6="","",발령대장_설정!$B$6))</x:f>
        <x:v>#NAME?</x:v>
      </x:c>
      <x:c r="H94" s="27" t="e">
        <x:f>IF($A94="","",IF(발령대장_설정!$B$7="","",발령대장_설정!$B$7))</x:f>
        <x:v>#NAME?</x:v>
      </x:c>
      <x:c r="I94" s="27" t="e">
        <x:f>IF($A94="","",IF(발령대장_설정!$B$8="","",발령대장_설정!$B$8))</x:f>
        <x:v>#NAME?</x:v>
      </x:c>
      <x:c r="J94" s="27" t="str">
        <x:f>""</x:f>
      </x:c>
    </x:row>
    <x:row r="95" ht="42" customHeight="1">
      <x:c r="A95" s="47" t="e">
        <x:f>IF(AND(대장!A47&lt;&gt;"",ISNUMBER(대장!F47),OR(대장!G47="",AND(ISNUMBER(대장!G47),대장!G47&gt;=대장!F47))),대장!F47,"")</x:f>
        <x:v>#NAME?</x:v>
      </x:c>
      <x:c r="B95" s="27" t="e">
        <x:f>IF($A95="","",IF(발령대장_설정!$B$4="","",발령대장_설정!$B$4))</x:f>
        <x:v>#NAME?</x:v>
      </x:c>
      <x:c r="C95" s="27" t="e">
        <x:f>IF($A95="","",대장!D47)</x:f>
        <x:v>#NAME?</x:v>
      </x:c>
      <x:c r="D95" s="27" t="e">
        <x:f>IF($A95="","",대장!A47)</x:f>
        <x:v>#NAME?</x:v>
      </x:c>
      <x:c r="E95" s="27" t="e">
        <x:f>IF($A95="","",IF(대장!J47&lt;&gt;"",대장!J47,대장!D47&amp;"에 임함"&amp;IF(대장!E47="","",CHAR(10)&amp;"고용형태: "&amp;대장!E47)&amp;IF(대장!I47="","",CHAR(10)&amp;"소정근로시간: "&amp;대장!I47)&amp;CHAR(10)&amp;"근로기간: "&amp;YEAR(대장!F47)&amp;"."&amp;MONTH(대장!F47)&amp;"."&amp;DAY(대장!F47)&amp;"."&amp;" ~ "&amp;IF(ISNUMBER(대장!G47),YEAR(대장!G47)&amp;"."&amp;MONTH(대장!G47)&amp;"."&amp;DAY(대장!G47)&amp;".","재직 중")))</x:f>
        <x:v>#NAME?</x:v>
      </x:c>
      <x:c r="F95" s="27" t="e">
        <x:f>IF($A95="","",IF(발령대장_설정!$B$5="","",발령대장_설정!$B$5))</x:f>
        <x:v>#NAME?</x:v>
      </x:c>
      <x:c r="G95" s="27" t="e">
        <x:f>IF($A95="","",IF(발령대장_설정!$B$6="","",발령대장_설정!$B$6))</x:f>
        <x:v>#NAME?</x:v>
      </x:c>
      <x:c r="H95" s="27" t="e">
        <x:f>IF($A95="","",IF(발령대장_설정!$B$7="","",발령대장_설정!$B$7))</x:f>
        <x:v>#NAME?</x:v>
      </x:c>
      <x:c r="I95" s="27" t="e">
        <x:f>IF($A95="","",IF(발령대장_설정!$B$8="","",발령대장_설정!$B$8))</x:f>
        <x:v>#NAME?</x:v>
      </x:c>
      <x:c r="J95" s="27" t="e">
        <x:f>IF($A95="","",IF(대장!K47="","",대장!K47))</x:f>
        <x:v>#NAME?</x:v>
      </x:c>
    </x:row>
    <x:row r="96" ht="42" customHeight="1">
      <x:c r="A96" s="47" t="e">
        <x:f>IF(AND(대장!A47&lt;&gt;"",ISNUMBER(대장!F47),ISNUMBER(대장!G47),대장!G47&gt;=대장!F47,대장!H47&lt;&gt;""),대장!G47,"")</x:f>
        <x:v>#NAME?</x:v>
      </x:c>
      <x:c r="B96" s="27" t="e">
        <x:f>IF($A96="","",IF(발령대장_설정!$B$4="","",발령대장_설정!$B$4))</x:f>
        <x:v>#NAME?</x:v>
      </x:c>
      <x:c r="C96" s="27" t="e">
        <x:f>IF($A96="","",대장!D47)</x:f>
        <x:v>#NAME?</x:v>
      </x:c>
      <x:c r="D96" s="27" t="e">
        <x:f>IF($A96="","",대장!A47)</x:f>
        <x:v>#NAME?</x:v>
      </x:c>
      <x:c r="E96" s="27" t="e">
        <x:f>IF($A96="","",IF(OR(ISNUMBER(SEARCH("계약만료",대장!H47&amp;"")),ISNUMBER(SEARCH("기간만료",대장!H47&amp;""))),"계약기간 만료로 퇴직",IF(ISNUMBER(SEARCH("의원면직",대장!H47&amp;"")),"의원면직",IF(ISNUMBER(SEARCH("정년퇴직",대장!H47&amp;"")),"정년퇴직",대장!H47))))</x:f>
        <x:v>#NAME?</x:v>
      </x:c>
      <x:c r="F96" s="27" t="e">
        <x:f>IF($A96="","",IF(발령대장_설정!$B$5="","",발령대장_설정!$B$5))</x:f>
        <x:v>#NAME?</x:v>
      </x:c>
      <x:c r="G96" s="27" t="e">
        <x:f>IF($A96="","",IF(발령대장_설정!$B$6="","",발령대장_설정!$B$6))</x:f>
        <x:v>#NAME?</x:v>
      </x:c>
      <x:c r="H96" s="27" t="e">
        <x:f>IF($A96="","",IF(발령대장_설정!$B$7="","",발령대장_설정!$B$7))</x:f>
        <x:v>#NAME?</x:v>
      </x:c>
      <x:c r="I96" s="27" t="e">
        <x:f>IF($A96="","",IF(발령대장_설정!$B$8="","",발령대장_설정!$B$8))</x:f>
        <x:v>#NAME?</x:v>
      </x:c>
      <x:c r="J96" s="27" t="str">
        <x:f>""</x:f>
      </x:c>
    </x:row>
    <x:row r="97" ht="42" customHeight="1">
      <x:c r="A97" s="47" t="e">
        <x:f>IF(AND(대장!A48&lt;&gt;"",ISNUMBER(대장!F48),OR(대장!G48="",AND(ISNUMBER(대장!G48),대장!G48&gt;=대장!F48))),대장!F48,"")</x:f>
        <x:v>#NAME?</x:v>
      </x:c>
      <x:c r="B97" s="27" t="e">
        <x:f>IF($A97="","",IF(발령대장_설정!$B$4="","",발령대장_설정!$B$4))</x:f>
        <x:v>#NAME?</x:v>
      </x:c>
      <x:c r="C97" s="27" t="e">
        <x:f>IF($A97="","",대장!D48)</x:f>
        <x:v>#NAME?</x:v>
      </x:c>
      <x:c r="D97" s="27" t="e">
        <x:f>IF($A97="","",대장!A48)</x:f>
        <x:v>#NAME?</x:v>
      </x:c>
      <x:c r="E97" s="27" t="e">
        <x:f>IF($A97="","",IF(대장!J48&lt;&gt;"",대장!J48,대장!D48&amp;"에 임함"&amp;IF(대장!E48="","",CHAR(10)&amp;"고용형태: "&amp;대장!E48)&amp;IF(대장!I48="","",CHAR(10)&amp;"소정근로시간: "&amp;대장!I48)&amp;CHAR(10)&amp;"근로기간: "&amp;YEAR(대장!F48)&amp;"."&amp;MONTH(대장!F48)&amp;"."&amp;DAY(대장!F48)&amp;"."&amp;" ~ "&amp;IF(ISNUMBER(대장!G48),YEAR(대장!G48)&amp;"."&amp;MONTH(대장!G48)&amp;"."&amp;DAY(대장!G48)&amp;".","재직 중")))</x:f>
        <x:v>#NAME?</x:v>
      </x:c>
      <x:c r="F97" s="27" t="e">
        <x:f>IF($A97="","",IF(발령대장_설정!$B$5="","",발령대장_설정!$B$5))</x:f>
        <x:v>#NAME?</x:v>
      </x:c>
      <x:c r="G97" s="27" t="e">
        <x:f>IF($A97="","",IF(발령대장_설정!$B$6="","",발령대장_설정!$B$6))</x:f>
        <x:v>#NAME?</x:v>
      </x:c>
      <x:c r="H97" s="27" t="e">
        <x:f>IF($A97="","",IF(발령대장_설정!$B$7="","",발령대장_설정!$B$7))</x:f>
        <x:v>#NAME?</x:v>
      </x:c>
      <x:c r="I97" s="27" t="e">
        <x:f>IF($A97="","",IF(발령대장_설정!$B$8="","",발령대장_설정!$B$8))</x:f>
        <x:v>#NAME?</x:v>
      </x:c>
      <x:c r="J97" s="27" t="e">
        <x:f>IF($A97="","",IF(대장!K48="","",대장!K48))</x:f>
        <x:v>#NAME?</x:v>
      </x:c>
    </x:row>
    <x:row r="98" ht="42" customHeight="1">
      <x:c r="A98" s="47" t="e">
        <x:f>IF(AND(대장!A48&lt;&gt;"",ISNUMBER(대장!F48),ISNUMBER(대장!G48),대장!G48&gt;=대장!F48,대장!H48&lt;&gt;""),대장!G48,"")</x:f>
        <x:v>#NAME?</x:v>
      </x:c>
      <x:c r="B98" s="27" t="e">
        <x:f>IF($A98="","",IF(발령대장_설정!$B$4="","",발령대장_설정!$B$4))</x:f>
        <x:v>#NAME?</x:v>
      </x:c>
      <x:c r="C98" s="27" t="e">
        <x:f>IF($A98="","",대장!D48)</x:f>
        <x:v>#NAME?</x:v>
      </x:c>
      <x:c r="D98" s="27" t="e">
        <x:f>IF($A98="","",대장!A48)</x:f>
        <x:v>#NAME?</x:v>
      </x:c>
      <x:c r="E98" s="27" t="e">
        <x:f>IF($A98="","",IF(OR(ISNUMBER(SEARCH("계약만료",대장!H48&amp;"")),ISNUMBER(SEARCH("기간만료",대장!H48&amp;""))),"계약기간 만료로 퇴직",IF(ISNUMBER(SEARCH("의원면직",대장!H48&amp;"")),"의원면직",IF(ISNUMBER(SEARCH("정년퇴직",대장!H48&amp;"")),"정년퇴직",대장!H48))))</x:f>
        <x:v>#NAME?</x:v>
      </x:c>
      <x:c r="F98" s="27" t="e">
        <x:f>IF($A98="","",IF(발령대장_설정!$B$5="","",발령대장_설정!$B$5))</x:f>
        <x:v>#NAME?</x:v>
      </x:c>
      <x:c r="G98" s="27" t="e">
        <x:f>IF($A98="","",IF(발령대장_설정!$B$6="","",발령대장_설정!$B$6))</x:f>
        <x:v>#NAME?</x:v>
      </x:c>
      <x:c r="H98" s="27" t="e">
        <x:f>IF($A98="","",IF(발령대장_설정!$B$7="","",발령대장_설정!$B$7))</x:f>
        <x:v>#NAME?</x:v>
      </x:c>
      <x:c r="I98" s="27" t="e">
        <x:f>IF($A98="","",IF(발령대장_설정!$B$8="","",발령대장_설정!$B$8))</x:f>
        <x:v>#NAME?</x:v>
      </x:c>
      <x:c r="J98" s="27" t="str">
        <x:f>""</x:f>
      </x:c>
    </x:row>
    <x:row r="99" ht="42" customHeight="1">
      <x:c r="A99" s="47" t="e">
        <x:f>IF(AND(대장!A49&lt;&gt;"",ISNUMBER(대장!F49),OR(대장!G49="",AND(ISNUMBER(대장!G49),대장!G49&gt;=대장!F49))),대장!F49,"")</x:f>
        <x:v>#NAME?</x:v>
      </x:c>
      <x:c r="B99" s="27" t="e">
        <x:f>IF($A99="","",IF(발령대장_설정!$B$4="","",발령대장_설정!$B$4))</x:f>
        <x:v>#NAME?</x:v>
      </x:c>
      <x:c r="C99" s="27" t="e">
        <x:f>IF($A99="","",대장!D49)</x:f>
        <x:v>#NAME?</x:v>
      </x:c>
      <x:c r="D99" s="27" t="e">
        <x:f>IF($A99="","",대장!A49)</x:f>
        <x:v>#NAME?</x:v>
      </x:c>
      <x:c r="E99" s="27" t="e">
        <x:f>IF($A99="","",IF(대장!J49&lt;&gt;"",대장!J49,대장!D49&amp;"에 임함"&amp;IF(대장!E49="","",CHAR(10)&amp;"고용형태: "&amp;대장!E49)&amp;IF(대장!I49="","",CHAR(10)&amp;"소정근로시간: "&amp;대장!I49)&amp;CHAR(10)&amp;"근로기간: "&amp;YEAR(대장!F49)&amp;"."&amp;MONTH(대장!F49)&amp;"."&amp;DAY(대장!F49)&amp;"."&amp;" ~ "&amp;IF(ISNUMBER(대장!G49),YEAR(대장!G49)&amp;"."&amp;MONTH(대장!G49)&amp;"."&amp;DAY(대장!G49)&amp;".","재직 중")))</x:f>
        <x:v>#NAME?</x:v>
      </x:c>
      <x:c r="F99" s="27" t="e">
        <x:f>IF($A99="","",IF(발령대장_설정!$B$5="","",발령대장_설정!$B$5))</x:f>
        <x:v>#NAME?</x:v>
      </x:c>
      <x:c r="G99" s="27" t="e">
        <x:f>IF($A99="","",IF(발령대장_설정!$B$6="","",발령대장_설정!$B$6))</x:f>
        <x:v>#NAME?</x:v>
      </x:c>
      <x:c r="H99" s="27" t="e">
        <x:f>IF($A99="","",IF(발령대장_설정!$B$7="","",발령대장_설정!$B$7))</x:f>
        <x:v>#NAME?</x:v>
      </x:c>
      <x:c r="I99" s="27" t="e">
        <x:f>IF($A99="","",IF(발령대장_설정!$B$8="","",발령대장_설정!$B$8))</x:f>
        <x:v>#NAME?</x:v>
      </x:c>
      <x:c r="J99" s="27" t="e">
        <x:f>IF($A99="","",IF(대장!K49="","",대장!K49))</x:f>
        <x:v>#NAME?</x:v>
      </x:c>
    </x:row>
    <x:row r="100" ht="42" customHeight="1">
      <x:c r="A100" s="47" t="e">
        <x:f>IF(AND(대장!A49&lt;&gt;"",ISNUMBER(대장!F49),ISNUMBER(대장!G49),대장!G49&gt;=대장!F49,대장!H49&lt;&gt;""),대장!G49,"")</x:f>
        <x:v>#NAME?</x:v>
      </x:c>
      <x:c r="B100" s="27" t="e">
        <x:f>IF($A100="","",IF(발령대장_설정!$B$4="","",발령대장_설정!$B$4))</x:f>
        <x:v>#NAME?</x:v>
      </x:c>
      <x:c r="C100" s="27" t="e">
        <x:f>IF($A100="","",대장!D49)</x:f>
        <x:v>#NAME?</x:v>
      </x:c>
      <x:c r="D100" s="27" t="e">
        <x:f>IF($A100="","",대장!A49)</x:f>
        <x:v>#NAME?</x:v>
      </x:c>
      <x:c r="E100" s="27" t="e">
        <x:f>IF($A100="","",IF(OR(ISNUMBER(SEARCH("계약만료",대장!H49&amp;"")),ISNUMBER(SEARCH("기간만료",대장!H49&amp;""))),"계약기간 만료로 퇴직",IF(ISNUMBER(SEARCH("의원면직",대장!H49&amp;"")),"의원면직",IF(ISNUMBER(SEARCH("정년퇴직",대장!H49&amp;"")),"정년퇴직",대장!H49))))</x:f>
        <x:v>#NAME?</x:v>
      </x:c>
      <x:c r="F100" s="27" t="e">
        <x:f>IF($A100="","",IF(발령대장_설정!$B$5="","",발령대장_설정!$B$5))</x:f>
        <x:v>#NAME?</x:v>
      </x:c>
      <x:c r="G100" s="27" t="e">
        <x:f>IF($A100="","",IF(발령대장_설정!$B$6="","",발령대장_설정!$B$6))</x:f>
        <x:v>#NAME?</x:v>
      </x:c>
      <x:c r="H100" s="27" t="e">
        <x:f>IF($A100="","",IF(발령대장_설정!$B$7="","",발령대장_설정!$B$7))</x:f>
        <x:v>#NAME?</x:v>
      </x:c>
      <x:c r="I100" s="27" t="e">
        <x:f>IF($A100="","",IF(발령대장_설정!$B$8="","",발령대장_설정!$B$8))</x:f>
        <x:v>#NAME?</x:v>
      </x:c>
      <x:c r="J100" s="27" t="str">
        <x:f>""</x:f>
      </x:c>
    </x:row>
    <x:row r="101" ht="42" customHeight="1">
      <x:c r="A101" s="47" t="e">
        <x:f>IF(AND(대장!A50&lt;&gt;"",ISNUMBER(대장!F50),OR(대장!G50="",AND(ISNUMBER(대장!G50),대장!G50&gt;=대장!F50))),대장!F50,"")</x:f>
        <x:v>#NAME?</x:v>
      </x:c>
      <x:c r="B101" s="27" t="e">
        <x:f>IF($A101="","",IF(발령대장_설정!$B$4="","",발령대장_설정!$B$4))</x:f>
        <x:v>#NAME?</x:v>
      </x:c>
      <x:c r="C101" s="27" t="e">
        <x:f>IF($A101="","",대장!D50)</x:f>
        <x:v>#NAME?</x:v>
      </x:c>
      <x:c r="D101" s="27" t="e">
        <x:f>IF($A101="","",대장!A50)</x:f>
        <x:v>#NAME?</x:v>
      </x:c>
      <x:c r="E101" s="27" t="e">
        <x:f>IF($A101="","",IF(대장!J50&lt;&gt;"",대장!J50,대장!D50&amp;"에 임함"&amp;IF(대장!E50="","",CHAR(10)&amp;"고용형태: "&amp;대장!E50)&amp;IF(대장!I50="","",CHAR(10)&amp;"소정근로시간: "&amp;대장!I50)&amp;CHAR(10)&amp;"근로기간: "&amp;YEAR(대장!F50)&amp;"."&amp;MONTH(대장!F50)&amp;"."&amp;DAY(대장!F50)&amp;"."&amp;" ~ "&amp;IF(ISNUMBER(대장!G50),YEAR(대장!G50)&amp;"."&amp;MONTH(대장!G50)&amp;"."&amp;DAY(대장!G50)&amp;".","재직 중")))</x:f>
        <x:v>#NAME?</x:v>
      </x:c>
      <x:c r="F101" s="27" t="e">
        <x:f>IF($A101="","",IF(발령대장_설정!$B$5="","",발령대장_설정!$B$5))</x:f>
        <x:v>#NAME?</x:v>
      </x:c>
      <x:c r="G101" s="27" t="e">
        <x:f>IF($A101="","",IF(발령대장_설정!$B$6="","",발령대장_설정!$B$6))</x:f>
        <x:v>#NAME?</x:v>
      </x:c>
      <x:c r="H101" s="27" t="e">
        <x:f>IF($A101="","",IF(발령대장_설정!$B$7="","",발령대장_설정!$B$7))</x:f>
        <x:v>#NAME?</x:v>
      </x:c>
      <x:c r="I101" s="27" t="e">
        <x:f>IF($A101="","",IF(발령대장_설정!$B$8="","",발령대장_설정!$B$8))</x:f>
        <x:v>#NAME?</x:v>
      </x:c>
      <x:c r="J101" s="27" t="e">
        <x:f>IF($A101="","",IF(대장!K50="","",대장!K50))</x:f>
        <x:v>#NAME?</x:v>
      </x:c>
    </x:row>
    <x:row r="102" ht="42" customHeight="1">
      <x:c r="A102" s="47" t="e">
        <x:f>IF(AND(대장!A50&lt;&gt;"",ISNUMBER(대장!F50),ISNUMBER(대장!G50),대장!G50&gt;=대장!F50,대장!H50&lt;&gt;""),대장!G50,"")</x:f>
        <x:v>#NAME?</x:v>
      </x:c>
      <x:c r="B102" s="27" t="e">
        <x:f>IF($A102="","",IF(발령대장_설정!$B$4="","",발령대장_설정!$B$4))</x:f>
        <x:v>#NAME?</x:v>
      </x:c>
      <x:c r="C102" s="27" t="e">
        <x:f>IF($A102="","",대장!D50)</x:f>
        <x:v>#NAME?</x:v>
      </x:c>
      <x:c r="D102" s="27" t="e">
        <x:f>IF($A102="","",대장!A50)</x:f>
        <x:v>#NAME?</x:v>
      </x:c>
      <x:c r="E102" s="27" t="e">
        <x:f>IF($A102="","",IF(OR(ISNUMBER(SEARCH("계약만료",대장!H50&amp;"")),ISNUMBER(SEARCH("기간만료",대장!H50&amp;""))),"계약기간 만료로 퇴직",IF(ISNUMBER(SEARCH("의원면직",대장!H50&amp;"")),"의원면직",IF(ISNUMBER(SEARCH("정년퇴직",대장!H50&amp;"")),"정년퇴직",대장!H50))))</x:f>
        <x:v>#NAME?</x:v>
      </x:c>
      <x:c r="F102" s="27" t="e">
        <x:f>IF($A102="","",IF(발령대장_설정!$B$5="","",발령대장_설정!$B$5))</x:f>
        <x:v>#NAME?</x:v>
      </x:c>
      <x:c r="G102" s="27" t="e">
        <x:f>IF($A102="","",IF(발령대장_설정!$B$6="","",발령대장_설정!$B$6))</x:f>
        <x:v>#NAME?</x:v>
      </x:c>
      <x:c r="H102" s="27" t="e">
        <x:f>IF($A102="","",IF(발령대장_설정!$B$7="","",발령대장_설정!$B$7))</x:f>
        <x:v>#NAME?</x:v>
      </x:c>
      <x:c r="I102" s="27" t="e">
        <x:f>IF($A102="","",IF(발령대장_설정!$B$8="","",발령대장_설정!$B$8))</x:f>
        <x:v>#NAME?</x:v>
      </x:c>
      <x:c r="J102" s="27" t="str">
        <x:f>""</x:f>
      </x:c>
    </x:row>
    <x:row r="103" ht="42" customHeight="1">
      <x:c r="A103" s="47" t="e">
        <x:f>IF(AND(대장!A51&lt;&gt;"",ISNUMBER(대장!F51),OR(대장!G51="",AND(ISNUMBER(대장!G51),대장!G51&gt;=대장!F51))),대장!F51,"")</x:f>
        <x:v>#NAME?</x:v>
      </x:c>
      <x:c r="B103" s="27" t="e">
        <x:f>IF($A103="","",IF(발령대장_설정!$B$4="","",발령대장_설정!$B$4))</x:f>
        <x:v>#NAME?</x:v>
      </x:c>
      <x:c r="C103" s="27" t="e">
        <x:f>IF($A103="","",대장!D51)</x:f>
        <x:v>#NAME?</x:v>
      </x:c>
      <x:c r="D103" s="27" t="e">
        <x:f>IF($A103="","",대장!A51)</x:f>
        <x:v>#NAME?</x:v>
      </x:c>
      <x:c r="E103" s="27" t="e">
        <x:f>IF($A103="","",IF(대장!J51&lt;&gt;"",대장!J51,대장!D51&amp;"에 임함"&amp;IF(대장!E51="","",CHAR(10)&amp;"고용형태: "&amp;대장!E51)&amp;IF(대장!I51="","",CHAR(10)&amp;"소정근로시간: "&amp;대장!I51)&amp;CHAR(10)&amp;"근로기간: "&amp;YEAR(대장!F51)&amp;"."&amp;MONTH(대장!F51)&amp;"."&amp;DAY(대장!F51)&amp;"."&amp;" ~ "&amp;IF(ISNUMBER(대장!G51),YEAR(대장!G51)&amp;"."&amp;MONTH(대장!G51)&amp;"."&amp;DAY(대장!G51)&amp;".","재직 중")))</x:f>
        <x:v>#NAME?</x:v>
      </x:c>
      <x:c r="F103" s="27" t="e">
        <x:f>IF($A103="","",IF(발령대장_설정!$B$5="","",발령대장_설정!$B$5))</x:f>
        <x:v>#NAME?</x:v>
      </x:c>
      <x:c r="G103" s="27" t="e">
        <x:f>IF($A103="","",IF(발령대장_설정!$B$6="","",발령대장_설정!$B$6))</x:f>
        <x:v>#NAME?</x:v>
      </x:c>
      <x:c r="H103" s="27" t="e">
        <x:f>IF($A103="","",IF(발령대장_설정!$B$7="","",발령대장_설정!$B$7))</x:f>
        <x:v>#NAME?</x:v>
      </x:c>
      <x:c r="I103" s="27" t="e">
        <x:f>IF($A103="","",IF(발령대장_설정!$B$8="","",발령대장_설정!$B$8))</x:f>
        <x:v>#NAME?</x:v>
      </x:c>
      <x:c r="J103" s="27" t="e">
        <x:f>IF($A103="","",IF(대장!K51="","",대장!K51))</x:f>
        <x:v>#NAME?</x:v>
      </x:c>
    </x:row>
    <x:row r="104" ht="42" customHeight="1">
      <x:c r="A104" s="47" t="e">
        <x:f>IF(AND(대장!A51&lt;&gt;"",ISNUMBER(대장!F51),ISNUMBER(대장!G51),대장!G51&gt;=대장!F51,대장!H51&lt;&gt;""),대장!G51,"")</x:f>
        <x:v>#NAME?</x:v>
      </x:c>
      <x:c r="B104" s="27" t="e">
        <x:f>IF($A104="","",IF(발령대장_설정!$B$4="","",발령대장_설정!$B$4))</x:f>
        <x:v>#NAME?</x:v>
      </x:c>
      <x:c r="C104" s="27" t="e">
        <x:f>IF($A104="","",대장!D51)</x:f>
        <x:v>#NAME?</x:v>
      </x:c>
      <x:c r="D104" s="27" t="e">
        <x:f>IF($A104="","",대장!A51)</x:f>
        <x:v>#NAME?</x:v>
      </x:c>
      <x:c r="E104" s="27" t="e">
        <x:f>IF($A104="","",IF(OR(ISNUMBER(SEARCH("계약만료",대장!H51&amp;"")),ISNUMBER(SEARCH("기간만료",대장!H51&amp;""))),"계약기간 만료로 퇴직",IF(ISNUMBER(SEARCH("의원면직",대장!H51&amp;"")),"의원면직",IF(ISNUMBER(SEARCH("정년퇴직",대장!H51&amp;"")),"정년퇴직",대장!H51))))</x:f>
        <x:v>#NAME?</x:v>
      </x:c>
      <x:c r="F104" s="27" t="e">
        <x:f>IF($A104="","",IF(발령대장_설정!$B$5="","",발령대장_설정!$B$5))</x:f>
        <x:v>#NAME?</x:v>
      </x:c>
      <x:c r="G104" s="27" t="e">
        <x:f>IF($A104="","",IF(발령대장_설정!$B$6="","",발령대장_설정!$B$6))</x:f>
        <x:v>#NAME?</x:v>
      </x:c>
      <x:c r="H104" s="27" t="e">
        <x:f>IF($A104="","",IF(발령대장_설정!$B$7="","",발령대장_설정!$B$7))</x:f>
        <x:v>#NAME?</x:v>
      </x:c>
      <x:c r="I104" s="27" t="e">
        <x:f>IF($A104="","",IF(발령대장_설정!$B$8="","",발령대장_설정!$B$8))</x:f>
        <x:v>#NAME?</x:v>
      </x:c>
      <x:c r="J104" s="27" t="str">
        <x:f>""</x:f>
      </x:c>
    </x:row>
    <x:row r="105" ht="42" customHeight="1">
      <x:c r="A105" s="47" t="e">
        <x:f>IF(AND(대장!A52&lt;&gt;"",ISNUMBER(대장!F52),OR(대장!G52="",AND(ISNUMBER(대장!G52),대장!G52&gt;=대장!F52))),대장!F52,"")</x:f>
        <x:v>#NAME?</x:v>
      </x:c>
      <x:c r="B105" s="27" t="e">
        <x:f>IF($A105="","",IF(발령대장_설정!$B$4="","",발령대장_설정!$B$4))</x:f>
        <x:v>#NAME?</x:v>
      </x:c>
      <x:c r="C105" s="27" t="e">
        <x:f>IF($A105="","",대장!D52)</x:f>
        <x:v>#NAME?</x:v>
      </x:c>
      <x:c r="D105" s="27" t="e">
        <x:f>IF($A105="","",대장!A52)</x:f>
        <x:v>#NAME?</x:v>
      </x:c>
      <x:c r="E105" s="27" t="e">
        <x:f>IF($A105="","",IF(대장!J52&lt;&gt;"",대장!J52,대장!D52&amp;"에 임함"&amp;IF(대장!E52="","",CHAR(10)&amp;"고용형태: "&amp;대장!E52)&amp;IF(대장!I52="","",CHAR(10)&amp;"소정근로시간: "&amp;대장!I52)&amp;CHAR(10)&amp;"근로기간: "&amp;YEAR(대장!F52)&amp;"."&amp;MONTH(대장!F52)&amp;"."&amp;DAY(대장!F52)&amp;"."&amp;" ~ "&amp;IF(ISNUMBER(대장!G52),YEAR(대장!G52)&amp;"."&amp;MONTH(대장!G52)&amp;"."&amp;DAY(대장!G52)&amp;".","재직 중")))</x:f>
        <x:v>#NAME?</x:v>
      </x:c>
      <x:c r="F105" s="27" t="e">
        <x:f>IF($A105="","",IF(발령대장_설정!$B$5="","",발령대장_설정!$B$5))</x:f>
        <x:v>#NAME?</x:v>
      </x:c>
      <x:c r="G105" s="27" t="e">
        <x:f>IF($A105="","",IF(발령대장_설정!$B$6="","",발령대장_설정!$B$6))</x:f>
        <x:v>#NAME?</x:v>
      </x:c>
      <x:c r="H105" s="27" t="e">
        <x:f>IF($A105="","",IF(발령대장_설정!$B$7="","",발령대장_설정!$B$7))</x:f>
        <x:v>#NAME?</x:v>
      </x:c>
      <x:c r="I105" s="27" t="e">
        <x:f>IF($A105="","",IF(발령대장_설정!$B$8="","",발령대장_설정!$B$8))</x:f>
        <x:v>#NAME?</x:v>
      </x:c>
      <x:c r="J105" s="27" t="e">
        <x:f>IF($A105="","",IF(대장!K52="","",대장!K52))</x:f>
        <x:v>#NAME?</x:v>
      </x:c>
    </x:row>
    <x:row r="106" ht="42" customHeight="1">
      <x:c r="A106" s="47" t="e">
        <x:f>IF(AND(대장!A52&lt;&gt;"",ISNUMBER(대장!F52),ISNUMBER(대장!G52),대장!G52&gt;=대장!F52,대장!H52&lt;&gt;""),대장!G52,"")</x:f>
        <x:v>#NAME?</x:v>
      </x:c>
      <x:c r="B106" s="27" t="e">
        <x:f>IF($A106="","",IF(발령대장_설정!$B$4="","",발령대장_설정!$B$4))</x:f>
        <x:v>#NAME?</x:v>
      </x:c>
      <x:c r="C106" s="27" t="e">
        <x:f>IF($A106="","",대장!D52)</x:f>
        <x:v>#NAME?</x:v>
      </x:c>
      <x:c r="D106" s="27" t="e">
        <x:f>IF($A106="","",대장!A52)</x:f>
        <x:v>#NAME?</x:v>
      </x:c>
      <x:c r="E106" s="27" t="e">
        <x:f>IF($A106="","",IF(OR(ISNUMBER(SEARCH("계약만료",대장!H52&amp;"")),ISNUMBER(SEARCH("기간만료",대장!H52&amp;""))),"계약기간 만료로 퇴직",IF(ISNUMBER(SEARCH("의원면직",대장!H52&amp;"")),"의원면직",IF(ISNUMBER(SEARCH("정년퇴직",대장!H52&amp;"")),"정년퇴직",대장!H52))))</x:f>
        <x:v>#NAME?</x:v>
      </x:c>
      <x:c r="F106" s="27" t="e">
        <x:f>IF($A106="","",IF(발령대장_설정!$B$5="","",발령대장_설정!$B$5))</x:f>
        <x:v>#NAME?</x:v>
      </x:c>
      <x:c r="G106" s="27" t="e">
        <x:f>IF($A106="","",IF(발령대장_설정!$B$6="","",발령대장_설정!$B$6))</x:f>
        <x:v>#NAME?</x:v>
      </x:c>
      <x:c r="H106" s="27" t="e">
        <x:f>IF($A106="","",IF(발령대장_설정!$B$7="","",발령대장_설정!$B$7))</x:f>
        <x:v>#NAME?</x:v>
      </x:c>
      <x:c r="I106" s="27" t="e">
        <x:f>IF($A106="","",IF(발령대장_설정!$B$8="","",발령대장_설정!$B$8))</x:f>
        <x:v>#NAME?</x:v>
      </x:c>
      <x:c r="J106" s="27" t="str">
        <x:f>""</x:f>
      </x:c>
    </x:row>
    <x:row r="107" ht="42" customHeight="1">
      <x:c r="A107" s="47" t="e">
        <x:f>IF(AND(대장!A53&lt;&gt;"",ISNUMBER(대장!F53),OR(대장!G53="",AND(ISNUMBER(대장!G53),대장!G53&gt;=대장!F53))),대장!F53,"")</x:f>
        <x:v>#NAME?</x:v>
      </x:c>
      <x:c r="B107" s="27" t="e">
        <x:f>IF($A107="","",IF(발령대장_설정!$B$4="","",발령대장_설정!$B$4))</x:f>
        <x:v>#NAME?</x:v>
      </x:c>
      <x:c r="C107" s="27" t="e">
        <x:f>IF($A107="","",대장!D53)</x:f>
        <x:v>#NAME?</x:v>
      </x:c>
      <x:c r="D107" s="27" t="e">
        <x:f>IF($A107="","",대장!A53)</x:f>
        <x:v>#NAME?</x:v>
      </x:c>
      <x:c r="E107" s="27" t="e">
        <x:f>IF($A107="","",IF(대장!J53&lt;&gt;"",대장!J53,대장!D53&amp;"에 임함"&amp;IF(대장!E53="","",CHAR(10)&amp;"고용형태: "&amp;대장!E53)&amp;IF(대장!I53="","",CHAR(10)&amp;"소정근로시간: "&amp;대장!I53)&amp;CHAR(10)&amp;"근로기간: "&amp;YEAR(대장!F53)&amp;"."&amp;MONTH(대장!F53)&amp;"."&amp;DAY(대장!F53)&amp;"."&amp;" ~ "&amp;IF(ISNUMBER(대장!G53),YEAR(대장!G53)&amp;"."&amp;MONTH(대장!G53)&amp;"."&amp;DAY(대장!G53)&amp;".","재직 중")))</x:f>
        <x:v>#NAME?</x:v>
      </x:c>
      <x:c r="F107" s="27" t="e">
        <x:f>IF($A107="","",IF(발령대장_설정!$B$5="","",발령대장_설정!$B$5))</x:f>
        <x:v>#NAME?</x:v>
      </x:c>
      <x:c r="G107" s="27" t="e">
        <x:f>IF($A107="","",IF(발령대장_설정!$B$6="","",발령대장_설정!$B$6))</x:f>
        <x:v>#NAME?</x:v>
      </x:c>
      <x:c r="H107" s="27" t="e">
        <x:f>IF($A107="","",IF(발령대장_설정!$B$7="","",발령대장_설정!$B$7))</x:f>
        <x:v>#NAME?</x:v>
      </x:c>
      <x:c r="I107" s="27" t="e">
        <x:f>IF($A107="","",IF(발령대장_설정!$B$8="","",발령대장_설정!$B$8))</x:f>
        <x:v>#NAME?</x:v>
      </x:c>
      <x:c r="J107" s="27" t="e">
        <x:f>IF($A107="","",IF(대장!K53="","",대장!K53))</x:f>
        <x:v>#NAME?</x:v>
      </x:c>
    </x:row>
    <x:row r="108" ht="42" customHeight="1">
      <x:c r="A108" s="47" t="e">
        <x:f>IF(AND(대장!A53&lt;&gt;"",ISNUMBER(대장!F53),ISNUMBER(대장!G53),대장!G53&gt;=대장!F53,대장!H53&lt;&gt;""),대장!G53,"")</x:f>
        <x:v>#NAME?</x:v>
      </x:c>
      <x:c r="B108" s="27" t="e">
        <x:f>IF($A108="","",IF(발령대장_설정!$B$4="","",발령대장_설정!$B$4))</x:f>
        <x:v>#NAME?</x:v>
      </x:c>
      <x:c r="C108" s="27" t="e">
        <x:f>IF($A108="","",대장!D53)</x:f>
        <x:v>#NAME?</x:v>
      </x:c>
      <x:c r="D108" s="27" t="e">
        <x:f>IF($A108="","",대장!A53)</x:f>
        <x:v>#NAME?</x:v>
      </x:c>
      <x:c r="E108" s="27" t="e">
        <x:f>IF($A108="","",IF(OR(ISNUMBER(SEARCH("계약만료",대장!H53&amp;"")),ISNUMBER(SEARCH("기간만료",대장!H53&amp;""))),"계약기간 만료로 퇴직",IF(ISNUMBER(SEARCH("의원면직",대장!H53&amp;"")),"의원면직",IF(ISNUMBER(SEARCH("정년퇴직",대장!H53&amp;"")),"정년퇴직",대장!H53))))</x:f>
        <x:v>#NAME?</x:v>
      </x:c>
      <x:c r="F108" s="27" t="e">
        <x:f>IF($A108="","",IF(발령대장_설정!$B$5="","",발령대장_설정!$B$5))</x:f>
        <x:v>#NAME?</x:v>
      </x:c>
      <x:c r="G108" s="27" t="e">
        <x:f>IF($A108="","",IF(발령대장_설정!$B$6="","",발령대장_설정!$B$6))</x:f>
        <x:v>#NAME?</x:v>
      </x:c>
      <x:c r="H108" s="27" t="e">
        <x:f>IF($A108="","",IF(발령대장_설정!$B$7="","",발령대장_설정!$B$7))</x:f>
        <x:v>#NAME?</x:v>
      </x:c>
      <x:c r="I108" s="27" t="e">
        <x:f>IF($A108="","",IF(발령대장_설정!$B$8="","",발령대장_설정!$B$8))</x:f>
        <x:v>#NAME?</x:v>
      </x:c>
      <x:c r="J108" s="27" t="str">
        <x:f>""</x:f>
      </x:c>
    </x:row>
    <x:row r="109" ht="42" customHeight="1">
      <x:c r="A109" s="47" t="e">
        <x:f>IF(AND(대장!A54&lt;&gt;"",ISNUMBER(대장!F54),OR(대장!G54="",AND(ISNUMBER(대장!G54),대장!G54&gt;=대장!F54))),대장!F54,"")</x:f>
        <x:v>#NAME?</x:v>
      </x:c>
      <x:c r="B109" s="27" t="e">
        <x:f>IF($A109="","",IF(발령대장_설정!$B$4="","",발령대장_설정!$B$4))</x:f>
        <x:v>#NAME?</x:v>
      </x:c>
      <x:c r="C109" s="27" t="e">
        <x:f>IF($A109="","",대장!D54)</x:f>
        <x:v>#NAME?</x:v>
      </x:c>
      <x:c r="D109" s="27" t="e">
        <x:f>IF($A109="","",대장!A54)</x:f>
        <x:v>#NAME?</x:v>
      </x:c>
      <x:c r="E109" s="27" t="e">
        <x:f>IF($A109="","",IF(대장!J54&lt;&gt;"",대장!J54,대장!D54&amp;"에 임함"&amp;IF(대장!E54="","",CHAR(10)&amp;"고용형태: "&amp;대장!E54)&amp;IF(대장!I54="","",CHAR(10)&amp;"소정근로시간: "&amp;대장!I54)&amp;CHAR(10)&amp;"근로기간: "&amp;YEAR(대장!F54)&amp;"."&amp;MONTH(대장!F54)&amp;"."&amp;DAY(대장!F54)&amp;"."&amp;" ~ "&amp;IF(ISNUMBER(대장!G54),YEAR(대장!G54)&amp;"."&amp;MONTH(대장!G54)&amp;"."&amp;DAY(대장!G54)&amp;".","재직 중")))</x:f>
        <x:v>#NAME?</x:v>
      </x:c>
      <x:c r="F109" s="27" t="e">
        <x:f>IF($A109="","",IF(발령대장_설정!$B$5="","",발령대장_설정!$B$5))</x:f>
        <x:v>#NAME?</x:v>
      </x:c>
      <x:c r="G109" s="27" t="e">
        <x:f>IF($A109="","",IF(발령대장_설정!$B$6="","",발령대장_설정!$B$6))</x:f>
        <x:v>#NAME?</x:v>
      </x:c>
      <x:c r="H109" s="27" t="e">
        <x:f>IF($A109="","",IF(발령대장_설정!$B$7="","",발령대장_설정!$B$7))</x:f>
        <x:v>#NAME?</x:v>
      </x:c>
      <x:c r="I109" s="27" t="e">
        <x:f>IF($A109="","",IF(발령대장_설정!$B$8="","",발령대장_설정!$B$8))</x:f>
        <x:v>#NAME?</x:v>
      </x:c>
      <x:c r="J109" s="27" t="e">
        <x:f>IF($A109="","",IF(대장!K54="","",대장!K54))</x:f>
        <x:v>#NAME?</x:v>
      </x:c>
    </x:row>
    <x:row r="110" ht="42" customHeight="1">
      <x:c r="A110" s="47" t="e">
        <x:f>IF(AND(대장!A54&lt;&gt;"",ISNUMBER(대장!F54),ISNUMBER(대장!G54),대장!G54&gt;=대장!F54,대장!H54&lt;&gt;""),대장!G54,"")</x:f>
        <x:v>#NAME?</x:v>
      </x:c>
      <x:c r="B110" s="27" t="e">
        <x:f>IF($A110="","",IF(발령대장_설정!$B$4="","",발령대장_설정!$B$4))</x:f>
        <x:v>#NAME?</x:v>
      </x:c>
      <x:c r="C110" s="27" t="e">
        <x:f>IF($A110="","",대장!D54)</x:f>
        <x:v>#NAME?</x:v>
      </x:c>
      <x:c r="D110" s="27" t="e">
        <x:f>IF($A110="","",대장!A54)</x:f>
        <x:v>#NAME?</x:v>
      </x:c>
      <x:c r="E110" s="27" t="e">
        <x:f>IF($A110="","",IF(OR(ISNUMBER(SEARCH("계약만료",대장!H54&amp;"")),ISNUMBER(SEARCH("기간만료",대장!H54&amp;""))),"계약기간 만료로 퇴직",IF(ISNUMBER(SEARCH("의원면직",대장!H54&amp;"")),"의원면직",IF(ISNUMBER(SEARCH("정년퇴직",대장!H54&amp;"")),"정년퇴직",대장!H54))))</x:f>
        <x:v>#NAME?</x:v>
      </x:c>
      <x:c r="F110" s="27" t="e">
        <x:f>IF($A110="","",IF(발령대장_설정!$B$5="","",발령대장_설정!$B$5))</x:f>
        <x:v>#NAME?</x:v>
      </x:c>
      <x:c r="G110" s="27" t="e">
        <x:f>IF($A110="","",IF(발령대장_설정!$B$6="","",발령대장_설정!$B$6))</x:f>
        <x:v>#NAME?</x:v>
      </x:c>
      <x:c r="H110" s="27" t="e">
        <x:f>IF($A110="","",IF(발령대장_설정!$B$7="","",발령대장_설정!$B$7))</x:f>
        <x:v>#NAME?</x:v>
      </x:c>
      <x:c r="I110" s="27" t="e">
        <x:f>IF($A110="","",IF(발령대장_설정!$B$8="","",발령대장_설정!$B$8))</x:f>
        <x:v>#NAME?</x:v>
      </x:c>
      <x:c r="J110" s="27" t="str">
        <x:f>""</x:f>
      </x:c>
    </x:row>
    <x:row r="111" ht="42" customHeight="1">
      <x:c r="A111" s="47" t="e">
        <x:f>IF(AND(대장!A55&lt;&gt;"",ISNUMBER(대장!F55),OR(대장!G55="",AND(ISNUMBER(대장!G55),대장!G55&gt;=대장!F55))),대장!F55,"")</x:f>
        <x:v>#NAME?</x:v>
      </x:c>
      <x:c r="B111" s="27" t="e">
        <x:f>IF($A111="","",IF(발령대장_설정!$B$4="","",발령대장_설정!$B$4))</x:f>
        <x:v>#NAME?</x:v>
      </x:c>
      <x:c r="C111" s="27" t="e">
        <x:f>IF($A111="","",대장!D55)</x:f>
        <x:v>#NAME?</x:v>
      </x:c>
      <x:c r="D111" s="27" t="e">
        <x:f>IF($A111="","",대장!A55)</x:f>
        <x:v>#NAME?</x:v>
      </x:c>
      <x:c r="E111" s="27" t="e">
        <x:f>IF($A111="","",IF(대장!J55&lt;&gt;"",대장!J55,대장!D55&amp;"에 임함"&amp;IF(대장!E55="","",CHAR(10)&amp;"고용형태: "&amp;대장!E55)&amp;IF(대장!I55="","",CHAR(10)&amp;"소정근로시간: "&amp;대장!I55)&amp;CHAR(10)&amp;"근로기간: "&amp;YEAR(대장!F55)&amp;"."&amp;MONTH(대장!F55)&amp;"."&amp;DAY(대장!F55)&amp;"."&amp;" ~ "&amp;IF(ISNUMBER(대장!G55),YEAR(대장!G55)&amp;"."&amp;MONTH(대장!G55)&amp;"."&amp;DAY(대장!G55)&amp;".","재직 중")))</x:f>
        <x:v>#NAME?</x:v>
      </x:c>
      <x:c r="F111" s="27" t="e">
        <x:f>IF($A111="","",IF(발령대장_설정!$B$5="","",발령대장_설정!$B$5))</x:f>
        <x:v>#NAME?</x:v>
      </x:c>
      <x:c r="G111" s="27" t="e">
        <x:f>IF($A111="","",IF(발령대장_설정!$B$6="","",발령대장_설정!$B$6))</x:f>
        <x:v>#NAME?</x:v>
      </x:c>
      <x:c r="H111" s="27" t="e">
        <x:f>IF($A111="","",IF(발령대장_설정!$B$7="","",발령대장_설정!$B$7))</x:f>
        <x:v>#NAME?</x:v>
      </x:c>
      <x:c r="I111" s="27" t="e">
        <x:f>IF($A111="","",IF(발령대장_설정!$B$8="","",발령대장_설정!$B$8))</x:f>
        <x:v>#NAME?</x:v>
      </x:c>
      <x:c r="J111" s="27" t="e">
        <x:f>IF($A111="","",IF(대장!K55="","",대장!K55))</x:f>
        <x:v>#NAME?</x:v>
      </x:c>
    </x:row>
    <x:row r="112" ht="42" customHeight="1">
      <x:c r="A112" s="47" t="e">
        <x:f>IF(AND(대장!A55&lt;&gt;"",ISNUMBER(대장!F55),ISNUMBER(대장!G55),대장!G55&gt;=대장!F55,대장!H55&lt;&gt;""),대장!G55,"")</x:f>
        <x:v>#NAME?</x:v>
      </x:c>
      <x:c r="B112" s="27" t="e">
        <x:f>IF($A112="","",IF(발령대장_설정!$B$4="","",발령대장_설정!$B$4))</x:f>
        <x:v>#NAME?</x:v>
      </x:c>
      <x:c r="C112" s="27" t="e">
        <x:f>IF($A112="","",대장!D55)</x:f>
        <x:v>#NAME?</x:v>
      </x:c>
      <x:c r="D112" s="27" t="e">
        <x:f>IF($A112="","",대장!A55)</x:f>
        <x:v>#NAME?</x:v>
      </x:c>
      <x:c r="E112" s="27" t="e">
        <x:f>IF($A112="","",IF(OR(ISNUMBER(SEARCH("계약만료",대장!H55&amp;"")),ISNUMBER(SEARCH("기간만료",대장!H55&amp;""))),"계약기간 만료로 퇴직",IF(ISNUMBER(SEARCH("의원면직",대장!H55&amp;"")),"의원면직",IF(ISNUMBER(SEARCH("정년퇴직",대장!H55&amp;"")),"정년퇴직",대장!H55))))</x:f>
        <x:v>#NAME?</x:v>
      </x:c>
      <x:c r="F112" s="27" t="e">
        <x:f>IF($A112="","",IF(발령대장_설정!$B$5="","",발령대장_설정!$B$5))</x:f>
        <x:v>#NAME?</x:v>
      </x:c>
      <x:c r="G112" s="27" t="e">
        <x:f>IF($A112="","",IF(발령대장_설정!$B$6="","",발령대장_설정!$B$6))</x:f>
        <x:v>#NAME?</x:v>
      </x:c>
      <x:c r="H112" s="27" t="e">
        <x:f>IF($A112="","",IF(발령대장_설정!$B$7="","",발령대장_설정!$B$7))</x:f>
        <x:v>#NAME?</x:v>
      </x:c>
      <x:c r="I112" s="27" t="e">
        <x:f>IF($A112="","",IF(발령대장_설정!$B$8="","",발령대장_설정!$B$8))</x:f>
        <x:v>#NAME?</x:v>
      </x:c>
      <x:c r="J112" s="27" t="str">
        <x:f>""</x:f>
      </x:c>
    </x:row>
    <x:row r="113" ht="42" customHeight="1">
      <x:c r="A113" s="47" t="e">
        <x:f>IF(AND(대장!A56&lt;&gt;"",ISNUMBER(대장!F56),OR(대장!G56="",AND(ISNUMBER(대장!G56),대장!G56&gt;=대장!F56))),대장!F56,"")</x:f>
        <x:v>#NAME?</x:v>
      </x:c>
      <x:c r="B113" s="27" t="e">
        <x:f>IF($A113="","",IF(발령대장_설정!$B$4="","",발령대장_설정!$B$4))</x:f>
        <x:v>#NAME?</x:v>
      </x:c>
      <x:c r="C113" s="27" t="e">
        <x:f>IF($A113="","",대장!D56)</x:f>
        <x:v>#NAME?</x:v>
      </x:c>
      <x:c r="D113" s="27" t="e">
        <x:f>IF($A113="","",대장!A56)</x:f>
        <x:v>#NAME?</x:v>
      </x:c>
      <x:c r="E113" s="27" t="e">
        <x:f>IF($A113="","",IF(대장!J56&lt;&gt;"",대장!J56,대장!D56&amp;"에 임함"&amp;IF(대장!E56="","",CHAR(10)&amp;"고용형태: "&amp;대장!E56)&amp;IF(대장!I56="","",CHAR(10)&amp;"소정근로시간: "&amp;대장!I56)&amp;CHAR(10)&amp;"근로기간: "&amp;YEAR(대장!F56)&amp;"."&amp;MONTH(대장!F56)&amp;"."&amp;DAY(대장!F56)&amp;"."&amp;" ~ "&amp;IF(ISNUMBER(대장!G56),YEAR(대장!G56)&amp;"."&amp;MONTH(대장!G56)&amp;"."&amp;DAY(대장!G56)&amp;".","재직 중")))</x:f>
        <x:v>#NAME?</x:v>
      </x:c>
      <x:c r="F113" s="27" t="e">
        <x:f>IF($A113="","",IF(발령대장_설정!$B$5="","",발령대장_설정!$B$5))</x:f>
        <x:v>#NAME?</x:v>
      </x:c>
      <x:c r="G113" s="27" t="e">
        <x:f>IF($A113="","",IF(발령대장_설정!$B$6="","",발령대장_설정!$B$6))</x:f>
        <x:v>#NAME?</x:v>
      </x:c>
      <x:c r="H113" s="27" t="e">
        <x:f>IF($A113="","",IF(발령대장_설정!$B$7="","",발령대장_설정!$B$7))</x:f>
        <x:v>#NAME?</x:v>
      </x:c>
      <x:c r="I113" s="27" t="e">
        <x:f>IF($A113="","",IF(발령대장_설정!$B$8="","",발령대장_설정!$B$8))</x:f>
        <x:v>#NAME?</x:v>
      </x:c>
      <x:c r="J113" s="27" t="e">
        <x:f>IF($A113="","",IF(대장!K56="","",대장!K56))</x:f>
        <x:v>#NAME?</x:v>
      </x:c>
    </x:row>
    <x:row r="114" ht="42" customHeight="1">
      <x:c r="A114" s="47" t="e">
        <x:f>IF(AND(대장!A56&lt;&gt;"",ISNUMBER(대장!F56),ISNUMBER(대장!G56),대장!G56&gt;=대장!F56,대장!H56&lt;&gt;""),대장!G56,"")</x:f>
        <x:v>#NAME?</x:v>
      </x:c>
      <x:c r="B114" s="27" t="e">
        <x:f>IF($A114="","",IF(발령대장_설정!$B$4="","",발령대장_설정!$B$4))</x:f>
        <x:v>#NAME?</x:v>
      </x:c>
      <x:c r="C114" s="27" t="e">
        <x:f>IF($A114="","",대장!D56)</x:f>
        <x:v>#NAME?</x:v>
      </x:c>
      <x:c r="D114" s="27" t="e">
        <x:f>IF($A114="","",대장!A56)</x:f>
        <x:v>#NAME?</x:v>
      </x:c>
      <x:c r="E114" s="27" t="e">
        <x:f>IF($A114="","",IF(OR(ISNUMBER(SEARCH("계약만료",대장!H56&amp;"")),ISNUMBER(SEARCH("기간만료",대장!H56&amp;""))),"계약기간 만료로 퇴직",IF(ISNUMBER(SEARCH("의원면직",대장!H56&amp;"")),"의원면직",IF(ISNUMBER(SEARCH("정년퇴직",대장!H56&amp;"")),"정년퇴직",대장!H56))))</x:f>
        <x:v>#NAME?</x:v>
      </x:c>
      <x:c r="F114" s="27" t="e">
        <x:f>IF($A114="","",IF(발령대장_설정!$B$5="","",발령대장_설정!$B$5))</x:f>
        <x:v>#NAME?</x:v>
      </x:c>
      <x:c r="G114" s="27" t="e">
        <x:f>IF($A114="","",IF(발령대장_설정!$B$6="","",발령대장_설정!$B$6))</x:f>
        <x:v>#NAME?</x:v>
      </x:c>
      <x:c r="H114" s="27" t="e">
        <x:f>IF($A114="","",IF(발령대장_설정!$B$7="","",발령대장_설정!$B$7))</x:f>
        <x:v>#NAME?</x:v>
      </x:c>
      <x:c r="I114" s="27" t="e">
        <x:f>IF($A114="","",IF(발령대장_설정!$B$8="","",발령대장_설정!$B$8))</x:f>
        <x:v>#NAME?</x:v>
      </x:c>
      <x:c r="J114" s="27" t="str">
        <x:f>""</x:f>
      </x:c>
    </x:row>
    <x:row r="115" ht="42" customHeight="1">
      <x:c r="A115" s="47" t="e">
        <x:f>IF(AND(대장!A57&lt;&gt;"",ISNUMBER(대장!F57),OR(대장!G57="",AND(ISNUMBER(대장!G57),대장!G57&gt;=대장!F57))),대장!F57,"")</x:f>
        <x:v>#NAME?</x:v>
      </x:c>
      <x:c r="B115" s="27" t="e">
        <x:f>IF($A115="","",IF(발령대장_설정!$B$4="","",발령대장_설정!$B$4))</x:f>
        <x:v>#NAME?</x:v>
      </x:c>
      <x:c r="C115" s="27" t="e">
        <x:f>IF($A115="","",대장!D57)</x:f>
        <x:v>#NAME?</x:v>
      </x:c>
      <x:c r="D115" s="27" t="e">
        <x:f>IF($A115="","",대장!A57)</x:f>
        <x:v>#NAME?</x:v>
      </x:c>
      <x:c r="E115" s="27" t="e">
        <x:f>IF($A115="","",IF(대장!J57&lt;&gt;"",대장!J57,대장!D57&amp;"에 임함"&amp;IF(대장!E57="","",CHAR(10)&amp;"고용형태: "&amp;대장!E57)&amp;IF(대장!I57="","",CHAR(10)&amp;"소정근로시간: "&amp;대장!I57)&amp;CHAR(10)&amp;"근로기간: "&amp;YEAR(대장!F57)&amp;"."&amp;MONTH(대장!F57)&amp;"."&amp;DAY(대장!F57)&amp;"."&amp;" ~ "&amp;IF(ISNUMBER(대장!G57),YEAR(대장!G57)&amp;"."&amp;MONTH(대장!G57)&amp;"."&amp;DAY(대장!G57)&amp;".","재직 중")))</x:f>
        <x:v>#NAME?</x:v>
      </x:c>
      <x:c r="F115" s="27" t="e">
        <x:f>IF($A115="","",IF(발령대장_설정!$B$5="","",발령대장_설정!$B$5))</x:f>
        <x:v>#NAME?</x:v>
      </x:c>
      <x:c r="G115" s="27" t="e">
        <x:f>IF($A115="","",IF(발령대장_설정!$B$6="","",발령대장_설정!$B$6))</x:f>
        <x:v>#NAME?</x:v>
      </x:c>
      <x:c r="H115" s="27" t="e">
        <x:f>IF($A115="","",IF(발령대장_설정!$B$7="","",발령대장_설정!$B$7))</x:f>
        <x:v>#NAME?</x:v>
      </x:c>
      <x:c r="I115" s="27" t="e">
        <x:f>IF($A115="","",IF(발령대장_설정!$B$8="","",발령대장_설정!$B$8))</x:f>
        <x:v>#NAME?</x:v>
      </x:c>
      <x:c r="J115" s="27" t="e">
        <x:f>IF($A115="","",IF(대장!K57="","",대장!K57))</x:f>
        <x:v>#NAME?</x:v>
      </x:c>
    </x:row>
    <x:row r="116" ht="42" customHeight="1">
      <x:c r="A116" s="47" t="e">
        <x:f>IF(AND(대장!A57&lt;&gt;"",ISNUMBER(대장!F57),ISNUMBER(대장!G57),대장!G57&gt;=대장!F57,대장!H57&lt;&gt;""),대장!G57,"")</x:f>
        <x:v>#NAME?</x:v>
      </x:c>
      <x:c r="B116" s="27" t="e">
        <x:f>IF($A116="","",IF(발령대장_설정!$B$4="","",발령대장_설정!$B$4))</x:f>
        <x:v>#NAME?</x:v>
      </x:c>
      <x:c r="C116" s="27" t="e">
        <x:f>IF($A116="","",대장!D57)</x:f>
        <x:v>#NAME?</x:v>
      </x:c>
      <x:c r="D116" s="27" t="e">
        <x:f>IF($A116="","",대장!A57)</x:f>
        <x:v>#NAME?</x:v>
      </x:c>
      <x:c r="E116" s="27" t="e">
        <x:f>IF($A116="","",IF(OR(ISNUMBER(SEARCH("계약만료",대장!H57&amp;"")),ISNUMBER(SEARCH("기간만료",대장!H57&amp;""))),"계약기간 만료로 퇴직",IF(ISNUMBER(SEARCH("의원면직",대장!H57&amp;"")),"의원면직",IF(ISNUMBER(SEARCH("정년퇴직",대장!H57&amp;"")),"정년퇴직",대장!H57))))</x:f>
        <x:v>#NAME?</x:v>
      </x:c>
      <x:c r="F116" s="27" t="e">
        <x:f>IF($A116="","",IF(발령대장_설정!$B$5="","",발령대장_설정!$B$5))</x:f>
        <x:v>#NAME?</x:v>
      </x:c>
      <x:c r="G116" s="27" t="e">
        <x:f>IF($A116="","",IF(발령대장_설정!$B$6="","",발령대장_설정!$B$6))</x:f>
        <x:v>#NAME?</x:v>
      </x:c>
      <x:c r="H116" s="27" t="e">
        <x:f>IF($A116="","",IF(발령대장_설정!$B$7="","",발령대장_설정!$B$7))</x:f>
        <x:v>#NAME?</x:v>
      </x:c>
      <x:c r="I116" s="27" t="e">
        <x:f>IF($A116="","",IF(발령대장_설정!$B$8="","",발령대장_설정!$B$8))</x:f>
        <x:v>#NAME?</x:v>
      </x:c>
      <x:c r="J116" s="27" t="str">
        <x:f>""</x:f>
      </x:c>
    </x:row>
    <x:row r="117" ht="42" customHeight="1">
      <x:c r="A117" s="47" t="e">
        <x:f>IF(AND(대장!A58&lt;&gt;"",ISNUMBER(대장!F58),OR(대장!G58="",AND(ISNUMBER(대장!G58),대장!G58&gt;=대장!F58))),대장!F58,"")</x:f>
        <x:v>#NAME?</x:v>
      </x:c>
      <x:c r="B117" s="27" t="e">
        <x:f>IF($A117="","",IF(발령대장_설정!$B$4="","",발령대장_설정!$B$4))</x:f>
        <x:v>#NAME?</x:v>
      </x:c>
      <x:c r="C117" s="27" t="e">
        <x:f>IF($A117="","",대장!D58)</x:f>
        <x:v>#NAME?</x:v>
      </x:c>
      <x:c r="D117" s="27" t="e">
        <x:f>IF($A117="","",대장!A58)</x:f>
        <x:v>#NAME?</x:v>
      </x:c>
      <x:c r="E117" s="27" t="e">
        <x:f>IF($A117="","",IF(대장!J58&lt;&gt;"",대장!J58,대장!D58&amp;"에 임함"&amp;IF(대장!E58="","",CHAR(10)&amp;"고용형태: "&amp;대장!E58)&amp;IF(대장!I58="","",CHAR(10)&amp;"소정근로시간: "&amp;대장!I58)&amp;CHAR(10)&amp;"근로기간: "&amp;YEAR(대장!F58)&amp;"."&amp;MONTH(대장!F58)&amp;"."&amp;DAY(대장!F58)&amp;"."&amp;" ~ "&amp;IF(ISNUMBER(대장!G58),YEAR(대장!G58)&amp;"."&amp;MONTH(대장!G58)&amp;"."&amp;DAY(대장!G58)&amp;".","재직 중")))</x:f>
        <x:v>#NAME?</x:v>
      </x:c>
      <x:c r="F117" s="27" t="e">
        <x:f>IF($A117="","",IF(발령대장_설정!$B$5="","",발령대장_설정!$B$5))</x:f>
        <x:v>#NAME?</x:v>
      </x:c>
      <x:c r="G117" s="27" t="e">
        <x:f>IF($A117="","",IF(발령대장_설정!$B$6="","",발령대장_설정!$B$6))</x:f>
        <x:v>#NAME?</x:v>
      </x:c>
      <x:c r="H117" s="27" t="e">
        <x:f>IF($A117="","",IF(발령대장_설정!$B$7="","",발령대장_설정!$B$7))</x:f>
        <x:v>#NAME?</x:v>
      </x:c>
      <x:c r="I117" s="27" t="e">
        <x:f>IF($A117="","",IF(발령대장_설정!$B$8="","",발령대장_설정!$B$8))</x:f>
        <x:v>#NAME?</x:v>
      </x:c>
      <x:c r="J117" s="27" t="e">
        <x:f>IF($A117="","",IF(대장!K58="","",대장!K58))</x:f>
        <x:v>#NAME?</x:v>
      </x:c>
    </x:row>
    <x:row r="118" ht="42" customHeight="1">
      <x:c r="A118" s="47" t="e">
        <x:f>IF(AND(대장!A58&lt;&gt;"",ISNUMBER(대장!F58),ISNUMBER(대장!G58),대장!G58&gt;=대장!F58,대장!H58&lt;&gt;""),대장!G58,"")</x:f>
        <x:v>#NAME?</x:v>
      </x:c>
      <x:c r="B118" s="27" t="e">
        <x:f>IF($A118="","",IF(발령대장_설정!$B$4="","",발령대장_설정!$B$4))</x:f>
        <x:v>#NAME?</x:v>
      </x:c>
      <x:c r="C118" s="27" t="e">
        <x:f>IF($A118="","",대장!D58)</x:f>
        <x:v>#NAME?</x:v>
      </x:c>
      <x:c r="D118" s="27" t="e">
        <x:f>IF($A118="","",대장!A58)</x:f>
        <x:v>#NAME?</x:v>
      </x:c>
      <x:c r="E118" s="27" t="e">
        <x:f>IF($A118="","",IF(OR(ISNUMBER(SEARCH("계약만료",대장!H58&amp;"")),ISNUMBER(SEARCH("기간만료",대장!H58&amp;""))),"계약기간 만료로 퇴직",IF(ISNUMBER(SEARCH("의원면직",대장!H58&amp;"")),"의원면직",IF(ISNUMBER(SEARCH("정년퇴직",대장!H58&amp;"")),"정년퇴직",대장!H58))))</x:f>
        <x:v>#NAME?</x:v>
      </x:c>
      <x:c r="F118" s="27" t="e">
        <x:f>IF($A118="","",IF(발령대장_설정!$B$5="","",발령대장_설정!$B$5))</x:f>
        <x:v>#NAME?</x:v>
      </x:c>
      <x:c r="G118" s="27" t="e">
        <x:f>IF($A118="","",IF(발령대장_설정!$B$6="","",발령대장_설정!$B$6))</x:f>
        <x:v>#NAME?</x:v>
      </x:c>
      <x:c r="H118" s="27" t="e">
        <x:f>IF($A118="","",IF(발령대장_설정!$B$7="","",발령대장_설정!$B$7))</x:f>
        <x:v>#NAME?</x:v>
      </x:c>
      <x:c r="I118" s="27" t="e">
        <x:f>IF($A118="","",IF(발령대장_설정!$B$8="","",발령대장_설정!$B$8))</x:f>
        <x:v>#NAME?</x:v>
      </x:c>
      <x:c r="J118" s="27" t="str">
        <x:f>""</x:f>
      </x:c>
    </x:row>
    <x:row r="119" ht="42" customHeight="1">
      <x:c r="A119" s="47" t="e">
        <x:f>IF(AND(대장!A59&lt;&gt;"",ISNUMBER(대장!F59),OR(대장!G59="",AND(ISNUMBER(대장!G59),대장!G59&gt;=대장!F59))),대장!F59,"")</x:f>
        <x:v>#NAME?</x:v>
      </x:c>
      <x:c r="B119" s="27" t="e">
        <x:f>IF($A119="","",IF(발령대장_설정!$B$4="","",발령대장_설정!$B$4))</x:f>
        <x:v>#NAME?</x:v>
      </x:c>
      <x:c r="C119" s="27" t="e">
        <x:f>IF($A119="","",대장!D59)</x:f>
        <x:v>#NAME?</x:v>
      </x:c>
      <x:c r="D119" s="27" t="e">
        <x:f>IF($A119="","",대장!A59)</x:f>
        <x:v>#NAME?</x:v>
      </x:c>
      <x:c r="E119" s="27" t="e">
        <x:f>IF($A119="","",IF(대장!J59&lt;&gt;"",대장!J59,대장!D59&amp;"에 임함"&amp;IF(대장!E59="","",CHAR(10)&amp;"고용형태: "&amp;대장!E59)&amp;IF(대장!I59="","",CHAR(10)&amp;"소정근로시간: "&amp;대장!I59)&amp;CHAR(10)&amp;"근로기간: "&amp;YEAR(대장!F59)&amp;"."&amp;MONTH(대장!F59)&amp;"."&amp;DAY(대장!F59)&amp;"."&amp;" ~ "&amp;IF(ISNUMBER(대장!G59),YEAR(대장!G59)&amp;"."&amp;MONTH(대장!G59)&amp;"."&amp;DAY(대장!G59)&amp;".","재직 중")))</x:f>
        <x:v>#NAME?</x:v>
      </x:c>
      <x:c r="F119" s="27" t="e">
        <x:f>IF($A119="","",IF(발령대장_설정!$B$5="","",발령대장_설정!$B$5))</x:f>
        <x:v>#NAME?</x:v>
      </x:c>
      <x:c r="G119" s="27" t="e">
        <x:f>IF($A119="","",IF(발령대장_설정!$B$6="","",발령대장_설정!$B$6))</x:f>
        <x:v>#NAME?</x:v>
      </x:c>
      <x:c r="H119" s="27" t="e">
        <x:f>IF($A119="","",IF(발령대장_설정!$B$7="","",발령대장_설정!$B$7))</x:f>
        <x:v>#NAME?</x:v>
      </x:c>
      <x:c r="I119" s="27" t="e">
        <x:f>IF($A119="","",IF(발령대장_설정!$B$8="","",발령대장_설정!$B$8))</x:f>
        <x:v>#NAME?</x:v>
      </x:c>
      <x:c r="J119" s="27" t="e">
        <x:f>IF($A119="","",IF(대장!K59="","",대장!K59))</x:f>
        <x:v>#NAME?</x:v>
      </x:c>
    </x:row>
    <x:row r="120" ht="42" customHeight="1">
      <x:c r="A120" s="47" t="e">
        <x:f>IF(AND(대장!A59&lt;&gt;"",ISNUMBER(대장!F59),ISNUMBER(대장!G59),대장!G59&gt;=대장!F59,대장!H59&lt;&gt;""),대장!G59,"")</x:f>
        <x:v>#NAME?</x:v>
      </x:c>
      <x:c r="B120" s="27" t="e">
        <x:f>IF($A120="","",IF(발령대장_설정!$B$4="","",발령대장_설정!$B$4))</x:f>
        <x:v>#NAME?</x:v>
      </x:c>
      <x:c r="C120" s="27" t="e">
        <x:f>IF($A120="","",대장!D59)</x:f>
        <x:v>#NAME?</x:v>
      </x:c>
      <x:c r="D120" s="27" t="e">
        <x:f>IF($A120="","",대장!A59)</x:f>
        <x:v>#NAME?</x:v>
      </x:c>
      <x:c r="E120" s="27" t="e">
        <x:f>IF($A120="","",IF(OR(ISNUMBER(SEARCH("계약만료",대장!H59&amp;"")),ISNUMBER(SEARCH("기간만료",대장!H59&amp;""))),"계약기간 만료로 퇴직",IF(ISNUMBER(SEARCH("의원면직",대장!H59&amp;"")),"의원면직",IF(ISNUMBER(SEARCH("정년퇴직",대장!H59&amp;"")),"정년퇴직",대장!H59))))</x:f>
        <x:v>#NAME?</x:v>
      </x:c>
      <x:c r="F120" s="27" t="e">
        <x:f>IF($A120="","",IF(발령대장_설정!$B$5="","",발령대장_설정!$B$5))</x:f>
        <x:v>#NAME?</x:v>
      </x:c>
      <x:c r="G120" s="27" t="e">
        <x:f>IF($A120="","",IF(발령대장_설정!$B$6="","",발령대장_설정!$B$6))</x:f>
        <x:v>#NAME?</x:v>
      </x:c>
      <x:c r="H120" s="27" t="e">
        <x:f>IF($A120="","",IF(발령대장_설정!$B$7="","",발령대장_설정!$B$7))</x:f>
        <x:v>#NAME?</x:v>
      </x:c>
      <x:c r="I120" s="27" t="e">
        <x:f>IF($A120="","",IF(발령대장_설정!$B$8="","",발령대장_설정!$B$8))</x:f>
        <x:v>#NAME?</x:v>
      </x:c>
      <x:c r="J120" s="27" t="str">
        <x:f>""</x:f>
      </x:c>
    </x:row>
    <x:row r="121" ht="42" customHeight="1">
      <x:c r="A121" s="47" t="e">
        <x:f>IF(AND(대장!A60&lt;&gt;"",ISNUMBER(대장!F60),OR(대장!G60="",AND(ISNUMBER(대장!G60),대장!G60&gt;=대장!F60))),대장!F60,"")</x:f>
        <x:v>#NAME?</x:v>
      </x:c>
      <x:c r="B121" s="27" t="e">
        <x:f>IF($A121="","",IF(발령대장_설정!$B$4="","",발령대장_설정!$B$4))</x:f>
        <x:v>#NAME?</x:v>
      </x:c>
      <x:c r="C121" s="27" t="e">
        <x:f>IF($A121="","",대장!D60)</x:f>
        <x:v>#NAME?</x:v>
      </x:c>
      <x:c r="D121" s="27" t="e">
        <x:f>IF($A121="","",대장!A60)</x:f>
        <x:v>#NAME?</x:v>
      </x:c>
      <x:c r="E121" s="27" t="e">
        <x:f>IF($A121="","",IF(대장!J60&lt;&gt;"",대장!J60,대장!D60&amp;"에 임함"&amp;IF(대장!E60="","",CHAR(10)&amp;"고용형태: "&amp;대장!E60)&amp;IF(대장!I60="","",CHAR(10)&amp;"소정근로시간: "&amp;대장!I60)&amp;CHAR(10)&amp;"근로기간: "&amp;YEAR(대장!F60)&amp;"."&amp;MONTH(대장!F60)&amp;"."&amp;DAY(대장!F60)&amp;"."&amp;" ~ "&amp;IF(ISNUMBER(대장!G60),YEAR(대장!G60)&amp;"."&amp;MONTH(대장!G60)&amp;"."&amp;DAY(대장!G60)&amp;".","재직 중")))</x:f>
        <x:v>#NAME?</x:v>
      </x:c>
      <x:c r="F121" s="27" t="e">
        <x:f>IF($A121="","",IF(발령대장_설정!$B$5="","",발령대장_설정!$B$5))</x:f>
        <x:v>#NAME?</x:v>
      </x:c>
      <x:c r="G121" s="27" t="e">
        <x:f>IF($A121="","",IF(발령대장_설정!$B$6="","",발령대장_설정!$B$6))</x:f>
        <x:v>#NAME?</x:v>
      </x:c>
      <x:c r="H121" s="27" t="e">
        <x:f>IF($A121="","",IF(발령대장_설정!$B$7="","",발령대장_설정!$B$7))</x:f>
        <x:v>#NAME?</x:v>
      </x:c>
      <x:c r="I121" s="27" t="e">
        <x:f>IF($A121="","",IF(발령대장_설정!$B$8="","",발령대장_설정!$B$8))</x:f>
        <x:v>#NAME?</x:v>
      </x:c>
      <x:c r="J121" s="27" t="e">
        <x:f>IF($A121="","",IF(대장!K60="","",대장!K60))</x:f>
        <x:v>#NAME?</x:v>
      </x:c>
    </x:row>
    <x:row r="122" ht="42" customHeight="1">
      <x:c r="A122" s="47" t="e">
        <x:f>IF(AND(대장!A60&lt;&gt;"",ISNUMBER(대장!F60),ISNUMBER(대장!G60),대장!G60&gt;=대장!F60,대장!H60&lt;&gt;""),대장!G60,"")</x:f>
        <x:v>#NAME?</x:v>
      </x:c>
      <x:c r="B122" s="27" t="e">
        <x:f>IF($A122="","",IF(발령대장_설정!$B$4="","",발령대장_설정!$B$4))</x:f>
        <x:v>#NAME?</x:v>
      </x:c>
      <x:c r="C122" s="27" t="e">
        <x:f>IF($A122="","",대장!D60)</x:f>
        <x:v>#NAME?</x:v>
      </x:c>
      <x:c r="D122" s="27" t="e">
        <x:f>IF($A122="","",대장!A60)</x:f>
        <x:v>#NAME?</x:v>
      </x:c>
      <x:c r="E122" s="27" t="e">
        <x:f>IF($A122="","",IF(OR(ISNUMBER(SEARCH("계약만료",대장!H60&amp;"")),ISNUMBER(SEARCH("기간만료",대장!H60&amp;""))),"계약기간 만료로 퇴직",IF(ISNUMBER(SEARCH("의원면직",대장!H60&amp;"")),"의원면직",IF(ISNUMBER(SEARCH("정년퇴직",대장!H60&amp;"")),"정년퇴직",대장!H60))))</x:f>
        <x:v>#NAME?</x:v>
      </x:c>
      <x:c r="F122" s="27" t="e">
        <x:f>IF($A122="","",IF(발령대장_설정!$B$5="","",발령대장_설정!$B$5))</x:f>
        <x:v>#NAME?</x:v>
      </x:c>
      <x:c r="G122" s="27" t="e">
        <x:f>IF($A122="","",IF(발령대장_설정!$B$6="","",발령대장_설정!$B$6))</x:f>
        <x:v>#NAME?</x:v>
      </x:c>
      <x:c r="H122" s="27" t="e">
        <x:f>IF($A122="","",IF(발령대장_설정!$B$7="","",발령대장_설정!$B$7))</x:f>
        <x:v>#NAME?</x:v>
      </x:c>
      <x:c r="I122" s="27" t="e">
        <x:f>IF($A122="","",IF(발령대장_설정!$B$8="","",발령대장_설정!$B$8))</x:f>
        <x:v>#NAME?</x:v>
      </x:c>
      <x:c r="J122" s="27" t="str">
        <x:f>""</x:f>
      </x:c>
    </x:row>
    <x:row r="123" ht="42" customHeight="1">
      <x:c r="A123" s="47" t="e">
        <x:f>IF(AND(대장!A61&lt;&gt;"",ISNUMBER(대장!F61),OR(대장!G61="",AND(ISNUMBER(대장!G61),대장!G61&gt;=대장!F61))),대장!F61,"")</x:f>
        <x:v>#NAME?</x:v>
      </x:c>
      <x:c r="B123" s="27" t="e">
        <x:f>IF($A123="","",IF(발령대장_설정!$B$4="","",발령대장_설정!$B$4))</x:f>
        <x:v>#NAME?</x:v>
      </x:c>
      <x:c r="C123" s="27" t="e">
        <x:f>IF($A123="","",대장!D61)</x:f>
        <x:v>#NAME?</x:v>
      </x:c>
      <x:c r="D123" s="27" t="e">
        <x:f>IF($A123="","",대장!A61)</x:f>
        <x:v>#NAME?</x:v>
      </x:c>
      <x:c r="E123" s="27" t="e">
        <x:f>IF($A123="","",IF(대장!J61&lt;&gt;"",대장!J61,대장!D61&amp;"에 임함"&amp;IF(대장!E61="","",CHAR(10)&amp;"고용형태: "&amp;대장!E61)&amp;IF(대장!I61="","",CHAR(10)&amp;"소정근로시간: "&amp;대장!I61)&amp;CHAR(10)&amp;"근로기간: "&amp;YEAR(대장!F61)&amp;"."&amp;MONTH(대장!F61)&amp;"."&amp;DAY(대장!F61)&amp;"."&amp;" ~ "&amp;IF(ISNUMBER(대장!G61),YEAR(대장!G61)&amp;"."&amp;MONTH(대장!G61)&amp;"."&amp;DAY(대장!G61)&amp;".","재직 중")))</x:f>
        <x:v>#NAME?</x:v>
      </x:c>
      <x:c r="F123" s="27" t="e">
        <x:f>IF($A123="","",IF(발령대장_설정!$B$5="","",발령대장_설정!$B$5))</x:f>
        <x:v>#NAME?</x:v>
      </x:c>
      <x:c r="G123" s="27" t="e">
        <x:f>IF($A123="","",IF(발령대장_설정!$B$6="","",발령대장_설정!$B$6))</x:f>
        <x:v>#NAME?</x:v>
      </x:c>
      <x:c r="H123" s="27" t="e">
        <x:f>IF($A123="","",IF(발령대장_설정!$B$7="","",발령대장_설정!$B$7))</x:f>
        <x:v>#NAME?</x:v>
      </x:c>
      <x:c r="I123" s="27" t="e">
        <x:f>IF($A123="","",IF(발령대장_설정!$B$8="","",발령대장_설정!$B$8))</x:f>
        <x:v>#NAME?</x:v>
      </x:c>
      <x:c r="J123" s="27" t="e">
        <x:f>IF($A123="","",IF(대장!K61="","",대장!K61))</x:f>
        <x:v>#NAME?</x:v>
      </x:c>
    </x:row>
    <x:row r="124" ht="42" customHeight="1">
      <x:c r="A124" s="47" t="e">
        <x:f>IF(AND(대장!A61&lt;&gt;"",ISNUMBER(대장!F61),ISNUMBER(대장!G61),대장!G61&gt;=대장!F61,대장!H61&lt;&gt;""),대장!G61,"")</x:f>
        <x:v>#NAME?</x:v>
      </x:c>
      <x:c r="B124" s="27" t="e">
        <x:f>IF($A124="","",IF(발령대장_설정!$B$4="","",발령대장_설정!$B$4))</x:f>
        <x:v>#NAME?</x:v>
      </x:c>
      <x:c r="C124" s="27" t="e">
        <x:f>IF($A124="","",대장!D61)</x:f>
        <x:v>#NAME?</x:v>
      </x:c>
      <x:c r="D124" s="27" t="e">
        <x:f>IF($A124="","",대장!A61)</x:f>
        <x:v>#NAME?</x:v>
      </x:c>
      <x:c r="E124" s="27" t="e">
        <x:f>IF($A124="","",IF(OR(ISNUMBER(SEARCH("계약만료",대장!H61&amp;"")),ISNUMBER(SEARCH("기간만료",대장!H61&amp;""))),"계약기간 만료로 퇴직",IF(ISNUMBER(SEARCH("의원면직",대장!H61&amp;"")),"의원면직",IF(ISNUMBER(SEARCH("정년퇴직",대장!H61&amp;"")),"정년퇴직",대장!H61))))</x:f>
        <x:v>#NAME?</x:v>
      </x:c>
      <x:c r="F124" s="27" t="e">
        <x:f>IF($A124="","",IF(발령대장_설정!$B$5="","",발령대장_설정!$B$5))</x:f>
        <x:v>#NAME?</x:v>
      </x:c>
      <x:c r="G124" s="27" t="e">
        <x:f>IF($A124="","",IF(발령대장_설정!$B$6="","",발령대장_설정!$B$6))</x:f>
        <x:v>#NAME?</x:v>
      </x:c>
      <x:c r="H124" s="27" t="e">
        <x:f>IF($A124="","",IF(발령대장_설정!$B$7="","",발령대장_설정!$B$7))</x:f>
        <x:v>#NAME?</x:v>
      </x:c>
      <x:c r="I124" s="27" t="e">
        <x:f>IF($A124="","",IF(발령대장_설정!$B$8="","",발령대장_설정!$B$8))</x:f>
        <x:v>#NAME?</x:v>
      </x:c>
      <x:c r="J124" s="27" t="str">
        <x:f>""</x:f>
      </x:c>
    </x:row>
    <x:row r="125" ht="42" customHeight="1">
      <x:c r="A125" s="47" t="e">
        <x:f>IF(AND(대장!A62&lt;&gt;"",ISNUMBER(대장!F62),OR(대장!G62="",AND(ISNUMBER(대장!G62),대장!G62&gt;=대장!F62))),대장!F62,"")</x:f>
        <x:v>#NAME?</x:v>
      </x:c>
      <x:c r="B125" s="27" t="e">
        <x:f>IF($A125="","",IF(발령대장_설정!$B$4="","",발령대장_설정!$B$4))</x:f>
        <x:v>#NAME?</x:v>
      </x:c>
      <x:c r="C125" s="27" t="e">
        <x:f>IF($A125="","",대장!D62)</x:f>
        <x:v>#NAME?</x:v>
      </x:c>
      <x:c r="D125" s="27" t="e">
        <x:f>IF($A125="","",대장!A62)</x:f>
        <x:v>#NAME?</x:v>
      </x:c>
      <x:c r="E125" s="27" t="e">
        <x:f>IF($A125="","",IF(대장!J62&lt;&gt;"",대장!J62,대장!D62&amp;"에 임함"&amp;IF(대장!E62="","",CHAR(10)&amp;"고용형태: "&amp;대장!E62)&amp;IF(대장!I62="","",CHAR(10)&amp;"소정근로시간: "&amp;대장!I62)&amp;CHAR(10)&amp;"근로기간: "&amp;YEAR(대장!F62)&amp;"."&amp;MONTH(대장!F62)&amp;"."&amp;DAY(대장!F62)&amp;"."&amp;" ~ "&amp;IF(ISNUMBER(대장!G62),YEAR(대장!G62)&amp;"."&amp;MONTH(대장!G62)&amp;"."&amp;DAY(대장!G62)&amp;".","재직 중")))</x:f>
        <x:v>#NAME?</x:v>
      </x:c>
      <x:c r="F125" s="27" t="e">
        <x:f>IF($A125="","",IF(발령대장_설정!$B$5="","",발령대장_설정!$B$5))</x:f>
        <x:v>#NAME?</x:v>
      </x:c>
      <x:c r="G125" s="27" t="e">
        <x:f>IF($A125="","",IF(발령대장_설정!$B$6="","",발령대장_설정!$B$6))</x:f>
        <x:v>#NAME?</x:v>
      </x:c>
      <x:c r="H125" s="27" t="e">
        <x:f>IF($A125="","",IF(발령대장_설정!$B$7="","",발령대장_설정!$B$7))</x:f>
        <x:v>#NAME?</x:v>
      </x:c>
      <x:c r="I125" s="27" t="e">
        <x:f>IF($A125="","",IF(발령대장_설정!$B$8="","",발령대장_설정!$B$8))</x:f>
        <x:v>#NAME?</x:v>
      </x:c>
      <x:c r="J125" s="27" t="e">
        <x:f>IF($A125="","",IF(대장!K62="","",대장!K62))</x:f>
        <x:v>#NAME?</x:v>
      </x:c>
    </x:row>
    <x:row r="126" ht="42" customHeight="1">
      <x:c r="A126" s="47" t="e">
        <x:f>IF(AND(대장!A62&lt;&gt;"",ISNUMBER(대장!F62),ISNUMBER(대장!G62),대장!G62&gt;=대장!F62,대장!H62&lt;&gt;""),대장!G62,"")</x:f>
        <x:v>#NAME?</x:v>
      </x:c>
      <x:c r="B126" s="27" t="e">
        <x:f>IF($A126="","",IF(발령대장_설정!$B$4="","",발령대장_설정!$B$4))</x:f>
        <x:v>#NAME?</x:v>
      </x:c>
      <x:c r="C126" s="27" t="e">
        <x:f>IF($A126="","",대장!D62)</x:f>
        <x:v>#NAME?</x:v>
      </x:c>
      <x:c r="D126" s="27" t="e">
        <x:f>IF($A126="","",대장!A62)</x:f>
        <x:v>#NAME?</x:v>
      </x:c>
      <x:c r="E126" s="27" t="e">
        <x:f>IF($A126="","",IF(OR(ISNUMBER(SEARCH("계약만료",대장!H62&amp;"")),ISNUMBER(SEARCH("기간만료",대장!H62&amp;""))),"계약기간 만료로 퇴직",IF(ISNUMBER(SEARCH("의원면직",대장!H62&amp;"")),"의원면직",IF(ISNUMBER(SEARCH("정년퇴직",대장!H62&amp;"")),"정년퇴직",대장!H62))))</x:f>
        <x:v>#NAME?</x:v>
      </x:c>
      <x:c r="F126" s="27" t="e">
        <x:f>IF($A126="","",IF(발령대장_설정!$B$5="","",발령대장_설정!$B$5))</x:f>
        <x:v>#NAME?</x:v>
      </x:c>
      <x:c r="G126" s="27" t="e">
        <x:f>IF($A126="","",IF(발령대장_설정!$B$6="","",발령대장_설정!$B$6))</x:f>
        <x:v>#NAME?</x:v>
      </x:c>
      <x:c r="H126" s="27" t="e">
        <x:f>IF($A126="","",IF(발령대장_설정!$B$7="","",발령대장_설정!$B$7))</x:f>
        <x:v>#NAME?</x:v>
      </x:c>
      <x:c r="I126" s="27" t="e">
        <x:f>IF($A126="","",IF(발령대장_설정!$B$8="","",발령대장_설정!$B$8))</x:f>
        <x:v>#NAME?</x:v>
      </x:c>
      <x:c r="J126" s="27" t="str">
        <x:f>""</x:f>
      </x:c>
    </x:row>
    <x:row r="127" ht="42" customHeight="1">
      <x:c r="A127" s="47" t="e">
        <x:f>IF(AND(대장!A63&lt;&gt;"",ISNUMBER(대장!F63),OR(대장!G63="",AND(ISNUMBER(대장!G63),대장!G63&gt;=대장!F63))),대장!F63,"")</x:f>
        <x:v>#NAME?</x:v>
      </x:c>
      <x:c r="B127" s="27" t="e">
        <x:f>IF($A127="","",IF(발령대장_설정!$B$4="","",발령대장_설정!$B$4))</x:f>
        <x:v>#NAME?</x:v>
      </x:c>
      <x:c r="C127" s="27" t="e">
        <x:f>IF($A127="","",대장!D63)</x:f>
        <x:v>#NAME?</x:v>
      </x:c>
      <x:c r="D127" s="27" t="e">
        <x:f>IF($A127="","",대장!A63)</x:f>
        <x:v>#NAME?</x:v>
      </x:c>
      <x:c r="E127" s="27" t="e">
        <x:f>IF($A127="","",IF(대장!J63&lt;&gt;"",대장!J63,대장!D63&amp;"에 임함"&amp;IF(대장!E63="","",CHAR(10)&amp;"고용형태: "&amp;대장!E63)&amp;IF(대장!I63="","",CHAR(10)&amp;"소정근로시간: "&amp;대장!I63)&amp;CHAR(10)&amp;"근로기간: "&amp;YEAR(대장!F63)&amp;"."&amp;MONTH(대장!F63)&amp;"."&amp;DAY(대장!F63)&amp;"."&amp;" ~ "&amp;IF(ISNUMBER(대장!G63),YEAR(대장!G63)&amp;"."&amp;MONTH(대장!G63)&amp;"."&amp;DAY(대장!G63)&amp;".","재직 중")))</x:f>
        <x:v>#NAME?</x:v>
      </x:c>
      <x:c r="F127" s="27" t="e">
        <x:f>IF($A127="","",IF(발령대장_설정!$B$5="","",발령대장_설정!$B$5))</x:f>
        <x:v>#NAME?</x:v>
      </x:c>
      <x:c r="G127" s="27" t="e">
        <x:f>IF($A127="","",IF(발령대장_설정!$B$6="","",발령대장_설정!$B$6))</x:f>
        <x:v>#NAME?</x:v>
      </x:c>
      <x:c r="H127" s="27" t="e">
        <x:f>IF($A127="","",IF(발령대장_설정!$B$7="","",발령대장_설정!$B$7))</x:f>
        <x:v>#NAME?</x:v>
      </x:c>
      <x:c r="I127" s="27" t="e">
        <x:f>IF($A127="","",IF(발령대장_설정!$B$8="","",발령대장_설정!$B$8))</x:f>
        <x:v>#NAME?</x:v>
      </x:c>
      <x:c r="J127" s="27" t="e">
        <x:f>IF($A127="","",IF(대장!K63="","",대장!K63))</x:f>
        <x:v>#NAME?</x:v>
      </x:c>
    </x:row>
    <x:row r="128" ht="42" customHeight="1">
      <x:c r="A128" s="47" t="e">
        <x:f>IF(AND(대장!A63&lt;&gt;"",ISNUMBER(대장!F63),ISNUMBER(대장!G63),대장!G63&gt;=대장!F63,대장!H63&lt;&gt;""),대장!G63,"")</x:f>
        <x:v>#NAME?</x:v>
      </x:c>
      <x:c r="B128" s="27" t="e">
        <x:f>IF($A128="","",IF(발령대장_설정!$B$4="","",발령대장_설정!$B$4))</x:f>
        <x:v>#NAME?</x:v>
      </x:c>
      <x:c r="C128" s="27" t="e">
        <x:f>IF($A128="","",대장!D63)</x:f>
        <x:v>#NAME?</x:v>
      </x:c>
      <x:c r="D128" s="27" t="e">
        <x:f>IF($A128="","",대장!A63)</x:f>
        <x:v>#NAME?</x:v>
      </x:c>
      <x:c r="E128" s="27" t="e">
        <x:f>IF($A128="","",IF(OR(ISNUMBER(SEARCH("계약만료",대장!H63&amp;"")),ISNUMBER(SEARCH("기간만료",대장!H63&amp;""))),"계약기간 만료로 퇴직",IF(ISNUMBER(SEARCH("의원면직",대장!H63&amp;"")),"의원면직",IF(ISNUMBER(SEARCH("정년퇴직",대장!H63&amp;"")),"정년퇴직",대장!H63))))</x:f>
        <x:v>#NAME?</x:v>
      </x:c>
      <x:c r="F128" s="27" t="e">
        <x:f>IF($A128="","",IF(발령대장_설정!$B$5="","",발령대장_설정!$B$5))</x:f>
        <x:v>#NAME?</x:v>
      </x:c>
      <x:c r="G128" s="27" t="e">
        <x:f>IF($A128="","",IF(발령대장_설정!$B$6="","",발령대장_설정!$B$6))</x:f>
        <x:v>#NAME?</x:v>
      </x:c>
      <x:c r="H128" s="27" t="e">
        <x:f>IF($A128="","",IF(발령대장_설정!$B$7="","",발령대장_설정!$B$7))</x:f>
        <x:v>#NAME?</x:v>
      </x:c>
      <x:c r="I128" s="27" t="e">
        <x:f>IF($A128="","",IF(발령대장_설정!$B$8="","",발령대장_설정!$B$8))</x:f>
        <x:v>#NAME?</x:v>
      </x:c>
      <x:c r="J128" s="27" t="str">
        <x:f>""</x:f>
      </x:c>
    </x:row>
    <x:row r="129" ht="42" customHeight="1">
      <x:c r="A129" s="47" t="e">
        <x:f>IF(AND(대장!A64&lt;&gt;"",ISNUMBER(대장!F64),OR(대장!G64="",AND(ISNUMBER(대장!G64),대장!G64&gt;=대장!F64))),대장!F64,"")</x:f>
        <x:v>#NAME?</x:v>
      </x:c>
      <x:c r="B129" s="27" t="e">
        <x:f>IF($A129="","",IF(발령대장_설정!$B$4="","",발령대장_설정!$B$4))</x:f>
        <x:v>#NAME?</x:v>
      </x:c>
      <x:c r="C129" s="27" t="e">
        <x:f>IF($A129="","",대장!D64)</x:f>
        <x:v>#NAME?</x:v>
      </x:c>
      <x:c r="D129" s="27" t="e">
        <x:f>IF($A129="","",대장!A64)</x:f>
        <x:v>#NAME?</x:v>
      </x:c>
      <x:c r="E129" s="27" t="e">
        <x:f>IF($A129="","",IF(대장!J64&lt;&gt;"",대장!J64,대장!D64&amp;"에 임함"&amp;IF(대장!E64="","",CHAR(10)&amp;"고용형태: "&amp;대장!E64)&amp;IF(대장!I64="","",CHAR(10)&amp;"소정근로시간: "&amp;대장!I64)&amp;CHAR(10)&amp;"근로기간: "&amp;YEAR(대장!F64)&amp;"."&amp;MONTH(대장!F64)&amp;"."&amp;DAY(대장!F64)&amp;"."&amp;" ~ "&amp;IF(ISNUMBER(대장!G64),YEAR(대장!G64)&amp;"."&amp;MONTH(대장!G64)&amp;"."&amp;DAY(대장!G64)&amp;".","재직 중")))</x:f>
        <x:v>#NAME?</x:v>
      </x:c>
      <x:c r="F129" s="27" t="e">
        <x:f>IF($A129="","",IF(발령대장_설정!$B$5="","",발령대장_설정!$B$5))</x:f>
        <x:v>#NAME?</x:v>
      </x:c>
      <x:c r="G129" s="27" t="e">
        <x:f>IF($A129="","",IF(발령대장_설정!$B$6="","",발령대장_설정!$B$6))</x:f>
        <x:v>#NAME?</x:v>
      </x:c>
      <x:c r="H129" s="27" t="e">
        <x:f>IF($A129="","",IF(발령대장_설정!$B$7="","",발령대장_설정!$B$7))</x:f>
        <x:v>#NAME?</x:v>
      </x:c>
      <x:c r="I129" s="27" t="e">
        <x:f>IF($A129="","",IF(발령대장_설정!$B$8="","",발령대장_설정!$B$8))</x:f>
        <x:v>#NAME?</x:v>
      </x:c>
      <x:c r="J129" s="27" t="e">
        <x:f>IF($A129="","",IF(대장!K64="","",대장!K64))</x:f>
        <x:v>#NAME?</x:v>
      </x:c>
    </x:row>
    <x:row r="130" ht="42" customHeight="1">
      <x:c r="A130" s="47" t="e">
        <x:f>IF(AND(대장!A64&lt;&gt;"",ISNUMBER(대장!F64),ISNUMBER(대장!G64),대장!G64&gt;=대장!F64,대장!H64&lt;&gt;""),대장!G64,"")</x:f>
        <x:v>#NAME?</x:v>
      </x:c>
      <x:c r="B130" s="27" t="e">
        <x:f>IF($A130="","",IF(발령대장_설정!$B$4="","",발령대장_설정!$B$4))</x:f>
        <x:v>#NAME?</x:v>
      </x:c>
      <x:c r="C130" s="27" t="e">
        <x:f>IF($A130="","",대장!D64)</x:f>
        <x:v>#NAME?</x:v>
      </x:c>
      <x:c r="D130" s="27" t="e">
        <x:f>IF($A130="","",대장!A64)</x:f>
        <x:v>#NAME?</x:v>
      </x:c>
      <x:c r="E130" s="27" t="e">
        <x:f>IF($A130="","",IF(OR(ISNUMBER(SEARCH("계약만료",대장!H64&amp;"")),ISNUMBER(SEARCH("기간만료",대장!H64&amp;""))),"계약기간 만료로 퇴직",IF(ISNUMBER(SEARCH("의원면직",대장!H64&amp;"")),"의원면직",IF(ISNUMBER(SEARCH("정년퇴직",대장!H64&amp;"")),"정년퇴직",대장!H64))))</x:f>
        <x:v>#NAME?</x:v>
      </x:c>
      <x:c r="F130" s="27" t="e">
        <x:f>IF($A130="","",IF(발령대장_설정!$B$5="","",발령대장_설정!$B$5))</x:f>
        <x:v>#NAME?</x:v>
      </x:c>
      <x:c r="G130" s="27" t="e">
        <x:f>IF($A130="","",IF(발령대장_설정!$B$6="","",발령대장_설정!$B$6))</x:f>
        <x:v>#NAME?</x:v>
      </x:c>
      <x:c r="H130" s="27" t="e">
        <x:f>IF($A130="","",IF(발령대장_설정!$B$7="","",발령대장_설정!$B$7))</x:f>
        <x:v>#NAME?</x:v>
      </x:c>
      <x:c r="I130" s="27" t="e">
        <x:f>IF($A130="","",IF(발령대장_설정!$B$8="","",발령대장_설정!$B$8))</x:f>
        <x:v>#NAME?</x:v>
      </x:c>
      <x:c r="J130" s="27" t="str">
        <x:f>""</x:f>
      </x:c>
    </x:row>
    <x:row r="131" ht="42" customHeight="1">
      <x:c r="A131" s="47" t="e">
        <x:f>IF(AND(대장!A65&lt;&gt;"",ISNUMBER(대장!F65),OR(대장!G65="",AND(ISNUMBER(대장!G65),대장!G65&gt;=대장!F65))),대장!F65,"")</x:f>
        <x:v>#NAME?</x:v>
      </x:c>
      <x:c r="B131" s="27" t="e">
        <x:f>IF($A131="","",IF(발령대장_설정!$B$4="","",발령대장_설정!$B$4))</x:f>
        <x:v>#NAME?</x:v>
      </x:c>
      <x:c r="C131" s="27" t="e">
        <x:f>IF($A131="","",대장!D65)</x:f>
        <x:v>#NAME?</x:v>
      </x:c>
      <x:c r="D131" s="27" t="e">
        <x:f>IF($A131="","",대장!A65)</x:f>
        <x:v>#NAME?</x:v>
      </x:c>
      <x:c r="E131" s="27" t="e">
        <x:f>IF($A131="","",IF(대장!J65&lt;&gt;"",대장!J65,대장!D65&amp;"에 임함"&amp;IF(대장!E65="","",CHAR(10)&amp;"고용형태: "&amp;대장!E65)&amp;IF(대장!I65="","",CHAR(10)&amp;"소정근로시간: "&amp;대장!I65)&amp;CHAR(10)&amp;"근로기간: "&amp;YEAR(대장!F65)&amp;"."&amp;MONTH(대장!F65)&amp;"."&amp;DAY(대장!F65)&amp;"."&amp;" ~ "&amp;IF(ISNUMBER(대장!G65),YEAR(대장!G65)&amp;"."&amp;MONTH(대장!G65)&amp;"."&amp;DAY(대장!G65)&amp;".","재직 중")))</x:f>
        <x:v>#NAME?</x:v>
      </x:c>
      <x:c r="F131" s="27" t="e">
        <x:f>IF($A131="","",IF(발령대장_설정!$B$5="","",발령대장_설정!$B$5))</x:f>
        <x:v>#NAME?</x:v>
      </x:c>
      <x:c r="G131" s="27" t="e">
        <x:f>IF($A131="","",IF(발령대장_설정!$B$6="","",발령대장_설정!$B$6))</x:f>
        <x:v>#NAME?</x:v>
      </x:c>
      <x:c r="H131" s="27" t="e">
        <x:f>IF($A131="","",IF(발령대장_설정!$B$7="","",발령대장_설정!$B$7))</x:f>
        <x:v>#NAME?</x:v>
      </x:c>
      <x:c r="I131" s="27" t="e">
        <x:f>IF($A131="","",IF(발령대장_설정!$B$8="","",발령대장_설정!$B$8))</x:f>
        <x:v>#NAME?</x:v>
      </x:c>
      <x:c r="J131" s="27" t="e">
        <x:f>IF($A131="","",IF(대장!K65="","",대장!K65))</x:f>
        <x:v>#NAME?</x:v>
      </x:c>
    </x:row>
    <x:row r="132" ht="42" customHeight="1">
      <x:c r="A132" s="47" t="e">
        <x:f>IF(AND(대장!A65&lt;&gt;"",ISNUMBER(대장!F65),ISNUMBER(대장!G65),대장!G65&gt;=대장!F65,대장!H65&lt;&gt;""),대장!G65,"")</x:f>
        <x:v>#NAME?</x:v>
      </x:c>
      <x:c r="B132" s="27" t="e">
        <x:f>IF($A132="","",IF(발령대장_설정!$B$4="","",발령대장_설정!$B$4))</x:f>
        <x:v>#NAME?</x:v>
      </x:c>
      <x:c r="C132" s="27" t="e">
        <x:f>IF($A132="","",대장!D65)</x:f>
        <x:v>#NAME?</x:v>
      </x:c>
      <x:c r="D132" s="27" t="e">
        <x:f>IF($A132="","",대장!A65)</x:f>
        <x:v>#NAME?</x:v>
      </x:c>
      <x:c r="E132" s="27" t="e">
        <x:f>IF($A132="","",IF(OR(ISNUMBER(SEARCH("계약만료",대장!H65&amp;"")),ISNUMBER(SEARCH("기간만료",대장!H65&amp;""))),"계약기간 만료로 퇴직",IF(ISNUMBER(SEARCH("의원면직",대장!H65&amp;"")),"의원면직",IF(ISNUMBER(SEARCH("정년퇴직",대장!H65&amp;"")),"정년퇴직",대장!H65))))</x:f>
        <x:v>#NAME?</x:v>
      </x:c>
      <x:c r="F132" s="27" t="e">
        <x:f>IF($A132="","",IF(발령대장_설정!$B$5="","",발령대장_설정!$B$5))</x:f>
        <x:v>#NAME?</x:v>
      </x:c>
      <x:c r="G132" s="27" t="e">
        <x:f>IF($A132="","",IF(발령대장_설정!$B$6="","",발령대장_설정!$B$6))</x:f>
        <x:v>#NAME?</x:v>
      </x:c>
      <x:c r="H132" s="27" t="e">
        <x:f>IF($A132="","",IF(발령대장_설정!$B$7="","",발령대장_설정!$B$7))</x:f>
        <x:v>#NAME?</x:v>
      </x:c>
      <x:c r="I132" s="27" t="e">
        <x:f>IF($A132="","",IF(발령대장_설정!$B$8="","",발령대장_설정!$B$8))</x:f>
        <x:v>#NAME?</x:v>
      </x:c>
      <x:c r="J132" s="27" t="str">
        <x:f>""</x:f>
      </x:c>
    </x:row>
    <x:row r="133" ht="42" customHeight="1">
      <x:c r="A133" s="47" t="e">
        <x:f>IF(AND(대장!A66&lt;&gt;"",ISNUMBER(대장!F66),OR(대장!G66="",AND(ISNUMBER(대장!G66),대장!G66&gt;=대장!F66))),대장!F66,"")</x:f>
        <x:v>#NAME?</x:v>
      </x:c>
      <x:c r="B133" s="27" t="e">
        <x:f>IF($A133="","",IF(발령대장_설정!$B$4="","",발령대장_설정!$B$4))</x:f>
        <x:v>#NAME?</x:v>
      </x:c>
      <x:c r="C133" s="27" t="e">
        <x:f>IF($A133="","",대장!D66)</x:f>
        <x:v>#NAME?</x:v>
      </x:c>
      <x:c r="D133" s="27" t="e">
        <x:f>IF($A133="","",대장!A66)</x:f>
        <x:v>#NAME?</x:v>
      </x:c>
      <x:c r="E133" s="27" t="e">
        <x:f>IF($A133="","",IF(대장!J66&lt;&gt;"",대장!J66,대장!D66&amp;"에 임함"&amp;IF(대장!E66="","",CHAR(10)&amp;"고용형태: "&amp;대장!E66)&amp;IF(대장!I66="","",CHAR(10)&amp;"소정근로시간: "&amp;대장!I66)&amp;CHAR(10)&amp;"근로기간: "&amp;YEAR(대장!F66)&amp;"."&amp;MONTH(대장!F66)&amp;"."&amp;DAY(대장!F66)&amp;"."&amp;" ~ "&amp;IF(ISNUMBER(대장!G66),YEAR(대장!G66)&amp;"."&amp;MONTH(대장!G66)&amp;"."&amp;DAY(대장!G66)&amp;".","재직 중")))</x:f>
        <x:v>#NAME?</x:v>
      </x:c>
      <x:c r="F133" s="27" t="e">
        <x:f>IF($A133="","",IF(발령대장_설정!$B$5="","",발령대장_설정!$B$5))</x:f>
        <x:v>#NAME?</x:v>
      </x:c>
      <x:c r="G133" s="27" t="e">
        <x:f>IF($A133="","",IF(발령대장_설정!$B$6="","",발령대장_설정!$B$6))</x:f>
        <x:v>#NAME?</x:v>
      </x:c>
      <x:c r="H133" s="27" t="e">
        <x:f>IF($A133="","",IF(발령대장_설정!$B$7="","",발령대장_설정!$B$7))</x:f>
        <x:v>#NAME?</x:v>
      </x:c>
      <x:c r="I133" s="27" t="e">
        <x:f>IF($A133="","",IF(발령대장_설정!$B$8="","",발령대장_설정!$B$8))</x:f>
        <x:v>#NAME?</x:v>
      </x:c>
      <x:c r="J133" s="27" t="e">
        <x:f>IF($A133="","",IF(대장!K66="","",대장!K66))</x:f>
        <x:v>#NAME?</x:v>
      </x:c>
    </x:row>
    <x:row r="134" ht="42" customHeight="1">
      <x:c r="A134" s="47" t="e">
        <x:f>IF(AND(대장!A66&lt;&gt;"",ISNUMBER(대장!F66),ISNUMBER(대장!G66),대장!G66&gt;=대장!F66,대장!H66&lt;&gt;""),대장!G66,"")</x:f>
        <x:v>#NAME?</x:v>
      </x:c>
      <x:c r="B134" s="27" t="e">
        <x:f>IF($A134="","",IF(발령대장_설정!$B$4="","",발령대장_설정!$B$4))</x:f>
        <x:v>#NAME?</x:v>
      </x:c>
      <x:c r="C134" s="27" t="e">
        <x:f>IF($A134="","",대장!D66)</x:f>
        <x:v>#NAME?</x:v>
      </x:c>
      <x:c r="D134" s="27" t="e">
        <x:f>IF($A134="","",대장!A66)</x:f>
        <x:v>#NAME?</x:v>
      </x:c>
      <x:c r="E134" s="27" t="e">
        <x:f>IF($A134="","",IF(OR(ISNUMBER(SEARCH("계약만료",대장!H66&amp;"")),ISNUMBER(SEARCH("기간만료",대장!H66&amp;""))),"계약기간 만료로 퇴직",IF(ISNUMBER(SEARCH("의원면직",대장!H66&amp;"")),"의원면직",IF(ISNUMBER(SEARCH("정년퇴직",대장!H66&amp;"")),"정년퇴직",대장!H66))))</x:f>
        <x:v>#NAME?</x:v>
      </x:c>
      <x:c r="F134" s="27" t="e">
        <x:f>IF($A134="","",IF(발령대장_설정!$B$5="","",발령대장_설정!$B$5))</x:f>
        <x:v>#NAME?</x:v>
      </x:c>
      <x:c r="G134" s="27" t="e">
        <x:f>IF($A134="","",IF(발령대장_설정!$B$6="","",발령대장_설정!$B$6))</x:f>
        <x:v>#NAME?</x:v>
      </x:c>
      <x:c r="H134" s="27" t="e">
        <x:f>IF($A134="","",IF(발령대장_설정!$B$7="","",발령대장_설정!$B$7))</x:f>
        <x:v>#NAME?</x:v>
      </x:c>
      <x:c r="I134" s="27" t="e">
        <x:f>IF($A134="","",IF(발령대장_설정!$B$8="","",발령대장_설정!$B$8))</x:f>
        <x:v>#NAME?</x:v>
      </x:c>
      <x:c r="J134" s="27" t="str">
        <x:f>""</x:f>
      </x:c>
    </x:row>
    <x:row r="135" ht="42" customHeight="1">
      <x:c r="A135" s="47" t="e">
        <x:f>IF(AND(대장!A67&lt;&gt;"",ISNUMBER(대장!F67),OR(대장!G67="",AND(ISNUMBER(대장!G67),대장!G67&gt;=대장!F67))),대장!F67,"")</x:f>
        <x:v>#NAME?</x:v>
      </x:c>
      <x:c r="B135" s="27" t="e">
        <x:f>IF($A135="","",IF(발령대장_설정!$B$4="","",발령대장_설정!$B$4))</x:f>
        <x:v>#NAME?</x:v>
      </x:c>
      <x:c r="C135" s="27" t="e">
        <x:f>IF($A135="","",대장!D67)</x:f>
        <x:v>#NAME?</x:v>
      </x:c>
      <x:c r="D135" s="27" t="e">
        <x:f>IF($A135="","",대장!A67)</x:f>
        <x:v>#NAME?</x:v>
      </x:c>
      <x:c r="E135" s="27" t="e">
        <x:f>IF($A135="","",IF(대장!J67&lt;&gt;"",대장!J67,대장!D67&amp;"에 임함"&amp;IF(대장!E67="","",CHAR(10)&amp;"고용형태: "&amp;대장!E67)&amp;IF(대장!I67="","",CHAR(10)&amp;"소정근로시간: "&amp;대장!I67)&amp;CHAR(10)&amp;"근로기간: "&amp;YEAR(대장!F67)&amp;"."&amp;MONTH(대장!F67)&amp;"."&amp;DAY(대장!F67)&amp;"."&amp;" ~ "&amp;IF(ISNUMBER(대장!G67),YEAR(대장!G67)&amp;"."&amp;MONTH(대장!G67)&amp;"."&amp;DAY(대장!G67)&amp;".","재직 중")))</x:f>
        <x:v>#NAME?</x:v>
      </x:c>
      <x:c r="F135" s="27" t="e">
        <x:f>IF($A135="","",IF(발령대장_설정!$B$5="","",발령대장_설정!$B$5))</x:f>
        <x:v>#NAME?</x:v>
      </x:c>
      <x:c r="G135" s="27" t="e">
        <x:f>IF($A135="","",IF(발령대장_설정!$B$6="","",발령대장_설정!$B$6))</x:f>
        <x:v>#NAME?</x:v>
      </x:c>
      <x:c r="H135" s="27" t="e">
        <x:f>IF($A135="","",IF(발령대장_설정!$B$7="","",발령대장_설정!$B$7))</x:f>
        <x:v>#NAME?</x:v>
      </x:c>
      <x:c r="I135" s="27" t="e">
        <x:f>IF($A135="","",IF(발령대장_설정!$B$8="","",발령대장_설정!$B$8))</x:f>
        <x:v>#NAME?</x:v>
      </x:c>
      <x:c r="J135" s="27" t="e">
        <x:f>IF($A135="","",IF(대장!K67="","",대장!K67))</x:f>
        <x:v>#NAME?</x:v>
      </x:c>
    </x:row>
    <x:row r="136" ht="42" customHeight="1">
      <x:c r="A136" s="47" t="e">
        <x:f>IF(AND(대장!A67&lt;&gt;"",ISNUMBER(대장!F67),ISNUMBER(대장!G67),대장!G67&gt;=대장!F67,대장!H67&lt;&gt;""),대장!G67,"")</x:f>
        <x:v>#NAME?</x:v>
      </x:c>
      <x:c r="B136" s="27" t="e">
        <x:f>IF($A136="","",IF(발령대장_설정!$B$4="","",발령대장_설정!$B$4))</x:f>
        <x:v>#NAME?</x:v>
      </x:c>
      <x:c r="C136" s="27" t="e">
        <x:f>IF($A136="","",대장!D67)</x:f>
        <x:v>#NAME?</x:v>
      </x:c>
      <x:c r="D136" s="27" t="e">
        <x:f>IF($A136="","",대장!A67)</x:f>
        <x:v>#NAME?</x:v>
      </x:c>
      <x:c r="E136" s="27" t="e">
        <x:f>IF($A136="","",IF(OR(ISNUMBER(SEARCH("계약만료",대장!H67&amp;"")),ISNUMBER(SEARCH("기간만료",대장!H67&amp;""))),"계약기간 만료로 퇴직",IF(ISNUMBER(SEARCH("의원면직",대장!H67&amp;"")),"의원면직",IF(ISNUMBER(SEARCH("정년퇴직",대장!H67&amp;"")),"정년퇴직",대장!H67))))</x:f>
        <x:v>#NAME?</x:v>
      </x:c>
      <x:c r="F136" s="27" t="e">
        <x:f>IF($A136="","",IF(발령대장_설정!$B$5="","",발령대장_설정!$B$5))</x:f>
        <x:v>#NAME?</x:v>
      </x:c>
      <x:c r="G136" s="27" t="e">
        <x:f>IF($A136="","",IF(발령대장_설정!$B$6="","",발령대장_설정!$B$6))</x:f>
        <x:v>#NAME?</x:v>
      </x:c>
      <x:c r="H136" s="27" t="e">
        <x:f>IF($A136="","",IF(발령대장_설정!$B$7="","",발령대장_설정!$B$7))</x:f>
        <x:v>#NAME?</x:v>
      </x:c>
      <x:c r="I136" s="27" t="e">
        <x:f>IF($A136="","",IF(발령대장_설정!$B$8="","",발령대장_설정!$B$8))</x:f>
        <x:v>#NAME?</x:v>
      </x:c>
      <x:c r="J136" s="27" t="str">
        <x:f>""</x:f>
      </x:c>
    </x:row>
    <x:row r="137" ht="42" customHeight="1">
      <x:c r="A137" s="47" t="e">
        <x:f>IF(AND(대장!A68&lt;&gt;"",ISNUMBER(대장!F68),OR(대장!G68="",AND(ISNUMBER(대장!G68),대장!G68&gt;=대장!F68))),대장!F68,"")</x:f>
        <x:v>#NAME?</x:v>
      </x:c>
      <x:c r="B137" s="27" t="e">
        <x:f>IF($A137="","",IF(발령대장_설정!$B$4="","",발령대장_설정!$B$4))</x:f>
        <x:v>#NAME?</x:v>
      </x:c>
      <x:c r="C137" s="27" t="e">
        <x:f>IF($A137="","",대장!D68)</x:f>
        <x:v>#NAME?</x:v>
      </x:c>
      <x:c r="D137" s="27" t="e">
        <x:f>IF($A137="","",대장!A68)</x:f>
        <x:v>#NAME?</x:v>
      </x:c>
      <x:c r="E137" s="27" t="e">
        <x:f>IF($A137="","",IF(대장!J68&lt;&gt;"",대장!J68,대장!D68&amp;"에 임함"&amp;IF(대장!E68="","",CHAR(10)&amp;"고용형태: "&amp;대장!E68)&amp;IF(대장!I68="","",CHAR(10)&amp;"소정근로시간: "&amp;대장!I68)&amp;CHAR(10)&amp;"근로기간: "&amp;YEAR(대장!F68)&amp;"."&amp;MONTH(대장!F68)&amp;"."&amp;DAY(대장!F68)&amp;"."&amp;" ~ "&amp;IF(ISNUMBER(대장!G68),YEAR(대장!G68)&amp;"."&amp;MONTH(대장!G68)&amp;"."&amp;DAY(대장!G68)&amp;".","재직 중")))</x:f>
        <x:v>#NAME?</x:v>
      </x:c>
      <x:c r="F137" s="27" t="e">
        <x:f>IF($A137="","",IF(발령대장_설정!$B$5="","",발령대장_설정!$B$5))</x:f>
        <x:v>#NAME?</x:v>
      </x:c>
      <x:c r="G137" s="27" t="e">
        <x:f>IF($A137="","",IF(발령대장_설정!$B$6="","",발령대장_설정!$B$6))</x:f>
        <x:v>#NAME?</x:v>
      </x:c>
      <x:c r="H137" s="27" t="e">
        <x:f>IF($A137="","",IF(발령대장_설정!$B$7="","",발령대장_설정!$B$7))</x:f>
        <x:v>#NAME?</x:v>
      </x:c>
      <x:c r="I137" s="27" t="e">
        <x:f>IF($A137="","",IF(발령대장_설정!$B$8="","",발령대장_설정!$B$8))</x:f>
        <x:v>#NAME?</x:v>
      </x:c>
      <x:c r="J137" s="27" t="e">
        <x:f>IF($A137="","",IF(대장!K68="","",대장!K68))</x:f>
        <x:v>#NAME?</x:v>
      </x:c>
    </x:row>
    <x:row r="138" ht="42" customHeight="1">
      <x:c r="A138" s="47" t="e">
        <x:f>IF(AND(대장!A68&lt;&gt;"",ISNUMBER(대장!F68),ISNUMBER(대장!G68),대장!G68&gt;=대장!F68,대장!H68&lt;&gt;""),대장!G68,"")</x:f>
        <x:v>#NAME?</x:v>
      </x:c>
      <x:c r="B138" s="27" t="e">
        <x:f>IF($A138="","",IF(발령대장_설정!$B$4="","",발령대장_설정!$B$4))</x:f>
        <x:v>#NAME?</x:v>
      </x:c>
      <x:c r="C138" s="27" t="e">
        <x:f>IF($A138="","",대장!D68)</x:f>
        <x:v>#NAME?</x:v>
      </x:c>
      <x:c r="D138" s="27" t="e">
        <x:f>IF($A138="","",대장!A68)</x:f>
        <x:v>#NAME?</x:v>
      </x:c>
      <x:c r="E138" s="27" t="e">
        <x:f>IF($A138="","",IF(OR(ISNUMBER(SEARCH("계약만료",대장!H68&amp;"")),ISNUMBER(SEARCH("기간만료",대장!H68&amp;""))),"계약기간 만료로 퇴직",IF(ISNUMBER(SEARCH("의원면직",대장!H68&amp;"")),"의원면직",IF(ISNUMBER(SEARCH("정년퇴직",대장!H68&amp;"")),"정년퇴직",대장!H68))))</x:f>
        <x:v>#NAME?</x:v>
      </x:c>
      <x:c r="F138" s="27" t="e">
        <x:f>IF($A138="","",IF(발령대장_설정!$B$5="","",발령대장_설정!$B$5))</x:f>
        <x:v>#NAME?</x:v>
      </x:c>
      <x:c r="G138" s="27" t="e">
        <x:f>IF($A138="","",IF(발령대장_설정!$B$6="","",발령대장_설정!$B$6))</x:f>
        <x:v>#NAME?</x:v>
      </x:c>
      <x:c r="H138" s="27" t="e">
        <x:f>IF($A138="","",IF(발령대장_설정!$B$7="","",발령대장_설정!$B$7))</x:f>
        <x:v>#NAME?</x:v>
      </x:c>
      <x:c r="I138" s="27" t="e">
        <x:f>IF($A138="","",IF(발령대장_설정!$B$8="","",발령대장_설정!$B$8))</x:f>
        <x:v>#NAME?</x:v>
      </x:c>
      <x:c r="J138" s="27" t="str">
        <x:f>""</x:f>
      </x:c>
    </x:row>
    <x:row r="139" ht="42" customHeight="1">
      <x:c r="A139" s="47" t="e">
        <x:f>IF(AND(대장!A69&lt;&gt;"",ISNUMBER(대장!F69),OR(대장!G69="",AND(ISNUMBER(대장!G69),대장!G69&gt;=대장!F69))),대장!F69,"")</x:f>
        <x:v>#NAME?</x:v>
      </x:c>
      <x:c r="B139" s="27" t="e">
        <x:f>IF($A139="","",IF(발령대장_설정!$B$4="","",발령대장_설정!$B$4))</x:f>
        <x:v>#NAME?</x:v>
      </x:c>
      <x:c r="C139" s="27" t="e">
        <x:f>IF($A139="","",대장!D69)</x:f>
        <x:v>#NAME?</x:v>
      </x:c>
      <x:c r="D139" s="27" t="e">
        <x:f>IF($A139="","",대장!A69)</x:f>
        <x:v>#NAME?</x:v>
      </x:c>
      <x:c r="E139" s="27" t="e">
        <x:f>IF($A139="","",IF(대장!J69&lt;&gt;"",대장!J69,대장!D69&amp;"에 임함"&amp;IF(대장!E69="","",CHAR(10)&amp;"고용형태: "&amp;대장!E69)&amp;IF(대장!I69="","",CHAR(10)&amp;"소정근로시간: "&amp;대장!I69)&amp;CHAR(10)&amp;"근로기간: "&amp;YEAR(대장!F69)&amp;"."&amp;MONTH(대장!F69)&amp;"."&amp;DAY(대장!F69)&amp;"."&amp;" ~ "&amp;IF(ISNUMBER(대장!G69),YEAR(대장!G69)&amp;"."&amp;MONTH(대장!G69)&amp;"."&amp;DAY(대장!G69)&amp;".","재직 중")))</x:f>
        <x:v>#NAME?</x:v>
      </x:c>
      <x:c r="F139" s="27" t="e">
        <x:f>IF($A139="","",IF(발령대장_설정!$B$5="","",발령대장_설정!$B$5))</x:f>
        <x:v>#NAME?</x:v>
      </x:c>
      <x:c r="G139" s="27" t="e">
        <x:f>IF($A139="","",IF(발령대장_설정!$B$6="","",발령대장_설정!$B$6))</x:f>
        <x:v>#NAME?</x:v>
      </x:c>
      <x:c r="H139" s="27" t="e">
        <x:f>IF($A139="","",IF(발령대장_설정!$B$7="","",발령대장_설정!$B$7))</x:f>
        <x:v>#NAME?</x:v>
      </x:c>
      <x:c r="I139" s="27" t="e">
        <x:f>IF($A139="","",IF(발령대장_설정!$B$8="","",발령대장_설정!$B$8))</x:f>
        <x:v>#NAME?</x:v>
      </x:c>
      <x:c r="J139" s="27" t="e">
        <x:f>IF($A139="","",IF(대장!K69="","",대장!K69))</x:f>
        <x:v>#NAME?</x:v>
      </x:c>
    </x:row>
    <x:row r="140" ht="42" customHeight="1">
      <x:c r="A140" s="47" t="e">
        <x:f>IF(AND(대장!A69&lt;&gt;"",ISNUMBER(대장!F69),ISNUMBER(대장!G69),대장!G69&gt;=대장!F69,대장!H69&lt;&gt;""),대장!G69,"")</x:f>
        <x:v>#NAME?</x:v>
      </x:c>
      <x:c r="B140" s="27" t="e">
        <x:f>IF($A140="","",IF(발령대장_설정!$B$4="","",발령대장_설정!$B$4))</x:f>
        <x:v>#NAME?</x:v>
      </x:c>
      <x:c r="C140" s="27" t="e">
        <x:f>IF($A140="","",대장!D69)</x:f>
        <x:v>#NAME?</x:v>
      </x:c>
      <x:c r="D140" s="27" t="e">
        <x:f>IF($A140="","",대장!A69)</x:f>
        <x:v>#NAME?</x:v>
      </x:c>
      <x:c r="E140" s="27" t="e">
        <x:f>IF($A140="","",IF(OR(ISNUMBER(SEARCH("계약만료",대장!H69&amp;"")),ISNUMBER(SEARCH("기간만료",대장!H69&amp;""))),"계약기간 만료로 퇴직",IF(ISNUMBER(SEARCH("의원면직",대장!H69&amp;"")),"의원면직",IF(ISNUMBER(SEARCH("정년퇴직",대장!H69&amp;"")),"정년퇴직",대장!H69))))</x:f>
        <x:v>#NAME?</x:v>
      </x:c>
      <x:c r="F140" s="27" t="e">
        <x:f>IF($A140="","",IF(발령대장_설정!$B$5="","",발령대장_설정!$B$5))</x:f>
        <x:v>#NAME?</x:v>
      </x:c>
      <x:c r="G140" s="27" t="e">
        <x:f>IF($A140="","",IF(발령대장_설정!$B$6="","",발령대장_설정!$B$6))</x:f>
        <x:v>#NAME?</x:v>
      </x:c>
      <x:c r="H140" s="27" t="e">
        <x:f>IF($A140="","",IF(발령대장_설정!$B$7="","",발령대장_설정!$B$7))</x:f>
        <x:v>#NAME?</x:v>
      </x:c>
      <x:c r="I140" s="27" t="e">
        <x:f>IF($A140="","",IF(발령대장_설정!$B$8="","",발령대장_설정!$B$8))</x:f>
        <x:v>#NAME?</x:v>
      </x:c>
      <x:c r="J140" s="27" t="str">
        <x:f>""</x:f>
      </x:c>
    </x:row>
    <x:row r="141" ht="42" customHeight="1">
      <x:c r="A141" s="47" t="e">
        <x:f>IF(AND(대장!A70&lt;&gt;"",ISNUMBER(대장!F70),OR(대장!G70="",AND(ISNUMBER(대장!G70),대장!G70&gt;=대장!F70))),대장!F70,"")</x:f>
        <x:v>#NAME?</x:v>
      </x:c>
      <x:c r="B141" s="27" t="e">
        <x:f>IF($A141="","",IF(발령대장_설정!$B$4="","",발령대장_설정!$B$4))</x:f>
        <x:v>#NAME?</x:v>
      </x:c>
      <x:c r="C141" s="27" t="e">
        <x:f>IF($A141="","",대장!D70)</x:f>
        <x:v>#NAME?</x:v>
      </x:c>
      <x:c r="D141" s="27" t="e">
        <x:f>IF($A141="","",대장!A70)</x:f>
        <x:v>#NAME?</x:v>
      </x:c>
      <x:c r="E141" s="27" t="e">
        <x:f>IF($A141="","",IF(대장!J70&lt;&gt;"",대장!J70,대장!D70&amp;"에 임함"&amp;IF(대장!E70="","",CHAR(10)&amp;"고용형태: "&amp;대장!E70)&amp;IF(대장!I70="","",CHAR(10)&amp;"소정근로시간: "&amp;대장!I70)&amp;CHAR(10)&amp;"근로기간: "&amp;YEAR(대장!F70)&amp;"."&amp;MONTH(대장!F70)&amp;"."&amp;DAY(대장!F70)&amp;"."&amp;" ~ "&amp;IF(ISNUMBER(대장!G70),YEAR(대장!G70)&amp;"."&amp;MONTH(대장!G70)&amp;"."&amp;DAY(대장!G70)&amp;".","재직 중")))</x:f>
        <x:v>#NAME?</x:v>
      </x:c>
      <x:c r="F141" s="27" t="e">
        <x:f>IF($A141="","",IF(발령대장_설정!$B$5="","",발령대장_설정!$B$5))</x:f>
        <x:v>#NAME?</x:v>
      </x:c>
      <x:c r="G141" s="27" t="e">
        <x:f>IF($A141="","",IF(발령대장_설정!$B$6="","",발령대장_설정!$B$6))</x:f>
        <x:v>#NAME?</x:v>
      </x:c>
      <x:c r="H141" s="27" t="e">
        <x:f>IF($A141="","",IF(발령대장_설정!$B$7="","",발령대장_설정!$B$7))</x:f>
        <x:v>#NAME?</x:v>
      </x:c>
      <x:c r="I141" s="27" t="e">
        <x:f>IF($A141="","",IF(발령대장_설정!$B$8="","",발령대장_설정!$B$8))</x:f>
        <x:v>#NAME?</x:v>
      </x:c>
      <x:c r="J141" s="27" t="e">
        <x:f>IF($A141="","",IF(대장!K70="","",대장!K70))</x:f>
        <x:v>#NAME?</x:v>
      </x:c>
    </x:row>
    <x:row r="142" ht="42" customHeight="1">
      <x:c r="A142" s="47" t="e">
        <x:f>IF(AND(대장!A70&lt;&gt;"",ISNUMBER(대장!F70),ISNUMBER(대장!G70),대장!G70&gt;=대장!F70,대장!H70&lt;&gt;""),대장!G70,"")</x:f>
        <x:v>#NAME?</x:v>
      </x:c>
      <x:c r="B142" s="27" t="e">
        <x:f>IF($A142="","",IF(발령대장_설정!$B$4="","",발령대장_설정!$B$4))</x:f>
        <x:v>#NAME?</x:v>
      </x:c>
      <x:c r="C142" s="27" t="e">
        <x:f>IF($A142="","",대장!D70)</x:f>
        <x:v>#NAME?</x:v>
      </x:c>
      <x:c r="D142" s="27" t="e">
        <x:f>IF($A142="","",대장!A70)</x:f>
        <x:v>#NAME?</x:v>
      </x:c>
      <x:c r="E142" s="27" t="e">
        <x:f>IF($A142="","",IF(OR(ISNUMBER(SEARCH("계약만료",대장!H70&amp;"")),ISNUMBER(SEARCH("기간만료",대장!H70&amp;""))),"계약기간 만료로 퇴직",IF(ISNUMBER(SEARCH("의원면직",대장!H70&amp;"")),"의원면직",IF(ISNUMBER(SEARCH("정년퇴직",대장!H70&amp;"")),"정년퇴직",대장!H70))))</x:f>
        <x:v>#NAME?</x:v>
      </x:c>
      <x:c r="F142" s="27" t="e">
        <x:f>IF($A142="","",IF(발령대장_설정!$B$5="","",발령대장_설정!$B$5))</x:f>
        <x:v>#NAME?</x:v>
      </x:c>
      <x:c r="G142" s="27" t="e">
        <x:f>IF($A142="","",IF(발령대장_설정!$B$6="","",발령대장_설정!$B$6))</x:f>
        <x:v>#NAME?</x:v>
      </x:c>
      <x:c r="H142" s="27" t="e">
        <x:f>IF($A142="","",IF(발령대장_설정!$B$7="","",발령대장_설정!$B$7))</x:f>
        <x:v>#NAME?</x:v>
      </x:c>
      <x:c r="I142" s="27" t="e">
        <x:f>IF($A142="","",IF(발령대장_설정!$B$8="","",발령대장_설정!$B$8))</x:f>
        <x:v>#NAME?</x:v>
      </x:c>
      <x:c r="J142" s="27" t="str">
        <x:f>""</x:f>
      </x:c>
    </x:row>
    <x:row r="143" ht="42" customHeight="1">
      <x:c r="A143" s="47" t="e">
        <x:f>IF(AND(대장!A71&lt;&gt;"",ISNUMBER(대장!F71),OR(대장!G71="",AND(ISNUMBER(대장!G71),대장!G71&gt;=대장!F71))),대장!F71,"")</x:f>
        <x:v>#NAME?</x:v>
      </x:c>
      <x:c r="B143" s="27" t="e">
        <x:f>IF($A143="","",IF(발령대장_설정!$B$4="","",발령대장_설정!$B$4))</x:f>
        <x:v>#NAME?</x:v>
      </x:c>
      <x:c r="C143" s="27" t="e">
        <x:f>IF($A143="","",대장!D71)</x:f>
        <x:v>#NAME?</x:v>
      </x:c>
      <x:c r="D143" s="27" t="e">
        <x:f>IF($A143="","",대장!A71)</x:f>
        <x:v>#NAME?</x:v>
      </x:c>
      <x:c r="E143" s="27" t="e">
        <x:f>IF($A143="","",IF(대장!J71&lt;&gt;"",대장!J71,대장!D71&amp;"에 임함"&amp;IF(대장!E71="","",CHAR(10)&amp;"고용형태: "&amp;대장!E71)&amp;IF(대장!I71="","",CHAR(10)&amp;"소정근로시간: "&amp;대장!I71)&amp;CHAR(10)&amp;"근로기간: "&amp;YEAR(대장!F71)&amp;"."&amp;MONTH(대장!F71)&amp;"."&amp;DAY(대장!F71)&amp;"."&amp;" ~ "&amp;IF(ISNUMBER(대장!G71),YEAR(대장!G71)&amp;"."&amp;MONTH(대장!G71)&amp;"."&amp;DAY(대장!G71)&amp;".","재직 중")))</x:f>
        <x:v>#NAME?</x:v>
      </x:c>
      <x:c r="F143" s="27" t="e">
        <x:f>IF($A143="","",IF(발령대장_설정!$B$5="","",발령대장_설정!$B$5))</x:f>
        <x:v>#NAME?</x:v>
      </x:c>
      <x:c r="G143" s="27" t="e">
        <x:f>IF($A143="","",IF(발령대장_설정!$B$6="","",발령대장_설정!$B$6))</x:f>
        <x:v>#NAME?</x:v>
      </x:c>
      <x:c r="H143" s="27" t="e">
        <x:f>IF($A143="","",IF(발령대장_설정!$B$7="","",발령대장_설정!$B$7))</x:f>
        <x:v>#NAME?</x:v>
      </x:c>
      <x:c r="I143" s="27" t="e">
        <x:f>IF($A143="","",IF(발령대장_설정!$B$8="","",발령대장_설정!$B$8))</x:f>
        <x:v>#NAME?</x:v>
      </x:c>
      <x:c r="J143" s="27" t="e">
        <x:f>IF($A143="","",IF(대장!K71="","",대장!K71))</x:f>
        <x:v>#NAME?</x:v>
      </x:c>
    </x:row>
    <x:row r="144" ht="42" customHeight="1">
      <x:c r="A144" s="47" t="e">
        <x:f>IF(AND(대장!A71&lt;&gt;"",ISNUMBER(대장!F71),ISNUMBER(대장!G71),대장!G71&gt;=대장!F71,대장!H71&lt;&gt;""),대장!G71,"")</x:f>
        <x:v>#NAME?</x:v>
      </x:c>
      <x:c r="B144" s="27" t="e">
        <x:f>IF($A144="","",IF(발령대장_설정!$B$4="","",발령대장_설정!$B$4))</x:f>
        <x:v>#NAME?</x:v>
      </x:c>
      <x:c r="C144" s="27" t="e">
        <x:f>IF($A144="","",대장!D71)</x:f>
        <x:v>#NAME?</x:v>
      </x:c>
      <x:c r="D144" s="27" t="e">
        <x:f>IF($A144="","",대장!A71)</x:f>
        <x:v>#NAME?</x:v>
      </x:c>
      <x:c r="E144" s="27" t="e">
        <x:f>IF($A144="","",IF(OR(ISNUMBER(SEARCH("계약만료",대장!H71&amp;"")),ISNUMBER(SEARCH("기간만료",대장!H71&amp;""))),"계약기간 만료로 퇴직",IF(ISNUMBER(SEARCH("의원면직",대장!H71&amp;"")),"의원면직",IF(ISNUMBER(SEARCH("정년퇴직",대장!H71&amp;"")),"정년퇴직",대장!H71))))</x:f>
        <x:v>#NAME?</x:v>
      </x:c>
      <x:c r="F144" s="27" t="e">
        <x:f>IF($A144="","",IF(발령대장_설정!$B$5="","",발령대장_설정!$B$5))</x:f>
        <x:v>#NAME?</x:v>
      </x:c>
      <x:c r="G144" s="27" t="e">
        <x:f>IF($A144="","",IF(발령대장_설정!$B$6="","",발령대장_설정!$B$6))</x:f>
        <x:v>#NAME?</x:v>
      </x:c>
      <x:c r="H144" s="27" t="e">
        <x:f>IF($A144="","",IF(발령대장_설정!$B$7="","",발령대장_설정!$B$7))</x:f>
        <x:v>#NAME?</x:v>
      </x:c>
      <x:c r="I144" s="27" t="e">
        <x:f>IF($A144="","",IF(발령대장_설정!$B$8="","",발령대장_설정!$B$8))</x:f>
        <x:v>#NAME?</x:v>
      </x:c>
      <x:c r="J144" s="27" t="str">
        <x:f>""</x:f>
      </x:c>
    </x:row>
    <x:row r="145" ht="42" customHeight="1">
      <x:c r="A145" s="47" t="e">
        <x:f>IF(AND(대장!A72&lt;&gt;"",ISNUMBER(대장!F72),OR(대장!G72="",AND(ISNUMBER(대장!G72),대장!G72&gt;=대장!F72))),대장!F72,"")</x:f>
        <x:v>#NAME?</x:v>
      </x:c>
      <x:c r="B145" s="27" t="e">
        <x:f>IF($A145="","",IF(발령대장_설정!$B$4="","",발령대장_설정!$B$4))</x:f>
        <x:v>#NAME?</x:v>
      </x:c>
      <x:c r="C145" s="27" t="e">
        <x:f>IF($A145="","",대장!D72)</x:f>
        <x:v>#NAME?</x:v>
      </x:c>
      <x:c r="D145" s="27" t="e">
        <x:f>IF($A145="","",대장!A72)</x:f>
        <x:v>#NAME?</x:v>
      </x:c>
      <x:c r="E145" s="27" t="e">
        <x:f>IF($A145="","",IF(대장!J72&lt;&gt;"",대장!J72,대장!D72&amp;"에 임함"&amp;IF(대장!E72="","",CHAR(10)&amp;"고용형태: "&amp;대장!E72)&amp;IF(대장!I72="","",CHAR(10)&amp;"소정근로시간: "&amp;대장!I72)&amp;CHAR(10)&amp;"근로기간: "&amp;YEAR(대장!F72)&amp;"."&amp;MONTH(대장!F72)&amp;"."&amp;DAY(대장!F72)&amp;"."&amp;" ~ "&amp;IF(ISNUMBER(대장!G72),YEAR(대장!G72)&amp;"."&amp;MONTH(대장!G72)&amp;"."&amp;DAY(대장!G72)&amp;".","재직 중")))</x:f>
        <x:v>#NAME?</x:v>
      </x:c>
      <x:c r="F145" s="27" t="e">
        <x:f>IF($A145="","",IF(발령대장_설정!$B$5="","",발령대장_설정!$B$5))</x:f>
        <x:v>#NAME?</x:v>
      </x:c>
      <x:c r="G145" s="27" t="e">
        <x:f>IF($A145="","",IF(발령대장_설정!$B$6="","",발령대장_설정!$B$6))</x:f>
        <x:v>#NAME?</x:v>
      </x:c>
      <x:c r="H145" s="27" t="e">
        <x:f>IF($A145="","",IF(발령대장_설정!$B$7="","",발령대장_설정!$B$7))</x:f>
        <x:v>#NAME?</x:v>
      </x:c>
      <x:c r="I145" s="27" t="e">
        <x:f>IF($A145="","",IF(발령대장_설정!$B$8="","",발령대장_설정!$B$8))</x:f>
        <x:v>#NAME?</x:v>
      </x:c>
      <x:c r="J145" s="27" t="e">
        <x:f>IF($A145="","",IF(대장!K72="","",대장!K72))</x:f>
        <x:v>#NAME?</x:v>
      </x:c>
    </x:row>
    <x:row r="146" ht="42" customHeight="1">
      <x:c r="A146" s="47" t="e">
        <x:f>IF(AND(대장!A72&lt;&gt;"",ISNUMBER(대장!F72),ISNUMBER(대장!G72),대장!G72&gt;=대장!F72,대장!H72&lt;&gt;""),대장!G72,"")</x:f>
        <x:v>#NAME?</x:v>
      </x:c>
      <x:c r="B146" s="27" t="e">
        <x:f>IF($A146="","",IF(발령대장_설정!$B$4="","",발령대장_설정!$B$4))</x:f>
        <x:v>#NAME?</x:v>
      </x:c>
      <x:c r="C146" s="27" t="e">
        <x:f>IF($A146="","",대장!D72)</x:f>
        <x:v>#NAME?</x:v>
      </x:c>
      <x:c r="D146" s="27" t="e">
        <x:f>IF($A146="","",대장!A72)</x:f>
        <x:v>#NAME?</x:v>
      </x:c>
      <x:c r="E146" s="27" t="e">
        <x:f>IF($A146="","",IF(OR(ISNUMBER(SEARCH("계약만료",대장!H72&amp;"")),ISNUMBER(SEARCH("기간만료",대장!H72&amp;""))),"계약기간 만료로 퇴직",IF(ISNUMBER(SEARCH("의원면직",대장!H72&amp;"")),"의원면직",IF(ISNUMBER(SEARCH("정년퇴직",대장!H72&amp;"")),"정년퇴직",대장!H72))))</x:f>
        <x:v>#NAME?</x:v>
      </x:c>
      <x:c r="F146" s="27" t="e">
        <x:f>IF($A146="","",IF(발령대장_설정!$B$5="","",발령대장_설정!$B$5))</x:f>
        <x:v>#NAME?</x:v>
      </x:c>
      <x:c r="G146" s="27" t="e">
        <x:f>IF($A146="","",IF(발령대장_설정!$B$6="","",발령대장_설정!$B$6))</x:f>
        <x:v>#NAME?</x:v>
      </x:c>
      <x:c r="H146" s="27" t="e">
        <x:f>IF($A146="","",IF(발령대장_설정!$B$7="","",발령대장_설정!$B$7))</x:f>
        <x:v>#NAME?</x:v>
      </x:c>
      <x:c r="I146" s="27" t="e">
        <x:f>IF($A146="","",IF(발령대장_설정!$B$8="","",발령대장_설정!$B$8))</x:f>
        <x:v>#NAME?</x:v>
      </x:c>
      <x:c r="J146" s="27" t="str">
        <x:f>""</x:f>
      </x:c>
    </x:row>
    <x:row r="147" ht="42" customHeight="1">
      <x:c r="A147" s="47" t="e">
        <x:f>IF(AND(대장!A73&lt;&gt;"",ISNUMBER(대장!F73),OR(대장!G73="",AND(ISNUMBER(대장!G73),대장!G73&gt;=대장!F73))),대장!F73,"")</x:f>
        <x:v>#NAME?</x:v>
      </x:c>
      <x:c r="B147" s="27" t="e">
        <x:f>IF($A147="","",IF(발령대장_설정!$B$4="","",발령대장_설정!$B$4))</x:f>
        <x:v>#NAME?</x:v>
      </x:c>
      <x:c r="C147" s="27" t="e">
        <x:f>IF($A147="","",대장!D73)</x:f>
        <x:v>#NAME?</x:v>
      </x:c>
      <x:c r="D147" s="27" t="e">
        <x:f>IF($A147="","",대장!A73)</x:f>
        <x:v>#NAME?</x:v>
      </x:c>
      <x:c r="E147" s="27" t="e">
        <x:f>IF($A147="","",IF(대장!J73&lt;&gt;"",대장!J73,대장!D73&amp;"에 임함"&amp;IF(대장!E73="","",CHAR(10)&amp;"고용형태: "&amp;대장!E73)&amp;IF(대장!I73="","",CHAR(10)&amp;"소정근로시간: "&amp;대장!I73)&amp;CHAR(10)&amp;"근로기간: "&amp;YEAR(대장!F73)&amp;"."&amp;MONTH(대장!F73)&amp;"."&amp;DAY(대장!F73)&amp;"."&amp;" ~ "&amp;IF(ISNUMBER(대장!G73),YEAR(대장!G73)&amp;"."&amp;MONTH(대장!G73)&amp;"."&amp;DAY(대장!G73)&amp;".","재직 중")))</x:f>
        <x:v>#NAME?</x:v>
      </x:c>
      <x:c r="F147" s="27" t="e">
        <x:f>IF($A147="","",IF(발령대장_설정!$B$5="","",발령대장_설정!$B$5))</x:f>
        <x:v>#NAME?</x:v>
      </x:c>
      <x:c r="G147" s="27" t="e">
        <x:f>IF($A147="","",IF(발령대장_설정!$B$6="","",발령대장_설정!$B$6))</x:f>
        <x:v>#NAME?</x:v>
      </x:c>
      <x:c r="H147" s="27" t="e">
        <x:f>IF($A147="","",IF(발령대장_설정!$B$7="","",발령대장_설정!$B$7))</x:f>
        <x:v>#NAME?</x:v>
      </x:c>
      <x:c r="I147" s="27" t="e">
        <x:f>IF($A147="","",IF(발령대장_설정!$B$8="","",발령대장_설정!$B$8))</x:f>
        <x:v>#NAME?</x:v>
      </x:c>
      <x:c r="J147" s="27" t="e">
        <x:f>IF($A147="","",IF(대장!K73="","",대장!K73))</x:f>
        <x:v>#NAME?</x:v>
      </x:c>
    </x:row>
    <x:row r="148" ht="42" customHeight="1">
      <x:c r="A148" s="47" t="e">
        <x:f>IF(AND(대장!A73&lt;&gt;"",ISNUMBER(대장!F73),ISNUMBER(대장!G73),대장!G73&gt;=대장!F73,대장!H73&lt;&gt;""),대장!G73,"")</x:f>
        <x:v>#NAME?</x:v>
      </x:c>
      <x:c r="B148" s="27" t="e">
        <x:f>IF($A148="","",IF(발령대장_설정!$B$4="","",발령대장_설정!$B$4))</x:f>
        <x:v>#NAME?</x:v>
      </x:c>
      <x:c r="C148" s="27" t="e">
        <x:f>IF($A148="","",대장!D73)</x:f>
        <x:v>#NAME?</x:v>
      </x:c>
      <x:c r="D148" s="27" t="e">
        <x:f>IF($A148="","",대장!A73)</x:f>
        <x:v>#NAME?</x:v>
      </x:c>
      <x:c r="E148" s="27" t="e">
        <x:f>IF($A148="","",IF(OR(ISNUMBER(SEARCH("계약만료",대장!H73&amp;"")),ISNUMBER(SEARCH("기간만료",대장!H73&amp;""))),"계약기간 만료로 퇴직",IF(ISNUMBER(SEARCH("의원면직",대장!H73&amp;"")),"의원면직",IF(ISNUMBER(SEARCH("정년퇴직",대장!H73&amp;"")),"정년퇴직",대장!H73))))</x:f>
        <x:v>#NAME?</x:v>
      </x:c>
      <x:c r="F148" s="27" t="e">
        <x:f>IF($A148="","",IF(발령대장_설정!$B$5="","",발령대장_설정!$B$5))</x:f>
        <x:v>#NAME?</x:v>
      </x:c>
      <x:c r="G148" s="27" t="e">
        <x:f>IF($A148="","",IF(발령대장_설정!$B$6="","",발령대장_설정!$B$6))</x:f>
        <x:v>#NAME?</x:v>
      </x:c>
      <x:c r="H148" s="27" t="e">
        <x:f>IF($A148="","",IF(발령대장_설정!$B$7="","",발령대장_설정!$B$7))</x:f>
        <x:v>#NAME?</x:v>
      </x:c>
      <x:c r="I148" s="27" t="e">
        <x:f>IF($A148="","",IF(발령대장_설정!$B$8="","",발령대장_설정!$B$8))</x:f>
        <x:v>#NAME?</x:v>
      </x:c>
      <x:c r="J148" s="27" t="str">
        <x:f>""</x:f>
      </x:c>
    </x:row>
    <x:row r="149" ht="42" customHeight="1">
      <x:c r="A149" s="47" t="e">
        <x:f>IF(AND(대장!A74&lt;&gt;"",ISNUMBER(대장!F74),OR(대장!G74="",AND(ISNUMBER(대장!G74),대장!G74&gt;=대장!F74))),대장!F74,"")</x:f>
        <x:v>#NAME?</x:v>
      </x:c>
      <x:c r="B149" s="27" t="e">
        <x:f>IF($A149="","",IF(발령대장_설정!$B$4="","",발령대장_설정!$B$4))</x:f>
        <x:v>#NAME?</x:v>
      </x:c>
      <x:c r="C149" s="27" t="e">
        <x:f>IF($A149="","",대장!D74)</x:f>
        <x:v>#NAME?</x:v>
      </x:c>
      <x:c r="D149" s="27" t="e">
        <x:f>IF($A149="","",대장!A74)</x:f>
        <x:v>#NAME?</x:v>
      </x:c>
      <x:c r="E149" s="27" t="e">
        <x:f>IF($A149="","",IF(대장!J74&lt;&gt;"",대장!J74,대장!D74&amp;"에 임함"&amp;IF(대장!E74="","",CHAR(10)&amp;"고용형태: "&amp;대장!E74)&amp;IF(대장!I74="","",CHAR(10)&amp;"소정근로시간: "&amp;대장!I74)&amp;CHAR(10)&amp;"근로기간: "&amp;YEAR(대장!F74)&amp;"."&amp;MONTH(대장!F74)&amp;"."&amp;DAY(대장!F74)&amp;"."&amp;" ~ "&amp;IF(ISNUMBER(대장!G74),YEAR(대장!G74)&amp;"."&amp;MONTH(대장!G74)&amp;"."&amp;DAY(대장!G74)&amp;".","재직 중")))</x:f>
        <x:v>#NAME?</x:v>
      </x:c>
      <x:c r="F149" s="27" t="e">
        <x:f>IF($A149="","",IF(발령대장_설정!$B$5="","",발령대장_설정!$B$5))</x:f>
        <x:v>#NAME?</x:v>
      </x:c>
      <x:c r="G149" s="27" t="e">
        <x:f>IF($A149="","",IF(발령대장_설정!$B$6="","",발령대장_설정!$B$6))</x:f>
        <x:v>#NAME?</x:v>
      </x:c>
      <x:c r="H149" s="27" t="e">
        <x:f>IF($A149="","",IF(발령대장_설정!$B$7="","",발령대장_설정!$B$7))</x:f>
        <x:v>#NAME?</x:v>
      </x:c>
      <x:c r="I149" s="27" t="e">
        <x:f>IF($A149="","",IF(발령대장_설정!$B$8="","",발령대장_설정!$B$8))</x:f>
        <x:v>#NAME?</x:v>
      </x:c>
      <x:c r="J149" s="27" t="e">
        <x:f>IF($A149="","",IF(대장!K74="","",대장!K74))</x:f>
        <x:v>#NAME?</x:v>
      </x:c>
    </x:row>
    <x:row r="150" ht="42" customHeight="1">
      <x:c r="A150" s="47" t="e">
        <x:f>IF(AND(대장!A74&lt;&gt;"",ISNUMBER(대장!F74),ISNUMBER(대장!G74),대장!G74&gt;=대장!F74,대장!H74&lt;&gt;""),대장!G74,"")</x:f>
        <x:v>#NAME?</x:v>
      </x:c>
      <x:c r="B150" s="27" t="e">
        <x:f>IF($A150="","",IF(발령대장_설정!$B$4="","",발령대장_설정!$B$4))</x:f>
        <x:v>#NAME?</x:v>
      </x:c>
      <x:c r="C150" s="27" t="e">
        <x:f>IF($A150="","",대장!D74)</x:f>
        <x:v>#NAME?</x:v>
      </x:c>
      <x:c r="D150" s="27" t="e">
        <x:f>IF($A150="","",대장!A74)</x:f>
        <x:v>#NAME?</x:v>
      </x:c>
      <x:c r="E150" s="27" t="e">
        <x:f>IF($A150="","",IF(OR(ISNUMBER(SEARCH("계약만료",대장!H74&amp;"")),ISNUMBER(SEARCH("기간만료",대장!H74&amp;""))),"계약기간 만료로 퇴직",IF(ISNUMBER(SEARCH("의원면직",대장!H74&amp;"")),"의원면직",IF(ISNUMBER(SEARCH("정년퇴직",대장!H74&amp;"")),"정년퇴직",대장!H74))))</x:f>
        <x:v>#NAME?</x:v>
      </x:c>
      <x:c r="F150" s="27" t="e">
        <x:f>IF($A150="","",IF(발령대장_설정!$B$5="","",발령대장_설정!$B$5))</x:f>
        <x:v>#NAME?</x:v>
      </x:c>
      <x:c r="G150" s="27" t="e">
        <x:f>IF($A150="","",IF(발령대장_설정!$B$6="","",발령대장_설정!$B$6))</x:f>
        <x:v>#NAME?</x:v>
      </x:c>
      <x:c r="H150" s="27" t="e">
        <x:f>IF($A150="","",IF(발령대장_설정!$B$7="","",발령대장_설정!$B$7))</x:f>
        <x:v>#NAME?</x:v>
      </x:c>
      <x:c r="I150" s="27" t="e">
        <x:f>IF($A150="","",IF(발령대장_설정!$B$8="","",발령대장_설정!$B$8))</x:f>
        <x:v>#NAME?</x:v>
      </x:c>
      <x:c r="J150" s="27" t="str">
        <x:f>""</x:f>
      </x:c>
    </x:row>
    <x:row r="151" ht="42" customHeight="1">
      <x:c r="A151" s="47" t="e">
        <x:f>IF(AND(대장!A75&lt;&gt;"",ISNUMBER(대장!F75),OR(대장!G75="",AND(ISNUMBER(대장!G75),대장!G75&gt;=대장!F75))),대장!F75,"")</x:f>
        <x:v>#NAME?</x:v>
      </x:c>
      <x:c r="B151" s="27" t="e">
        <x:f>IF($A151="","",IF(발령대장_설정!$B$4="","",발령대장_설정!$B$4))</x:f>
        <x:v>#NAME?</x:v>
      </x:c>
      <x:c r="C151" s="27" t="e">
        <x:f>IF($A151="","",대장!D75)</x:f>
        <x:v>#NAME?</x:v>
      </x:c>
      <x:c r="D151" s="27" t="e">
        <x:f>IF($A151="","",대장!A75)</x:f>
        <x:v>#NAME?</x:v>
      </x:c>
      <x:c r="E151" s="27" t="e">
        <x:f>IF($A151="","",IF(대장!J75&lt;&gt;"",대장!J75,대장!D75&amp;"에 임함"&amp;IF(대장!E75="","",CHAR(10)&amp;"고용형태: "&amp;대장!E75)&amp;IF(대장!I75="","",CHAR(10)&amp;"소정근로시간: "&amp;대장!I75)&amp;CHAR(10)&amp;"근로기간: "&amp;YEAR(대장!F75)&amp;"."&amp;MONTH(대장!F75)&amp;"."&amp;DAY(대장!F75)&amp;"."&amp;" ~ "&amp;IF(ISNUMBER(대장!G75),YEAR(대장!G75)&amp;"."&amp;MONTH(대장!G75)&amp;"."&amp;DAY(대장!G75)&amp;".","재직 중")))</x:f>
        <x:v>#NAME?</x:v>
      </x:c>
      <x:c r="F151" s="27" t="e">
        <x:f>IF($A151="","",IF(발령대장_설정!$B$5="","",발령대장_설정!$B$5))</x:f>
        <x:v>#NAME?</x:v>
      </x:c>
      <x:c r="G151" s="27" t="e">
        <x:f>IF($A151="","",IF(발령대장_설정!$B$6="","",발령대장_설정!$B$6))</x:f>
        <x:v>#NAME?</x:v>
      </x:c>
      <x:c r="H151" s="27" t="e">
        <x:f>IF($A151="","",IF(발령대장_설정!$B$7="","",발령대장_설정!$B$7))</x:f>
        <x:v>#NAME?</x:v>
      </x:c>
      <x:c r="I151" s="27" t="e">
        <x:f>IF($A151="","",IF(발령대장_설정!$B$8="","",발령대장_설정!$B$8))</x:f>
        <x:v>#NAME?</x:v>
      </x:c>
      <x:c r="J151" s="27" t="e">
        <x:f>IF($A151="","",IF(대장!K75="","",대장!K75))</x:f>
        <x:v>#NAME?</x:v>
      </x:c>
    </x:row>
    <x:row r="152" ht="42" customHeight="1">
      <x:c r="A152" s="47" t="e">
        <x:f>IF(AND(대장!A75&lt;&gt;"",ISNUMBER(대장!F75),ISNUMBER(대장!G75),대장!G75&gt;=대장!F75,대장!H75&lt;&gt;""),대장!G75,"")</x:f>
        <x:v>#NAME?</x:v>
      </x:c>
      <x:c r="B152" s="27" t="e">
        <x:f>IF($A152="","",IF(발령대장_설정!$B$4="","",발령대장_설정!$B$4))</x:f>
        <x:v>#NAME?</x:v>
      </x:c>
      <x:c r="C152" s="27" t="e">
        <x:f>IF($A152="","",대장!D75)</x:f>
        <x:v>#NAME?</x:v>
      </x:c>
      <x:c r="D152" s="27" t="e">
        <x:f>IF($A152="","",대장!A75)</x:f>
        <x:v>#NAME?</x:v>
      </x:c>
      <x:c r="E152" s="27" t="e">
        <x:f>IF($A152="","",IF(OR(ISNUMBER(SEARCH("계약만료",대장!H75&amp;"")),ISNUMBER(SEARCH("기간만료",대장!H75&amp;""))),"계약기간 만료로 퇴직",IF(ISNUMBER(SEARCH("의원면직",대장!H75&amp;"")),"의원면직",IF(ISNUMBER(SEARCH("정년퇴직",대장!H75&amp;"")),"정년퇴직",대장!H75))))</x:f>
        <x:v>#NAME?</x:v>
      </x:c>
      <x:c r="F152" s="27" t="e">
        <x:f>IF($A152="","",IF(발령대장_설정!$B$5="","",발령대장_설정!$B$5))</x:f>
        <x:v>#NAME?</x:v>
      </x:c>
      <x:c r="G152" s="27" t="e">
        <x:f>IF($A152="","",IF(발령대장_설정!$B$6="","",발령대장_설정!$B$6))</x:f>
        <x:v>#NAME?</x:v>
      </x:c>
      <x:c r="H152" s="27" t="e">
        <x:f>IF($A152="","",IF(발령대장_설정!$B$7="","",발령대장_설정!$B$7))</x:f>
        <x:v>#NAME?</x:v>
      </x:c>
      <x:c r="I152" s="27" t="e">
        <x:f>IF($A152="","",IF(발령대장_설정!$B$8="","",발령대장_설정!$B$8))</x:f>
        <x:v>#NAME?</x:v>
      </x:c>
      <x:c r="J152" s="27" t="str">
        <x:f>""</x:f>
      </x:c>
    </x:row>
    <x:row r="153" ht="42" customHeight="1">
      <x:c r="A153" s="47" t="e">
        <x:f>IF(AND(대장!A76&lt;&gt;"",ISNUMBER(대장!F76),OR(대장!G76="",AND(ISNUMBER(대장!G76),대장!G76&gt;=대장!F76))),대장!F76,"")</x:f>
        <x:v>#NAME?</x:v>
      </x:c>
      <x:c r="B153" s="27" t="e">
        <x:f>IF($A153="","",IF(발령대장_설정!$B$4="","",발령대장_설정!$B$4))</x:f>
        <x:v>#NAME?</x:v>
      </x:c>
      <x:c r="C153" s="27" t="e">
        <x:f>IF($A153="","",대장!D76)</x:f>
        <x:v>#NAME?</x:v>
      </x:c>
      <x:c r="D153" s="27" t="e">
        <x:f>IF($A153="","",대장!A76)</x:f>
        <x:v>#NAME?</x:v>
      </x:c>
      <x:c r="E153" s="27" t="e">
        <x:f>IF($A153="","",IF(대장!J76&lt;&gt;"",대장!J76,대장!D76&amp;"에 임함"&amp;IF(대장!E76="","",CHAR(10)&amp;"고용형태: "&amp;대장!E76)&amp;IF(대장!I76="","",CHAR(10)&amp;"소정근로시간: "&amp;대장!I76)&amp;CHAR(10)&amp;"근로기간: "&amp;YEAR(대장!F76)&amp;"."&amp;MONTH(대장!F76)&amp;"."&amp;DAY(대장!F76)&amp;"."&amp;" ~ "&amp;IF(ISNUMBER(대장!G76),YEAR(대장!G76)&amp;"."&amp;MONTH(대장!G76)&amp;"."&amp;DAY(대장!G76)&amp;".","재직 중")))</x:f>
        <x:v>#NAME?</x:v>
      </x:c>
      <x:c r="F153" s="27" t="e">
        <x:f>IF($A153="","",IF(발령대장_설정!$B$5="","",발령대장_설정!$B$5))</x:f>
        <x:v>#NAME?</x:v>
      </x:c>
      <x:c r="G153" s="27" t="e">
        <x:f>IF($A153="","",IF(발령대장_설정!$B$6="","",발령대장_설정!$B$6))</x:f>
        <x:v>#NAME?</x:v>
      </x:c>
      <x:c r="H153" s="27" t="e">
        <x:f>IF($A153="","",IF(발령대장_설정!$B$7="","",발령대장_설정!$B$7))</x:f>
        <x:v>#NAME?</x:v>
      </x:c>
      <x:c r="I153" s="27" t="e">
        <x:f>IF($A153="","",IF(발령대장_설정!$B$8="","",발령대장_설정!$B$8))</x:f>
        <x:v>#NAME?</x:v>
      </x:c>
      <x:c r="J153" s="27" t="e">
        <x:f>IF($A153="","",IF(대장!K76="","",대장!K76))</x:f>
        <x:v>#NAME?</x:v>
      </x:c>
    </x:row>
    <x:row r="154" ht="42" customHeight="1">
      <x:c r="A154" s="47" t="e">
        <x:f>IF(AND(대장!A76&lt;&gt;"",ISNUMBER(대장!F76),ISNUMBER(대장!G76),대장!G76&gt;=대장!F76,대장!H76&lt;&gt;""),대장!G76,"")</x:f>
        <x:v>#NAME?</x:v>
      </x:c>
      <x:c r="B154" s="27" t="e">
        <x:f>IF($A154="","",IF(발령대장_설정!$B$4="","",발령대장_설정!$B$4))</x:f>
        <x:v>#NAME?</x:v>
      </x:c>
      <x:c r="C154" s="27" t="e">
        <x:f>IF($A154="","",대장!D76)</x:f>
        <x:v>#NAME?</x:v>
      </x:c>
      <x:c r="D154" s="27" t="e">
        <x:f>IF($A154="","",대장!A76)</x:f>
        <x:v>#NAME?</x:v>
      </x:c>
      <x:c r="E154" s="27" t="e">
        <x:f>IF($A154="","",IF(OR(ISNUMBER(SEARCH("계약만료",대장!H76&amp;"")),ISNUMBER(SEARCH("기간만료",대장!H76&amp;""))),"계약기간 만료로 퇴직",IF(ISNUMBER(SEARCH("의원면직",대장!H76&amp;"")),"의원면직",IF(ISNUMBER(SEARCH("정년퇴직",대장!H76&amp;"")),"정년퇴직",대장!H76))))</x:f>
        <x:v>#NAME?</x:v>
      </x:c>
      <x:c r="F154" s="27" t="e">
        <x:f>IF($A154="","",IF(발령대장_설정!$B$5="","",발령대장_설정!$B$5))</x:f>
        <x:v>#NAME?</x:v>
      </x:c>
      <x:c r="G154" s="27" t="e">
        <x:f>IF($A154="","",IF(발령대장_설정!$B$6="","",발령대장_설정!$B$6))</x:f>
        <x:v>#NAME?</x:v>
      </x:c>
      <x:c r="H154" s="27" t="e">
        <x:f>IF($A154="","",IF(발령대장_설정!$B$7="","",발령대장_설정!$B$7))</x:f>
        <x:v>#NAME?</x:v>
      </x:c>
      <x:c r="I154" s="27" t="e">
        <x:f>IF($A154="","",IF(발령대장_설정!$B$8="","",발령대장_설정!$B$8))</x:f>
        <x:v>#NAME?</x:v>
      </x:c>
      <x:c r="J154" s="27" t="str">
        <x:f>""</x:f>
      </x:c>
    </x:row>
    <x:row r="155" ht="42" customHeight="1">
      <x:c r="A155" s="47" t="e">
        <x:f>IF(AND(대장!A77&lt;&gt;"",ISNUMBER(대장!F77),OR(대장!G77="",AND(ISNUMBER(대장!G77),대장!G77&gt;=대장!F77))),대장!F77,"")</x:f>
        <x:v>#NAME?</x:v>
      </x:c>
      <x:c r="B155" s="27" t="e">
        <x:f>IF($A155="","",IF(발령대장_설정!$B$4="","",발령대장_설정!$B$4))</x:f>
        <x:v>#NAME?</x:v>
      </x:c>
      <x:c r="C155" s="27" t="e">
        <x:f>IF($A155="","",대장!D77)</x:f>
        <x:v>#NAME?</x:v>
      </x:c>
      <x:c r="D155" s="27" t="e">
        <x:f>IF($A155="","",대장!A77)</x:f>
        <x:v>#NAME?</x:v>
      </x:c>
      <x:c r="E155" s="27" t="e">
        <x:f>IF($A155="","",IF(대장!J77&lt;&gt;"",대장!J77,대장!D77&amp;"에 임함"&amp;IF(대장!E77="","",CHAR(10)&amp;"고용형태: "&amp;대장!E77)&amp;IF(대장!I77="","",CHAR(10)&amp;"소정근로시간: "&amp;대장!I77)&amp;CHAR(10)&amp;"근로기간: "&amp;YEAR(대장!F77)&amp;"."&amp;MONTH(대장!F77)&amp;"."&amp;DAY(대장!F77)&amp;"."&amp;" ~ "&amp;IF(ISNUMBER(대장!G77),YEAR(대장!G77)&amp;"."&amp;MONTH(대장!G77)&amp;"."&amp;DAY(대장!G77)&amp;".","재직 중")))</x:f>
        <x:v>#NAME?</x:v>
      </x:c>
      <x:c r="F155" s="27" t="e">
        <x:f>IF($A155="","",IF(발령대장_설정!$B$5="","",발령대장_설정!$B$5))</x:f>
        <x:v>#NAME?</x:v>
      </x:c>
      <x:c r="G155" s="27" t="e">
        <x:f>IF($A155="","",IF(발령대장_설정!$B$6="","",발령대장_설정!$B$6))</x:f>
        <x:v>#NAME?</x:v>
      </x:c>
      <x:c r="H155" s="27" t="e">
        <x:f>IF($A155="","",IF(발령대장_설정!$B$7="","",발령대장_설정!$B$7))</x:f>
        <x:v>#NAME?</x:v>
      </x:c>
      <x:c r="I155" s="27" t="e">
        <x:f>IF($A155="","",IF(발령대장_설정!$B$8="","",발령대장_설정!$B$8))</x:f>
        <x:v>#NAME?</x:v>
      </x:c>
      <x:c r="J155" s="27" t="e">
        <x:f>IF($A155="","",IF(대장!K77="","",대장!K77))</x:f>
        <x:v>#NAME?</x:v>
      </x:c>
    </x:row>
    <x:row r="156" ht="42" customHeight="1">
      <x:c r="A156" s="47" t="e">
        <x:f>IF(AND(대장!A77&lt;&gt;"",ISNUMBER(대장!F77),ISNUMBER(대장!G77),대장!G77&gt;=대장!F77,대장!H77&lt;&gt;""),대장!G77,"")</x:f>
        <x:v>#NAME?</x:v>
      </x:c>
      <x:c r="B156" s="27" t="e">
        <x:f>IF($A156="","",IF(발령대장_설정!$B$4="","",발령대장_설정!$B$4))</x:f>
        <x:v>#NAME?</x:v>
      </x:c>
      <x:c r="C156" s="27" t="e">
        <x:f>IF($A156="","",대장!D77)</x:f>
        <x:v>#NAME?</x:v>
      </x:c>
      <x:c r="D156" s="27" t="e">
        <x:f>IF($A156="","",대장!A77)</x:f>
        <x:v>#NAME?</x:v>
      </x:c>
      <x:c r="E156" s="27" t="e">
        <x:f>IF($A156="","",IF(OR(ISNUMBER(SEARCH("계약만료",대장!H77&amp;"")),ISNUMBER(SEARCH("기간만료",대장!H77&amp;""))),"계약기간 만료로 퇴직",IF(ISNUMBER(SEARCH("의원면직",대장!H77&amp;"")),"의원면직",IF(ISNUMBER(SEARCH("정년퇴직",대장!H77&amp;"")),"정년퇴직",대장!H77))))</x:f>
        <x:v>#NAME?</x:v>
      </x:c>
      <x:c r="F156" s="27" t="e">
        <x:f>IF($A156="","",IF(발령대장_설정!$B$5="","",발령대장_설정!$B$5))</x:f>
        <x:v>#NAME?</x:v>
      </x:c>
      <x:c r="G156" s="27" t="e">
        <x:f>IF($A156="","",IF(발령대장_설정!$B$6="","",발령대장_설정!$B$6))</x:f>
        <x:v>#NAME?</x:v>
      </x:c>
      <x:c r="H156" s="27" t="e">
        <x:f>IF($A156="","",IF(발령대장_설정!$B$7="","",발령대장_설정!$B$7))</x:f>
        <x:v>#NAME?</x:v>
      </x:c>
      <x:c r="I156" s="27" t="e">
        <x:f>IF($A156="","",IF(발령대장_설정!$B$8="","",발령대장_설정!$B$8))</x:f>
        <x:v>#NAME?</x:v>
      </x:c>
      <x:c r="J156" s="27" t="str">
        <x:f>""</x:f>
      </x:c>
    </x:row>
    <x:row r="157" ht="42" customHeight="1">
      <x:c r="A157" s="47" t="e">
        <x:f>IF(AND(대장!A78&lt;&gt;"",ISNUMBER(대장!F78),OR(대장!G78="",AND(ISNUMBER(대장!G78),대장!G78&gt;=대장!F78))),대장!F78,"")</x:f>
        <x:v>#NAME?</x:v>
      </x:c>
      <x:c r="B157" s="27" t="e">
        <x:f>IF($A157="","",IF(발령대장_설정!$B$4="","",발령대장_설정!$B$4))</x:f>
        <x:v>#NAME?</x:v>
      </x:c>
      <x:c r="C157" s="27" t="e">
        <x:f>IF($A157="","",대장!D78)</x:f>
        <x:v>#NAME?</x:v>
      </x:c>
      <x:c r="D157" s="27" t="e">
        <x:f>IF($A157="","",대장!A78)</x:f>
        <x:v>#NAME?</x:v>
      </x:c>
      <x:c r="E157" s="27" t="e">
        <x:f>IF($A157="","",IF(대장!J78&lt;&gt;"",대장!J78,대장!D78&amp;"에 임함"&amp;IF(대장!E78="","",CHAR(10)&amp;"고용형태: "&amp;대장!E78)&amp;IF(대장!I78="","",CHAR(10)&amp;"소정근로시간: "&amp;대장!I78)&amp;CHAR(10)&amp;"근로기간: "&amp;YEAR(대장!F78)&amp;"."&amp;MONTH(대장!F78)&amp;"."&amp;DAY(대장!F78)&amp;"."&amp;" ~ "&amp;IF(ISNUMBER(대장!G78),YEAR(대장!G78)&amp;"."&amp;MONTH(대장!G78)&amp;"."&amp;DAY(대장!G78)&amp;".","재직 중")))</x:f>
        <x:v>#NAME?</x:v>
      </x:c>
      <x:c r="F157" s="27" t="e">
        <x:f>IF($A157="","",IF(발령대장_설정!$B$5="","",발령대장_설정!$B$5))</x:f>
        <x:v>#NAME?</x:v>
      </x:c>
      <x:c r="G157" s="27" t="e">
        <x:f>IF($A157="","",IF(발령대장_설정!$B$6="","",발령대장_설정!$B$6))</x:f>
        <x:v>#NAME?</x:v>
      </x:c>
      <x:c r="H157" s="27" t="e">
        <x:f>IF($A157="","",IF(발령대장_설정!$B$7="","",발령대장_설정!$B$7))</x:f>
        <x:v>#NAME?</x:v>
      </x:c>
      <x:c r="I157" s="27" t="e">
        <x:f>IF($A157="","",IF(발령대장_설정!$B$8="","",발령대장_설정!$B$8))</x:f>
        <x:v>#NAME?</x:v>
      </x:c>
      <x:c r="J157" s="27" t="e">
        <x:f>IF($A157="","",IF(대장!K78="","",대장!K78))</x:f>
        <x:v>#NAME?</x:v>
      </x:c>
    </x:row>
    <x:row r="158" ht="42" customHeight="1">
      <x:c r="A158" s="47" t="e">
        <x:f>IF(AND(대장!A78&lt;&gt;"",ISNUMBER(대장!F78),ISNUMBER(대장!G78),대장!G78&gt;=대장!F78,대장!H78&lt;&gt;""),대장!G78,"")</x:f>
        <x:v>#NAME?</x:v>
      </x:c>
      <x:c r="B158" s="27" t="e">
        <x:f>IF($A158="","",IF(발령대장_설정!$B$4="","",발령대장_설정!$B$4))</x:f>
        <x:v>#NAME?</x:v>
      </x:c>
      <x:c r="C158" s="27" t="e">
        <x:f>IF($A158="","",대장!D78)</x:f>
        <x:v>#NAME?</x:v>
      </x:c>
      <x:c r="D158" s="27" t="e">
        <x:f>IF($A158="","",대장!A78)</x:f>
        <x:v>#NAME?</x:v>
      </x:c>
      <x:c r="E158" s="27" t="e">
        <x:f>IF($A158="","",IF(OR(ISNUMBER(SEARCH("계약만료",대장!H78&amp;"")),ISNUMBER(SEARCH("기간만료",대장!H78&amp;""))),"계약기간 만료로 퇴직",IF(ISNUMBER(SEARCH("의원면직",대장!H78&amp;"")),"의원면직",IF(ISNUMBER(SEARCH("정년퇴직",대장!H78&amp;"")),"정년퇴직",대장!H78))))</x:f>
        <x:v>#NAME?</x:v>
      </x:c>
      <x:c r="F158" s="27" t="e">
        <x:f>IF($A158="","",IF(발령대장_설정!$B$5="","",발령대장_설정!$B$5))</x:f>
        <x:v>#NAME?</x:v>
      </x:c>
      <x:c r="G158" s="27" t="e">
        <x:f>IF($A158="","",IF(발령대장_설정!$B$6="","",발령대장_설정!$B$6))</x:f>
        <x:v>#NAME?</x:v>
      </x:c>
      <x:c r="H158" s="27" t="e">
        <x:f>IF($A158="","",IF(발령대장_설정!$B$7="","",발령대장_설정!$B$7))</x:f>
        <x:v>#NAME?</x:v>
      </x:c>
      <x:c r="I158" s="27" t="e">
        <x:f>IF($A158="","",IF(발령대장_설정!$B$8="","",발령대장_설정!$B$8))</x:f>
        <x:v>#NAME?</x:v>
      </x:c>
      <x:c r="J158" s="27" t="str">
        <x:f>""</x:f>
      </x:c>
    </x:row>
    <x:row r="159" ht="42" customHeight="1">
      <x:c r="A159" s="47" t="e">
        <x:f>IF(AND(대장!A79&lt;&gt;"",ISNUMBER(대장!F79),OR(대장!G79="",AND(ISNUMBER(대장!G79),대장!G79&gt;=대장!F79))),대장!F79,"")</x:f>
        <x:v>#NAME?</x:v>
      </x:c>
      <x:c r="B159" s="27" t="e">
        <x:f>IF($A159="","",IF(발령대장_설정!$B$4="","",발령대장_설정!$B$4))</x:f>
        <x:v>#NAME?</x:v>
      </x:c>
      <x:c r="C159" s="27" t="e">
        <x:f>IF($A159="","",대장!D79)</x:f>
        <x:v>#NAME?</x:v>
      </x:c>
      <x:c r="D159" s="27" t="e">
        <x:f>IF($A159="","",대장!A79)</x:f>
        <x:v>#NAME?</x:v>
      </x:c>
      <x:c r="E159" s="27" t="e">
        <x:f>IF($A159="","",IF(대장!J79&lt;&gt;"",대장!J79,대장!D79&amp;"에 임함"&amp;IF(대장!E79="","",CHAR(10)&amp;"고용형태: "&amp;대장!E79)&amp;IF(대장!I79="","",CHAR(10)&amp;"소정근로시간: "&amp;대장!I79)&amp;CHAR(10)&amp;"근로기간: "&amp;YEAR(대장!F79)&amp;"."&amp;MONTH(대장!F79)&amp;"."&amp;DAY(대장!F79)&amp;"."&amp;" ~ "&amp;IF(ISNUMBER(대장!G79),YEAR(대장!G79)&amp;"."&amp;MONTH(대장!G79)&amp;"."&amp;DAY(대장!G79)&amp;".","재직 중")))</x:f>
        <x:v>#NAME?</x:v>
      </x:c>
      <x:c r="F159" s="27" t="e">
        <x:f>IF($A159="","",IF(발령대장_설정!$B$5="","",발령대장_설정!$B$5))</x:f>
        <x:v>#NAME?</x:v>
      </x:c>
      <x:c r="G159" s="27" t="e">
        <x:f>IF($A159="","",IF(발령대장_설정!$B$6="","",발령대장_설정!$B$6))</x:f>
        <x:v>#NAME?</x:v>
      </x:c>
      <x:c r="H159" s="27" t="e">
        <x:f>IF($A159="","",IF(발령대장_설정!$B$7="","",발령대장_설정!$B$7))</x:f>
        <x:v>#NAME?</x:v>
      </x:c>
      <x:c r="I159" s="27" t="e">
        <x:f>IF($A159="","",IF(발령대장_설정!$B$8="","",발령대장_설정!$B$8))</x:f>
        <x:v>#NAME?</x:v>
      </x:c>
      <x:c r="J159" s="27" t="e">
        <x:f>IF($A159="","",IF(대장!K79="","",대장!K79))</x:f>
        <x:v>#NAME?</x:v>
      </x:c>
    </x:row>
    <x:row r="160" ht="42" customHeight="1">
      <x:c r="A160" s="47" t="e">
        <x:f>IF(AND(대장!A79&lt;&gt;"",ISNUMBER(대장!F79),ISNUMBER(대장!G79),대장!G79&gt;=대장!F79,대장!H79&lt;&gt;""),대장!G79,"")</x:f>
        <x:v>#NAME?</x:v>
      </x:c>
      <x:c r="B160" s="27" t="e">
        <x:f>IF($A160="","",IF(발령대장_설정!$B$4="","",발령대장_설정!$B$4))</x:f>
        <x:v>#NAME?</x:v>
      </x:c>
      <x:c r="C160" s="27" t="e">
        <x:f>IF($A160="","",대장!D79)</x:f>
        <x:v>#NAME?</x:v>
      </x:c>
      <x:c r="D160" s="27" t="e">
        <x:f>IF($A160="","",대장!A79)</x:f>
        <x:v>#NAME?</x:v>
      </x:c>
      <x:c r="E160" s="27" t="e">
        <x:f>IF($A160="","",IF(OR(ISNUMBER(SEARCH("계약만료",대장!H79&amp;"")),ISNUMBER(SEARCH("기간만료",대장!H79&amp;""))),"계약기간 만료로 퇴직",IF(ISNUMBER(SEARCH("의원면직",대장!H79&amp;"")),"의원면직",IF(ISNUMBER(SEARCH("정년퇴직",대장!H79&amp;"")),"정년퇴직",대장!H79))))</x:f>
        <x:v>#NAME?</x:v>
      </x:c>
      <x:c r="F160" s="27" t="e">
        <x:f>IF($A160="","",IF(발령대장_설정!$B$5="","",발령대장_설정!$B$5))</x:f>
        <x:v>#NAME?</x:v>
      </x:c>
      <x:c r="G160" s="27" t="e">
        <x:f>IF($A160="","",IF(발령대장_설정!$B$6="","",발령대장_설정!$B$6))</x:f>
        <x:v>#NAME?</x:v>
      </x:c>
      <x:c r="H160" s="27" t="e">
        <x:f>IF($A160="","",IF(발령대장_설정!$B$7="","",발령대장_설정!$B$7))</x:f>
        <x:v>#NAME?</x:v>
      </x:c>
      <x:c r="I160" s="27" t="e">
        <x:f>IF($A160="","",IF(발령대장_설정!$B$8="","",발령대장_설정!$B$8))</x:f>
        <x:v>#NAME?</x:v>
      </x:c>
      <x:c r="J160" s="27" t="str">
        <x:f>""</x:f>
      </x:c>
    </x:row>
    <x:row r="161" ht="42" customHeight="1">
      <x:c r="A161" s="47" t="e">
        <x:f>IF(AND(대장!A80&lt;&gt;"",ISNUMBER(대장!F80),OR(대장!G80="",AND(ISNUMBER(대장!G80),대장!G80&gt;=대장!F80))),대장!F80,"")</x:f>
        <x:v>#NAME?</x:v>
      </x:c>
      <x:c r="B161" s="27" t="e">
        <x:f>IF($A161="","",IF(발령대장_설정!$B$4="","",발령대장_설정!$B$4))</x:f>
        <x:v>#NAME?</x:v>
      </x:c>
      <x:c r="C161" s="27" t="e">
        <x:f>IF($A161="","",대장!D80)</x:f>
        <x:v>#NAME?</x:v>
      </x:c>
      <x:c r="D161" s="27" t="e">
        <x:f>IF($A161="","",대장!A80)</x:f>
        <x:v>#NAME?</x:v>
      </x:c>
      <x:c r="E161" s="27" t="e">
        <x:f>IF($A161="","",IF(대장!J80&lt;&gt;"",대장!J80,대장!D80&amp;"에 임함"&amp;IF(대장!E80="","",CHAR(10)&amp;"고용형태: "&amp;대장!E80)&amp;IF(대장!I80="","",CHAR(10)&amp;"소정근로시간: "&amp;대장!I80)&amp;CHAR(10)&amp;"근로기간: "&amp;YEAR(대장!F80)&amp;"."&amp;MONTH(대장!F80)&amp;"."&amp;DAY(대장!F80)&amp;"."&amp;" ~ "&amp;IF(ISNUMBER(대장!G80),YEAR(대장!G80)&amp;"."&amp;MONTH(대장!G80)&amp;"."&amp;DAY(대장!G80)&amp;".","재직 중")))</x:f>
        <x:v>#NAME?</x:v>
      </x:c>
      <x:c r="F161" s="27" t="e">
        <x:f>IF($A161="","",IF(발령대장_설정!$B$5="","",발령대장_설정!$B$5))</x:f>
        <x:v>#NAME?</x:v>
      </x:c>
      <x:c r="G161" s="27" t="e">
        <x:f>IF($A161="","",IF(발령대장_설정!$B$6="","",발령대장_설정!$B$6))</x:f>
        <x:v>#NAME?</x:v>
      </x:c>
      <x:c r="H161" s="27" t="e">
        <x:f>IF($A161="","",IF(발령대장_설정!$B$7="","",발령대장_설정!$B$7))</x:f>
        <x:v>#NAME?</x:v>
      </x:c>
      <x:c r="I161" s="27" t="e">
        <x:f>IF($A161="","",IF(발령대장_설정!$B$8="","",발령대장_설정!$B$8))</x:f>
        <x:v>#NAME?</x:v>
      </x:c>
      <x:c r="J161" s="27" t="e">
        <x:f>IF($A161="","",IF(대장!K80="","",대장!K80))</x:f>
        <x:v>#NAME?</x:v>
      </x:c>
    </x:row>
    <x:row r="162" ht="42" customHeight="1">
      <x:c r="A162" s="47" t="e">
        <x:f>IF(AND(대장!A80&lt;&gt;"",ISNUMBER(대장!F80),ISNUMBER(대장!G80),대장!G80&gt;=대장!F80,대장!H80&lt;&gt;""),대장!G80,"")</x:f>
        <x:v>#NAME?</x:v>
      </x:c>
      <x:c r="B162" s="27" t="e">
        <x:f>IF($A162="","",IF(발령대장_설정!$B$4="","",발령대장_설정!$B$4))</x:f>
        <x:v>#NAME?</x:v>
      </x:c>
      <x:c r="C162" s="27" t="e">
        <x:f>IF($A162="","",대장!D80)</x:f>
        <x:v>#NAME?</x:v>
      </x:c>
      <x:c r="D162" s="27" t="e">
        <x:f>IF($A162="","",대장!A80)</x:f>
        <x:v>#NAME?</x:v>
      </x:c>
      <x:c r="E162" s="27" t="e">
        <x:f>IF($A162="","",IF(OR(ISNUMBER(SEARCH("계약만료",대장!H80&amp;"")),ISNUMBER(SEARCH("기간만료",대장!H80&amp;""))),"계약기간 만료로 퇴직",IF(ISNUMBER(SEARCH("의원면직",대장!H80&amp;"")),"의원면직",IF(ISNUMBER(SEARCH("정년퇴직",대장!H80&amp;"")),"정년퇴직",대장!H80))))</x:f>
        <x:v>#NAME?</x:v>
      </x:c>
      <x:c r="F162" s="27" t="e">
        <x:f>IF($A162="","",IF(발령대장_설정!$B$5="","",발령대장_설정!$B$5))</x:f>
        <x:v>#NAME?</x:v>
      </x:c>
      <x:c r="G162" s="27" t="e">
        <x:f>IF($A162="","",IF(발령대장_설정!$B$6="","",발령대장_설정!$B$6))</x:f>
        <x:v>#NAME?</x:v>
      </x:c>
      <x:c r="H162" s="27" t="e">
        <x:f>IF($A162="","",IF(발령대장_설정!$B$7="","",발령대장_설정!$B$7))</x:f>
        <x:v>#NAME?</x:v>
      </x:c>
      <x:c r="I162" s="27" t="e">
        <x:f>IF($A162="","",IF(발령대장_설정!$B$8="","",발령대장_설정!$B$8))</x:f>
        <x:v>#NAME?</x:v>
      </x:c>
      <x:c r="J162" s="27" t="str">
        <x:f>""</x:f>
      </x:c>
    </x:row>
    <x:row r="163" ht="42" customHeight="1">
      <x:c r="A163" s="47" t="e">
        <x:f>IF(AND(대장!A81&lt;&gt;"",ISNUMBER(대장!F81),OR(대장!G81="",AND(ISNUMBER(대장!G81),대장!G81&gt;=대장!F81))),대장!F81,"")</x:f>
        <x:v>#NAME?</x:v>
      </x:c>
      <x:c r="B163" s="27" t="e">
        <x:f>IF($A163="","",IF(발령대장_설정!$B$4="","",발령대장_설정!$B$4))</x:f>
        <x:v>#NAME?</x:v>
      </x:c>
      <x:c r="C163" s="27" t="e">
        <x:f>IF($A163="","",대장!D81)</x:f>
        <x:v>#NAME?</x:v>
      </x:c>
      <x:c r="D163" s="27" t="e">
        <x:f>IF($A163="","",대장!A81)</x:f>
        <x:v>#NAME?</x:v>
      </x:c>
      <x:c r="E163" s="27" t="e">
        <x:f>IF($A163="","",IF(대장!J81&lt;&gt;"",대장!J81,대장!D81&amp;"에 임함"&amp;IF(대장!E81="","",CHAR(10)&amp;"고용형태: "&amp;대장!E81)&amp;IF(대장!I81="","",CHAR(10)&amp;"소정근로시간: "&amp;대장!I81)&amp;CHAR(10)&amp;"근로기간: "&amp;YEAR(대장!F81)&amp;"."&amp;MONTH(대장!F81)&amp;"."&amp;DAY(대장!F81)&amp;"."&amp;" ~ "&amp;IF(ISNUMBER(대장!G81),YEAR(대장!G81)&amp;"."&amp;MONTH(대장!G81)&amp;"."&amp;DAY(대장!G81)&amp;".","재직 중")))</x:f>
        <x:v>#NAME?</x:v>
      </x:c>
      <x:c r="F163" s="27" t="e">
        <x:f>IF($A163="","",IF(발령대장_설정!$B$5="","",발령대장_설정!$B$5))</x:f>
        <x:v>#NAME?</x:v>
      </x:c>
      <x:c r="G163" s="27" t="e">
        <x:f>IF($A163="","",IF(발령대장_설정!$B$6="","",발령대장_설정!$B$6))</x:f>
        <x:v>#NAME?</x:v>
      </x:c>
      <x:c r="H163" s="27" t="e">
        <x:f>IF($A163="","",IF(발령대장_설정!$B$7="","",발령대장_설정!$B$7))</x:f>
        <x:v>#NAME?</x:v>
      </x:c>
      <x:c r="I163" s="27" t="e">
        <x:f>IF($A163="","",IF(발령대장_설정!$B$8="","",발령대장_설정!$B$8))</x:f>
        <x:v>#NAME?</x:v>
      </x:c>
      <x:c r="J163" s="27" t="e">
        <x:f>IF($A163="","",IF(대장!K81="","",대장!K81))</x:f>
        <x:v>#NAME?</x:v>
      </x:c>
    </x:row>
    <x:row r="164" ht="42" customHeight="1">
      <x:c r="A164" s="47" t="e">
        <x:f>IF(AND(대장!A81&lt;&gt;"",ISNUMBER(대장!F81),ISNUMBER(대장!G81),대장!G81&gt;=대장!F81,대장!H81&lt;&gt;""),대장!G81,"")</x:f>
        <x:v>#NAME?</x:v>
      </x:c>
      <x:c r="B164" s="27" t="e">
        <x:f>IF($A164="","",IF(발령대장_설정!$B$4="","",발령대장_설정!$B$4))</x:f>
        <x:v>#NAME?</x:v>
      </x:c>
      <x:c r="C164" s="27" t="e">
        <x:f>IF($A164="","",대장!D81)</x:f>
        <x:v>#NAME?</x:v>
      </x:c>
      <x:c r="D164" s="27" t="e">
        <x:f>IF($A164="","",대장!A81)</x:f>
        <x:v>#NAME?</x:v>
      </x:c>
      <x:c r="E164" s="27" t="e">
        <x:f>IF($A164="","",IF(OR(ISNUMBER(SEARCH("계약만료",대장!H81&amp;"")),ISNUMBER(SEARCH("기간만료",대장!H81&amp;""))),"계약기간 만료로 퇴직",IF(ISNUMBER(SEARCH("의원면직",대장!H81&amp;"")),"의원면직",IF(ISNUMBER(SEARCH("정년퇴직",대장!H81&amp;"")),"정년퇴직",대장!H81))))</x:f>
        <x:v>#NAME?</x:v>
      </x:c>
      <x:c r="F164" s="27" t="e">
        <x:f>IF($A164="","",IF(발령대장_설정!$B$5="","",발령대장_설정!$B$5))</x:f>
        <x:v>#NAME?</x:v>
      </x:c>
      <x:c r="G164" s="27" t="e">
        <x:f>IF($A164="","",IF(발령대장_설정!$B$6="","",발령대장_설정!$B$6))</x:f>
        <x:v>#NAME?</x:v>
      </x:c>
      <x:c r="H164" s="27" t="e">
        <x:f>IF($A164="","",IF(발령대장_설정!$B$7="","",발령대장_설정!$B$7))</x:f>
        <x:v>#NAME?</x:v>
      </x:c>
      <x:c r="I164" s="27" t="e">
        <x:f>IF($A164="","",IF(발령대장_설정!$B$8="","",발령대장_설정!$B$8))</x:f>
        <x:v>#NAME?</x:v>
      </x:c>
      <x:c r="J164" s="27" t="str">
        <x:f>""</x:f>
      </x:c>
    </x:row>
    <x:row r="165" ht="42" customHeight="1">
      <x:c r="A165" s="47" t="e">
        <x:f>IF(AND(대장!A82&lt;&gt;"",ISNUMBER(대장!F82),OR(대장!G82="",AND(ISNUMBER(대장!G82),대장!G82&gt;=대장!F82))),대장!F82,"")</x:f>
        <x:v>#NAME?</x:v>
      </x:c>
      <x:c r="B165" s="27" t="e">
        <x:f>IF($A165="","",IF(발령대장_설정!$B$4="","",발령대장_설정!$B$4))</x:f>
        <x:v>#NAME?</x:v>
      </x:c>
      <x:c r="C165" s="27" t="e">
        <x:f>IF($A165="","",대장!D82)</x:f>
        <x:v>#NAME?</x:v>
      </x:c>
      <x:c r="D165" s="27" t="e">
        <x:f>IF($A165="","",대장!A82)</x:f>
        <x:v>#NAME?</x:v>
      </x:c>
      <x:c r="E165" s="27" t="e">
        <x:f>IF($A165="","",IF(대장!J82&lt;&gt;"",대장!J82,대장!D82&amp;"에 임함"&amp;IF(대장!E82="","",CHAR(10)&amp;"고용형태: "&amp;대장!E82)&amp;IF(대장!I82="","",CHAR(10)&amp;"소정근로시간: "&amp;대장!I82)&amp;CHAR(10)&amp;"근로기간: "&amp;YEAR(대장!F82)&amp;"."&amp;MONTH(대장!F82)&amp;"."&amp;DAY(대장!F82)&amp;"."&amp;" ~ "&amp;IF(ISNUMBER(대장!G82),YEAR(대장!G82)&amp;"."&amp;MONTH(대장!G82)&amp;"."&amp;DAY(대장!G82)&amp;".","재직 중")))</x:f>
        <x:v>#NAME?</x:v>
      </x:c>
      <x:c r="F165" s="27" t="e">
        <x:f>IF($A165="","",IF(발령대장_설정!$B$5="","",발령대장_설정!$B$5))</x:f>
        <x:v>#NAME?</x:v>
      </x:c>
      <x:c r="G165" s="27" t="e">
        <x:f>IF($A165="","",IF(발령대장_설정!$B$6="","",발령대장_설정!$B$6))</x:f>
        <x:v>#NAME?</x:v>
      </x:c>
      <x:c r="H165" s="27" t="e">
        <x:f>IF($A165="","",IF(발령대장_설정!$B$7="","",발령대장_설정!$B$7))</x:f>
        <x:v>#NAME?</x:v>
      </x:c>
      <x:c r="I165" s="27" t="e">
        <x:f>IF($A165="","",IF(발령대장_설정!$B$8="","",발령대장_설정!$B$8))</x:f>
        <x:v>#NAME?</x:v>
      </x:c>
      <x:c r="J165" s="27" t="e">
        <x:f>IF($A165="","",IF(대장!K82="","",대장!K82))</x:f>
        <x:v>#NAME?</x:v>
      </x:c>
    </x:row>
    <x:row r="166" ht="42" customHeight="1">
      <x:c r="A166" s="47" t="e">
        <x:f>IF(AND(대장!A82&lt;&gt;"",ISNUMBER(대장!F82),ISNUMBER(대장!G82),대장!G82&gt;=대장!F82,대장!H82&lt;&gt;""),대장!G82,"")</x:f>
        <x:v>#NAME?</x:v>
      </x:c>
      <x:c r="B166" s="27" t="e">
        <x:f>IF($A166="","",IF(발령대장_설정!$B$4="","",발령대장_설정!$B$4))</x:f>
        <x:v>#NAME?</x:v>
      </x:c>
      <x:c r="C166" s="27" t="e">
        <x:f>IF($A166="","",대장!D82)</x:f>
        <x:v>#NAME?</x:v>
      </x:c>
      <x:c r="D166" s="27" t="e">
        <x:f>IF($A166="","",대장!A82)</x:f>
        <x:v>#NAME?</x:v>
      </x:c>
      <x:c r="E166" s="27" t="e">
        <x:f>IF($A166="","",IF(OR(ISNUMBER(SEARCH("계약만료",대장!H82&amp;"")),ISNUMBER(SEARCH("기간만료",대장!H82&amp;""))),"계약기간 만료로 퇴직",IF(ISNUMBER(SEARCH("의원면직",대장!H82&amp;"")),"의원면직",IF(ISNUMBER(SEARCH("정년퇴직",대장!H82&amp;"")),"정년퇴직",대장!H82))))</x:f>
        <x:v>#NAME?</x:v>
      </x:c>
      <x:c r="F166" s="27" t="e">
        <x:f>IF($A166="","",IF(발령대장_설정!$B$5="","",발령대장_설정!$B$5))</x:f>
        <x:v>#NAME?</x:v>
      </x:c>
      <x:c r="G166" s="27" t="e">
        <x:f>IF($A166="","",IF(발령대장_설정!$B$6="","",발령대장_설정!$B$6))</x:f>
        <x:v>#NAME?</x:v>
      </x:c>
      <x:c r="H166" s="27" t="e">
        <x:f>IF($A166="","",IF(발령대장_설정!$B$7="","",발령대장_설정!$B$7))</x:f>
        <x:v>#NAME?</x:v>
      </x:c>
      <x:c r="I166" s="27" t="e">
        <x:f>IF($A166="","",IF(발령대장_설정!$B$8="","",발령대장_설정!$B$8))</x:f>
        <x:v>#NAME?</x:v>
      </x:c>
      <x:c r="J166" s="27" t="str">
        <x:f>""</x:f>
      </x:c>
    </x:row>
    <x:row r="167" ht="42" customHeight="1">
      <x:c r="A167" s="47" t="e">
        <x:f>IF(AND(대장!A83&lt;&gt;"",ISNUMBER(대장!F83),OR(대장!G83="",AND(ISNUMBER(대장!G83),대장!G83&gt;=대장!F83))),대장!F83,"")</x:f>
        <x:v>#NAME?</x:v>
      </x:c>
      <x:c r="B167" s="27" t="e">
        <x:f>IF($A167="","",IF(발령대장_설정!$B$4="","",발령대장_설정!$B$4))</x:f>
        <x:v>#NAME?</x:v>
      </x:c>
      <x:c r="C167" s="27" t="e">
        <x:f>IF($A167="","",대장!D83)</x:f>
        <x:v>#NAME?</x:v>
      </x:c>
      <x:c r="D167" s="27" t="e">
        <x:f>IF($A167="","",대장!A83)</x:f>
        <x:v>#NAME?</x:v>
      </x:c>
      <x:c r="E167" s="27" t="e">
        <x:f>IF($A167="","",IF(대장!J83&lt;&gt;"",대장!J83,대장!D83&amp;"에 임함"&amp;IF(대장!E83="","",CHAR(10)&amp;"고용형태: "&amp;대장!E83)&amp;IF(대장!I83="","",CHAR(10)&amp;"소정근로시간: "&amp;대장!I83)&amp;CHAR(10)&amp;"근로기간: "&amp;YEAR(대장!F83)&amp;"."&amp;MONTH(대장!F83)&amp;"."&amp;DAY(대장!F83)&amp;"."&amp;" ~ "&amp;IF(ISNUMBER(대장!G83),YEAR(대장!G83)&amp;"."&amp;MONTH(대장!G83)&amp;"."&amp;DAY(대장!G83)&amp;".","재직 중")))</x:f>
        <x:v>#NAME?</x:v>
      </x:c>
      <x:c r="F167" s="27" t="e">
        <x:f>IF($A167="","",IF(발령대장_설정!$B$5="","",발령대장_설정!$B$5))</x:f>
        <x:v>#NAME?</x:v>
      </x:c>
      <x:c r="G167" s="27" t="e">
        <x:f>IF($A167="","",IF(발령대장_설정!$B$6="","",발령대장_설정!$B$6))</x:f>
        <x:v>#NAME?</x:v>
      </x:c>
      <x:c r="H167" s="27" t="e">
        <x:f>IF($A167="","",IF(발령대장_설정!$B$7="","",발령대장_설정!$B$7))</x:f>
        <x:v>#NAME?</x:v>
      </x:c>
      <x:c r="I167" s="27" t="e">
        <x:f>IF($A167="","",IF(발령대장_설정!$B$8="","",발령대장_설정!$B$8))</x:f>
        <x:v>#NAME?</x:v>
      </x:c>
      <x:c r="J167" s="27" t="e">
        <x:f>IF($A167="","",IF(대장!K83="","",대장!K83))</x:f>
        <x:v>#NAME?</x:v>
      </x:c>
    </x:row>
    <x:row r="168" ht="42" customHeight="1">
      <x:c r="A168" s="47" t="e">
        <x:f>IF(AND(대장!A83&lt;&gt;"",ISNUMBER(대장!F83),ISNUMBER(대장!G83),대장!G83&gt;=대장!F83,대장!H83&lt;&gt;""),대장!G83,"")</x:f>
        <x:v>#NAME?</x:v>
      </x:c>
      <x:c r="B168" s="27" t="e">
        <x:f>IF($A168="","",IF(발령대장_설정!$B$4="","",발령대장_설정!$B$4))</x:f>
        <x:v>#NAME?</x:v>
      </x:c>
      <x:c r="C168" s="27" t="e">
        <x:f>IF($A168="","",대장!D83)</x:f>
        <x:v>#NAME?</x:v>
      </x:c>
      <x:c r="D168" s="27" t="e">
        <x:f>IF($A168="","",대장!A83)</x:f>
        <x:v>#NAME?</x:v>
      </x:c>
      <x:c r="E168" s="27" t="e">
        <x:f>IF($A168="","",IF(OR(ISNUMBER(SEARCH("계약만료",대장!H83&amp;"")),ISNUMBER(SEARCH("기간만료",대장!H83&amp;""))),"계약기간 만료로 퇴직",IF(ISNUMBER(SEARCH("의원면직",대장!H83&amp;"")),"의원면직",IF(ISNUMBER(SEARCH("정년퇴직",대장!H83&amp;"")),"정년퇴직",대장!H83))))</x:f>
        <x:v>#NAME?</x:v>
      </x:c>
      <x:c r="F168" s="27" t="e">
        <x:f>IF($A168="","",IF(발령대장_설정!$B$5="","",발령대장_설정!$B$5))</x:f>
        <x:v>#NAME?</x:v>
      </x:c>
      <x:c r="G168" s="27" t="e">
        <x:f>IF($A168="","",IF(발령대장_설정!$B$6="","",발령대장_설정!$B$6))</x:f>
        <x:v>#NAME?</x:v>
      </x:c>
      <x:c r="H168" s="27" t="e">
        <x:f>IF($A168="","",IF(발령대장_설정!$B$7="","",발령대장_설정!$B$7))</x:f>
        <x:v>#NAME?</x:v>
      </x:c>
      <x:c r="I168" s="27" t="e">
        <x:f>IF($A168="","",IF(발령대장_설정!$B$8="","",발령대장_설정!$B$8))</x:f>
        <x:v>#NAME?</x:v>
      </x:c>
      <x:c r="J168" s="27" t="str">
        <x:f>""</x:f>
      </x:c>
    </x:row>
    <x:row r="169" ht="42" customHeight="1">
      <x:c r="A169" s="47" t="e">
        <x:f>IF(AND(대장!A84&lt;&gt;"",ISNUMBER(대장!F84),OR(대장!G84="",AND(ISNUMBER(대장!G84),대장!G84&gt;=대장!F84))),대장!F84,"")</x:f>
        <x:v>#NAME?</x:v>
      </x:c>
      <x:c r="B169" s="27" t="e">
        <x:f>IF($A169="","",IF(발령대장_설정!$B$4="","",발령대장_설정!$B$4))</x:f>
        <x:v>#NAME?</x:v>
      </x:c>
      <x:c r="C169" s="27" t="e">
        <x:f>IF($A169="","",대장!D84)</x:f>
        <x:v>#NAME?</x:v>
      </x:c>
      <x:c r="D169" s="27" t="e">
        <x:f>IF($A169="","",대장!A84)</x:f>
        <x:v>#NAME?</x:v>
      </x:c>
      <x:c r="E169" s="27" t="e">
        <x:f>IF($A169="","",IF(대장!J84&lt;&gt;"",대장!J84,대장!D84&amp;"에 임함"&amp;IF(대장!E84="","",CHAR(10)&amp;"고용형태: "&amp;대장!E84)&amp;IF(대장!I84="","",CHAR(10)&amp;"소정근로시간: "&amp;대장!I84)&amp;CHAR(10)&amp;"근로기간: "&amp;YEAR(대장!F84)&amp;"."&amp;MONTH(대장!F84)&amp;"."&amp;DAY(대장!F84)&amp;"."&amp;" ~ "&amp;IF(ISNUMBER(대장!G84),YEAR(대장!G84)&amp;"."&amp;MONTH(대장!G84)&amp;"."&amp;DAY(대장!G84)&amp;".","재직 중")))</x:f>
        <x:v>#NAME?</x:v>
      </x:c>
      <x:c r="F169" s="27" t="e">
        <x:f>IF($A169="","",IF(발령대장_설정!$B$5="","",발령대장_설정!$B$5))</x:f>
        <x:v>#NAME?</x:v>
      </x:c>
      <x:c r="G169" s="27" t="e">
        <x:f>IF($A169="","",IF(발령대장_설정!$B$6="","",발령대장_설정!$B$6))</x:f>
        <x:v>#NAME?</x:v>
      </x:c>
      <x:c r="H169" s="27" t="e">
        <x:f>IF($A169="","",IF(발령대장_설정!$B$7="","",발령대장_설정!$B$7))</x:f>
        <x:v>#NAME?</x:v>
      </x:c>
      <x:c r="I169" s="27" t="e">
        <x:f>IF($A169="","",IF(발령대장_설정!$B$8="","",발령대장_설정!$B$8))</x:f>
        <x:v>#NAME?</x:v>
      </x:c>
      <x:c r="J169" s="27" t="e">
        <x:f>IF($A169="","",IF(대장!K84="","",대장!K84))</x:f>
        <x:v>#NAME?</x:v>
      </x:c>
    </x:row>
    <x:row r="170" ht="42" customHeight="1">
      <x:c r="A170" s="47" t="e">
        <x:f>IF(AND(대장!A84&lt;&gt;"",ISNUMBER(대장!F84),ISNUMBER(대장!G84),대장!G84&gt;=대장!F84,대장!H84&lt;&gt;""),대장!G84,"")</x:f>
        <x:v>#NAME?</x:v>
      </x:c>
      <x:c r="B170" s="27" t="e">
        <x:f>IF($A170="","",IF(발령대장_설정!$B$4="","",발령대장_설정!$B$4))</x:f>
        <x:v>#NAME?</x:v>
      </x:c>
      <x:c r="C170" s="27" t="e">
        <x:f>IF($A170="","",대장!D84)</x:f>
        <x:v>#NAME?</x:v>
      </x:c>
      <x:c r="D170" s="27" t="e">
        <x:f>IF($A170="","",대장!A84)</x:f>
        <x:v>#NAME?</x:v>
      </x:c>
      <x:c r="E170" s="27" t="e">
        <x:f>IF($A170="","",IF(OR(ISNUMBER(SEARCH("계약만료",대장!H84&amp;"")),ISNUMBER(SEARCH("기간만료",대장!H84&amp;""))),"계약기간 만료로 퇴직",IF(ISNUMBER(SEARCH("의원면직",대장!H84&amp;"")),"의원면직",IF(ISNUMBER(SEARCH("정년퇴직",대장!H84&amp;"")),"정년퇴직",대장!H84))))</x:f>
        <x:v>#NAME?</x:v>
      </x:c>
      <x:c r="F170" s="27" t="e">
        <x:f>IF($A170="","",IF(발령대장_설정!$B$5="","",발령대장_설정!$B$5))</x:f>
        <x:v>#NAME?</x:v>
      </x:c>
      <x:c r="G170" s="27" t="e">
        <x:f>IF($A170="","",IF(발령대장_설정!$B$6="","",발령대장_설정!$B$6))</x:f>
        <x:v>#NAME?</x:v>
      </x:c>
      <x:c r="H170" s="27" t="e">
        <x:f>IF($A170="","",IF(발령대장_설정!$B$7="","",발령대장_설정!$B$7))</x:f>
        <x:v>#NAME?</x:v>
      </x:c>
      <x:c r="I170" s="27" t="e">
        <x:f>IF($A170="","",IF(발령대장_설정!$B$8="","",발령대장_설정!$B$8))</x:f>
        <x:v>#NAME?</x:v>
      </x:c>
      <x:c r="J170" s="27" t="str">
        <x:f>""</x:f>
      </x:c>
    </x:row>
    <x:row r="171" ht="42" customHeight="1">
      <x:c r="A171" s="47" t="e">
        <x:f>IF(AND(대장!A85&lt;&gt;"",ISNUMBER(대장!F85),OR(대장!G85="",AND(ISNUMBER(대장!G85),대장!G85&gt;=대장!F85))),대장!F85,"")</x:f>
        <x:v>#NAME?</x:v>
      </x:c>
      <x:c r="B171" s="27" t="e">
        <x:f>IF($A171="","",IF(발령대장_설정!$B$4="","",발령대장_설정!$B$4))</x:f>
        <x:v>#NAME?</x:v>
      </x:c>
      <x:c r="C171" s="27" t="e">
        <x:f>IF($A171="","",대장!D85)</x:f>
        <x:v>#NAME?</x:v>
      </x:c>
      <x:c r="D171" s="27" t="e">
        <x:f>IF($A171="","",대장!A85)</x:f>
        <x:v>#NAME?</x:v>
      </x:c>
      <x:c r="E171" s="27" t="e">
        <x:f>IF($A171="","",IF(대장!J85&lt;&gt;"",대장!J85,대장!D85&amp;"에 임함"&amp;IF(대장!E85="","",CHAR(10)&amp;"고용형태: "&amp;대장!E85)&amp;IF(대장!I85="","",CHAR(10)&amp;"소정근로시간: "&amp;대장!I85)&amp;CHAR(10)&amp;"근로기간: "&amp;YEAR(대장!F85)&amp;"."&amp;MONTH(대장!F85)&amp;"."&amp;DAY(대장!F85)&amp;"."&amp;" ~ "&amp;IF(ISNUMBER(대장!G85),YEAR(대장!G85)&amp;"."&amp;MONTH(대장!G85)&amp;"."&amp;DAY(대장!G85)&amp;".","재직 중")))</x:f>
        <x:v>#NAME?</x:v>
      </x:c>
      <x:c r="F171" s="27" t="e">
        <x:f>IF($A171="","",IF(발령대장_설정!$B$5="","",발령대장_설정!$B$5))</x:f>
        <x:v>#NAME?</x:v>
      </x:c>
      <x:c r="G171" s="27" t="e">
        <x:f>IF($A171="","",IF(발령대장_설정!$B$6="","",발령대장_설정!$B$6))</x:f>
        <x:v>#NAME?</x:v>
      </x:c>
      <x:c r="H171" s="27" t="e">
        <x:f>IF($A171="","",IF(발령대장_설정!$B$7="","",발령대장_설정!$B$7))</x:f>
        <x:v>#NAME?</x:v>
      </x:c>
      <x:c r="I171" s="27" t="e">
        <x:f>IF($A171="","",IF(발령대장_설정!$B$8="","",발령대장_설정!$B$8))</x:f>
        <x:v>#NAME?</x:v>
      </x:c>
      <x:c r="J171" s="27" t="e">
        <x:f>IF($A171="","",IF(대장!K85="","",대장!K85))</x:f>
        <x:v>#NAME?</x:v>
      </x:c>
    </x:row>
    <x:row r="172" ht="42" customHeight="1">
      <x:c r="A172" s="47" t="e">
        <x:f>IF(AND(대장!A85&lt;&gt;"",ISNUMBER(대장!F85),ISNUMBER(대장!G85),대장!G85&gt;=대장!F85,대장!H85&lt;&gt;""),대장!G85,"")</x:f>
        <x:v>#NAME?</x:v>
      </x:c>
      <x:c r="B172" s="27" t="e">
        <x:f>IF($A172="","",IF(발령대장_설정!$B$4="","",발령대장_설정!$B$4))</x:f>
        <x:v>#NAME?</x:v>
      </x:c>
      <x:c r="C172" s="27" t="e">
        <x:f>IF($A172="","",대장!D85)</x:f>
        <x:v>#NAME?</x:v>
      </x:c>
      <x:c r="D172" s="27" t="e">
        <x:f>IF($A172="","",대장!A85)</x:f>
        <x:v>#NAME?</x:v>
      </x:c>
      <x:c r="E172" s="27" t="e">
        <x:f>IF($A172="","",IF(OR(ISNUMBER(SEARCH("계약만료",대장!H85&amp;"")),ISNUMBER(SEARCH("기간만료",대장!H85&amp;""))),"계약기간 만료로 퇴직",IF(ISNUMBER(SEARCH("의원면직",대장!H85&amp;"")),"의원면직",IF(ISNUMBER(SEARCH("정년퇴직",대장!H85&amp;"")),"정년퇴직",대장!H85))))</x:f>
        <x:v>#NAME?</x:v>
      </x:c>
      <x:c r="F172" s="27" t="e">
        <x:f>IF($A172="","",IF(발령대장_설정!$B$5="","",발령대장_설정!$B$5))</x:f>
        <x:v>#NAME?</x:v>
      </x:c>
      <x:c r="G172" s="27" t="e">
        <x:f>IF($A172="","",IF(발령대장_설정!$B$6="","",발령대장_설정!$B$6))</x:f>
        <x:v>#NAME?</x:v>
      </x:c>
      <x:c r="H172" s="27" t="e">
        <x:f>IF($A172="","",IF(발령대장_설정!$B$7="","",발령대장_설정!$B$7))</x:f>
        <x:v>#NAME?</x:v>
      </x:c>
      <x:c r="I172" s="27" t="e">
        <x:f>IF($A172="","",IF(발령대장_설정!$B$8="","",발령대장_설정!$B$8))</x:f>
        <x:v>#NAME?</x:v>
      </x:c>
      <x:c r="J172" s="27" t="str">
        <x:f>""</x:f>
      </x:c>
    </x:row>
    <x:row r="173" ht="42" customHeight="1">
      <x:c r="A173" s="47" t="e">
        <x:f>IF(AND(대장!A86&lt;&gt;"",ISNUMBER(대장!F86),OR(대장!G86="",AND(ISNUMBER(대장!G86),대장!G86&gt;=대장!F86))),대장!F86,"")</x:f>
        <x:v>#NAME?</x:v>
      </x:c>
      <x:c r="B173" s="27" t="e">
        <x:f>IF($A173="","",IF(발령대장_설정!$B$4="","",발령대장_설정!$B$4))</x:f>
        <x:v>#NAME?</x:v>
      </x:c>
      <x:c r="C173" s="27" t="e">
        <x:f>IF($A173="","",대장!D86)</x:f>
        <x:v>#NAME?</x:v>
      </x:c>
      <x:c r="D173" s="27" t="e">
        <x:f>IF($A173="","",대장!A86)</x:f>
        <x:v>#NAME?</x:v>
      </x:c>
      <x:c r="E173" s="27" t="e">
        <x:f>IF($A173="","",IF(대장!J86&lt;&gt;"",대장!J86,대장!D86&amp;"에 임함"&amp;IF(대장!E86="","",CHAR(10)&amp;"고용형태: "&amp;대장!E86)&amp;IF(대장!I86="","",CHAR(10)&amp;"소정근로시간: "&amp;대장!I86)&amp;CHAR(10)&amp;"근로기간: "&amp;YEAR(대장!F86)&amp;"."&amp;MONTH(대장!F86)&amp;"."&amp;DAY(대장!F86)&amp;"."&amp;" ~ "&amp;IF(ISNUMBER(대장!G86),YEAR(대장!G86)&amp;"."&amp;MONTH(대장!G86)&amp;"."&amp;DAY(대장!G86)&amp;".","재직 중")))</x:f>
        <x:v>#NAME?</x:v>
      </x:c>
      <x:c r="F173" s="27" t="e">
        <x:f>IF($A173="","",IF(발령대장_설정!$B$5="","",발령대장_설정!$B$5))</x:f>
        <x:v>#NAME?</x:v>
      </x:c>
      <x:c r="G173" s="27" t="e">
        <x:f>IF($A173="","",IF(발령대장_설정!$B$6="","",발령대장_설정!$B$6))</x:f>
        <x:v>#NAME?</x:v>
      </x:c>
      <x:c r="H173" s="27" t="e">
        <x:f>IF($A173="","",IF(발령대장_설정!$B$7="","",발령대장_설정!$B$7))</x:f>
        <x:v>#NAME?</x:v>
      </x:c>
      <x:c r="I173" s="27" t="e">
        <x:f>IF($A173="","",IF(발령대장_설정!$B$8="","",발령대장_설정!$B$8))</x:f>
        <x:v>#NAME?</x:v>
      </x:c>
      <x:c r="J173" s="27" t="e">
        <x:f>IF($A173="","",IF(대장!K86="","",대장!K86))</x:f>
        <x:v>#NAME?</x:v>
      </x:c>
    </x:row>
    <x:row r="174" ht="42" customHeight="1">
      <x:c r="A174" s="47" t="e">
        <x:f>IF(AND(대장!A86&lt;&gt;"",ISNUMBER(대장!F86),ISNUMBER(대장!G86),대장!G86&gt;=대장!F86,대장!H86&lt;&gt;""),대장!G86,"")</x:f>
        <x:v>#NAME?</x:v>
      </x:c>
      <x:c r="B174" s="27" t="e">
        <x:f>IF($A174="","",IF(발령대장_설정!$B$4="","",발령대장_설정!$B$4))</x:f>
        <x:v>#NAME?</x:v>
      </x:c>
      <x:c r="C174" s="27" t="e">
        <x:f>IF($A174="","",대장!D86)</x:f>
        <x:v>#NAME?</x:v>
      </x:c>
      <x:c r="D174" s="27" t="e">
        <x:f>IF($A174="","",대장!A86)</x:f>
        <x:v>#NAME?</x:v>
      </x:c>
      <x:c r="E174" s="27" t="e">
        <x:f>IF($A174="","",IF(OR(ISNUMBER(SEARCH("계약만료",대장!H86&amp;"")),ISNUMBER(SEARCH("기간만료",대장!H86&amp;""))),"계약기간 만료로 퇴직",IF(ISNUMBER(SEARCH("의원면직",대장!H86&amp;"")),"의원면직",IF(ISNUMBER(SEARCH("정년퇴직",대장!H86&amp;"")),"정년퇴직",대장!H86))))</x:f>
        <x:v>#NAME?</x:v>
      </x:c>
      <x:c r="F174" s="27" t="e">
        <x:f>IF($A174="","",IF(발령대장_설정!$B$5="","",발령대장_설정!$B$5))</x:f>
        <x:v>#NAME?</x:v>
      </x:c>
      <x:c r="G174" s="27" t="e">
        <x:f>IF($A174="","",IF(발령대장_설정!$B$6="","",발령대장_설정!$B$6))</x:f>
        <x:v>#NAME?</x:v>
      </x:c>
      <x:c r="H174" s="27" t="e">
        <x:f>IF($A174="","",IF(발령대장_설정!$B$7="","",발령대장_설정!$B$7))</x:f>
        <x:v>#NAME?</x:v>
      </x:c>
      <x:c r="I174" s="27" t="e">
        <x:f>IF($A174="","",IF(발령대장_설정!$B$8="","",발령대장_설정!$B$8))</x:f>
        <x:v>#NAME?</x:v>
      </x:c>
      <x:c r="J174" s="27" t="str">
        <x:f>""</x:f>
      </x:c>
    </x:row>
    <x:row r="175" ht="42" customHeight="1">
      <x:c r="A175" s="47" t="e">
        <x:f>IF(AND(대장!A87&lt;&gt;"",ISNUMBER(대장!F87),OR(대장!G87="",AND(ISNUMBER(대장!G87),대장!G87&gt;=대장!F87))),대장!F87,"")</x:f>
        <x:v>#NAME?</x:v>
      </x:c>
      <x:c r="B175" s="27" t="e">
        <x:f>IF($A175="","",IF(발령대장_설정!$B$4="","",발령대장_설정!$B$4))</x:f>
        <x:v>#NAME?</x:v>
      </x:c>
      <x:c r="C175" s="27" t="e">
        <x:f>IF($A175="","",대장!D87)</x:f>
        <x:v>#NAME?</x:v>
      </x:c>
      <x:c r="D175" s="27" t="e">
        <x:f>IF($A175="","",대장!A87)</x:f>
        <x:v>#NAME?</x:v>
      </x:c>
      <x:c r="E175" s="27" t="e">
        <x:f>IF($A175="","",IF(대장!J87&lt;&gt;"",대장!J87,대장!D87&amp;"에 임함"&amp;IF(대장!E87="","",CHAR(10)&amp;"고용형태: "&amp;대장!E87)&amp;IF(대장!I87="","",CHAR(10)&amp;"소정근로시간: "&amp;대장!I87)&amp;CHAR(10)&amp;"근로기간: "&amp;YEAR(대장!F87)&amp;"."&amp;MONTH(대장!F87)&amp;"."&amp;DAY(대장!F87)&amp;"."&amp;" ~ "&amp;IF(ISNUMBER(대장!G87),YEAR(대장!G87)&amp;"."&amp;MONTH(대장!G87)&amp;"."&amp;DAY(대장!G87)&amp;".","재직 중")))</x:f>
        <x:v>#NAME?</x:v>
      </x:c>
      <x:c r="F175" s="27" t="e">
        <x:f>IF($A175="","",IF(발령대장_설정!$B$5="","",발령대장_설정!$B$5))</x:f>
        <x:v>#NAME?</x:v>
      </x:c>
      <x:c r="G175" s="27" t="e">
        <x:f>IF($A175="","",IF(발령대장_설정!$B$6="","",발령대장_설정!$B$6))</x:f>
        <x:v>#NAME?</x:v>
      </x:c>
      <x:c r="H175" s="27" t="e">
        <x:f>IF($A175="","",IF(발령대장_설정!$B$7="","",발령대장_설정!$B$7))</x:f>
        <x:v>#NAME?</x:v>
      </x:c>
      <x:c r="I175" s="27" t="e">
        <x:f>IF($A175="","",IF(발령대장_설정!$B$8="","",발령대장_설정!$B$8))</x:f>
        <x:v>#NAME?</x:v>
      </x:c>
      <x:c r="J175" s="27" t="e">
        <x:f>IF($A175="","",IF(대장!K87="","",대장!K87))</x:f>
        <x:v>#NAME?</x:v>
      </x:c>
    </x:row>
    <x:row r="176" ht="42" customHeight="1">
      <x:c r="A176" s="47" t="e">
        <x:f>IF(AND(대장!A87&lt;&gt;"",ISNUMBER(대장!F87),ISNUMBER(대장!G87),대장!G87&gt;=대장!F87,대장!H87&lt;&gt;""),대장!G87,"")</x:f>
        <x:v>#NAME?</x:v>
      </x:c>
      <x:c r="B176" s="27" t="e">
        <x:f>IF($A176="","",IF(발령대장_설정!$B$4="","",발령대장_설정!$B$4))</x:f>
        <x:v>#NAME?</x:v>
      </x:c>
      <x:c r="C176" s="27" t="e">
        <x:f>IF($A176="","",대장!D87)</x:f>
        <x:v>#NAME?</x:v>
      </x:c>
      <x:c r="D176" s="27" t="e">
        <x:f>IF($A176="","",대장!A87)</x:f>
        <x:v>#NAME?</x:v>
      </x:c>
      <x:c r="E176" s="27" t="e">
        <x:f>IF($A176="","",IF(OR(ISNUMBER(SEARCH("계약만료",대장!H87&amp;"")),ISNUMBER(SEARCH("기간만료",대장!H87&amp;""))),"계약기간 만료로 퇴직",IF(ISNUMBER(SEARCH("의원면직",대장!H87&amp;"")),"의원면직",IF(ISNUMBER(SEARCH("정년퇴직",대장!H87&amp;"")),"정년퇴직",대장!H87))))</x:f>
        <x:v>#NAME?</x:v>
      </x:c>
      <x:c r="F176" s="27" t="e">
        <x:f>IF($A176="","",IF(발령대장_설정!$B$5="","",발령대장_설정!$B$5))</x:f>
        <x:v>#NAME?</x:v>
      </x:c>
      <x:c r="G176" s="27" t="e">
        <x:f>IF($A176="","",IF(발령대장_설정!$B$6="","",발령대장_설정!$B$6))</x:f>
        <x:v>#NAME?</x:v>
      </x:c>
      <x:c r="H176" s="27" t="e">
        <x:f>IF($A176="","",IF(발령대장_설정!$B$7="","",발령대장_설정!$B$7))</x:f>
        <x:v>#NAME?</x:v>
      </x:c>
      <x:c r="I176" s="27" t="e">
        <x:f>IF($A176="","",IF(발령대장_설정!$B$8="","",발령대장_설정!$B$8))</x:f>
        <x:v>#NAME?</x:v>
      </x:c>
      <x:c r="J176" s="27" t="str">
        <x:f>""</x:f>
      </x:c>
    </x:row>
    <x:row r="177" ht="42" customHeight="1">
      <x:c r="A177" s="47" t="e">
        <x:f>IF(AND(대장!A88&lt;&gt;"",ISNUMBER(대장!F88),OR(대장!G88="",AND(ISNUMBER(대장!G88),대장!G88&gt;=대장!F88))),대장!F88,"")</x:f>
        <x:v>#NAME?</x:v>
      </x:c>
      <x:c r="B177" s="27" t="e">
        <x:f>IF($A177="","",IF(발령대장_설정!$B$4="","",발령대장_설정!$B$4))</x:f>
        <x:v>#NAME?</x:v>
      </x:c>
      <x:c r="C177" s="27" t="e">
        <x:f>IF($A177="","",대장!D88)</x:f>
        <x:v>#NAME?</x:v>
      </x:c>
      <x:c r="D177" s="27" t="e">
        <x:f>IF($A177="","",대장!A88)</x:f>
        <x:v>#NAME?</x:v>
      </x:c>
      <x:c r="E177" s="27" t="e">
        <x:f>IF($A177="","",IF(대장!J88&lt;&gt;"",대장!J88,대장!D88&amp;"에 임함"&amp;IF(대장!E88="","",CHAR(10)&amp;"고용형태: "&amp;대장!E88)&amp;IF(대장!I88="","",CHAR(10)&amp;"소정근로시간: "&amp;대장!I88)&amp;CHAR(10)&amp;"근로기간: "&amp;YEAR(대장!F88)&amp;"."&amp;MONTH(대장!F88)&amp;"."&amp;DAY(대장!F88)&amp;"."&amp;" ~ "&amp;IF(ISNUMBER(대장!G88),YEAR(대장!G88)&amp;"."&amp;MONTH(대장!G88)&amp;"."&amp;DAY(대장!G88)&amp;".","재직 중")))</x:f>
        <x:v>#NAME?</x:v>
      </x:c>
      <x:c r="F177" s="27" t="e">
        <x:f>IF($A177="","",IF(발령대장_설정!$B$5="","",발령대장_설정!$B$5))</x:f>
        <x:v>#NAME?</x:v>
      </x:c>
      <x:c r="G177" s="27" t="e">
        <x:f>IF($A177="","",IF(발령대장_설정!$B$6="","",발령대장_설정!$B$6))</x:f>
        <x:v>#NAME?</x:v>
      </x:c>
      <x:c r="H177" s="27" t="e">
        <x:f>IF($A177="","",IF(발령대장_설정!$B$7="","",발령대장_설정!$B$7))</x:f>
        <x:v>#NAME?</x:v>
      </x:c>
      <x:c r="I177" s="27" t="e">
        <x:f>IF($A177="","",IF(발령대장_설정!$B$8="","",발령대장_설정!$B$8))</x:f>
        <x:v>#NAME?</x:v>
      </x:c>
      <x:c r="J177" s="27" t="e">
        <x:f>IF($A177="","",IF(대장!K88="","",대장!K88))</x:f>
        <x:v>#NAME?</x:v>
      </x:c>
    </x:row>
    <x:row r="178" ht="42" customHeight="1">
      <x:c r="A178" s="47" t="e">
        <x:f>IF(AND(대장!A88&lt;&gt;"",ISNUMBER(대장!F88),ISNUMBER(대장!G88),대장!G88&gt;=대장!F88,대장!H88&lt;&gt;""),대장!G88,"")</x:f>
        <x:v>#NAME?</x:v>
      </x:c>
      <x:c r="B178" s="27" t="e">
        <x:f>IF($A178="","",IF(발령대장_설정!$B$4="","",발령대장_설정!$B$4))</x:f>
        <x:v>#NAME?</x:v>
      </x:c>
      <x:c r="C178" s="27" t="e">
        <x:f>IF($A178="","",대장!D88)</x:f>
        <x:v>#NAME?</x:v>
      </x:c>
      <x:c r="D178" s="27" t="e">
        <x:f>IF($A178="","",대장!A88)</x:f>
        <x:v>#NAME?</x:v>
      </x:c>
      <x:c r="E178" s="27" t="e">
        <x:f>IF($A178="","",IF(OR(ISNUMBER(SEARCH("계약만료",대장!H88&amp;"")),ISNUMBER(SEARCH("기간만료",대장!H88&amp;""))),"계약기간 만료로 퇴직",IF(ISNUMBER(SEARCH("의원면직",대장!H88&amp;"")),"의원면직",IF(ISNUMBER(SEARCH("정년퇴직",대장!H88&amp;"")),"정년퇴직",대장!H88))))</x:f>
        <x:v>#NAME?</x:v>
      </x:c>
      <x:c r="F178" s="27" t="e">
        <x:f>IF($A178="","",IF(발령대장_설정!$B$5="","",발령대장_설정!$B$5))</x:f>
        <x:v>#NAME?</x:v>
      </x:c>
      <x:c r="G178" s="27" t="e">
        <x:f>IF($A178="","",IF(발령대장_설정!$B$6="","",발령대장_설정!$B$6))</x:f>
        <x:v>#NAME?</x:v>
      </x:c>
      <x:c r="H178" s="27" t="e">
        <x:f>IF($A178="","",IF(발령대장_설정!$B$7="","",발령대장_설정!$B$7))</x:f>
        <x:v>#NAME?</x:v>
      </x:c>
      <x:c r="I178" s="27" t="e">
        <x:f>IF($A178="","",IF(발령대장_설정!$B$8="","",발령대장_설정!$B$8))</x:f>
        <x:v>#NAME?</x:v>
      </x:c>
      <x:c r="J178" s="27" t="str">
        <x:f>""</x:f>
      </x:c>
    </x:row>
    <x:row r="179" ht="42" customHeight="1">
      <x:c r="A179" s="47" t="e">
        <x:f>IF(AND(대장!A89&lt;&gt;"",ISNUMBER(대장!F89),OR(대장!G89="",AND(ISNUMBER(대장!G89),대장!G89&gt;=대장!F89))),대장!F89,"")</x:f>
        <x:v>#NAME?</x:v>
      </x:c>
      <x:c r="B179" s="27" t="e">
        <x:f>IF($A179="","",IF(발령대장_설정!$B$4="","",발령대장_설정!$B$4))</x:f>
        <x:v>#NAME?</x:v>
      </x:c>
      <x:c r="C179" s="27" t="e">
        <x:f>IF($A179="","",대장!D89)</x:f>
        <x:v>#NAME?</x:v>
      </x:c>
      <x:c r="D179" s="27" t="e">
        <x:f>IF($A179="","",대장!A89)</x:f>
        <x:v>#NAME?</x:v>
      </x:c>
      <x:c r="E179" s="27" t="e">
        <x:f>IF($A179="","",IF(대장!J89&lt;&gt;"",대장!J89,대장!D89&amp;"에 임함"&amp;IF(대장!E89="","",CHAR(10)&amp;"고용형태: "&amp;대장!E89)&amp;IF(대장!I89="","",CHAR(10)&amp;"소정근로시간: "&amp;대장!I89)&amp;CHAR(10)&amp;"근로기간: "&amp;YEAR(대장!F89)&amp;"."&amp;MONTH(대장!F89)&amp;"."&amp;DAY(대장!F89)&amp;"."&amp;" ~ "&amp;IF(ISNUMBER(대장!G89),YEAR(대장!G89)&amp;"."&amp;MONTH(대장!G89)&amp;"."&amp;DAY(대장!G89)&amp;".","재직 중")))</x:f>
        <x:v>#NAME?</x:v>
      </x:c>
      <x:c r="F179" s="27" t="e">
        <x:f>IF($A179="","",IF(발령대장_설정!$B$5="","",발령대장_설정!$B$5))</x:f>
        <x:v>#NAME?</x:v>
      </x:c>
      <x:c r="G179" s="27" t="e">
        <x:f>IF($A179="","",IF(발령대장_설정!$B$6="","",발령대장_설정!$B$6))</x:f>
        <x:v>#NAME?</x:v>
      </x:c>
      <x:c r="H179" s="27" t="e">
        <x:f>IF($A179="","",IF(발령대장_설정!$B$7="","",발령대장_설정!$B$7))</x:f>
        <x:v>#NAME?</x:v>
      </x:c>
      <x:c r="I179" s="27" t="e">
        <x:f>IF($A179="","",IF(발령대장_설정!$B$8="","",발령대장_설정!$B$8))</x:f>
        <x:v>#NAME?</x:v>
      </x:c>
      <x:c r="J179" s="27" t="e">
        <x:f>IF($A179="","",IF(대장!K89="","",대장!K89))</x:f>
        <x:v>#NAME?</x:v>
      </x:c>
    </x:row>
    <x:row r="180" ht="42" customHeight="1">
      <x:c r="A180" s="47" t="e">
        <x:f>IF(AND(대장!A89&lt;&gt;"",ISNUMBER(대장!F89),ISNUMBER(대장!G89),대장!G89&gt;=대장!F89,대장!H89&lt;&gt;""),대장!G89,"")</x:f>
        <x:v>#NAME?</x:v>
      </x:c>
      <x:c r="B180" s="27" t="e">
        <x:f>IF($A180="","",IF(발령대장_설정!$B$4="","",발령대장_설정!$B$4))</x:f>
        <x:v>#NAME?</x:v>
      </x:c>
      <x:c r="C180" s="27" t="e">
        <x:f>IF($A180="","",대장!D89)</x:f>
        <x:v>#NAME?</x:v>
      </x:c>
      <x:c r="D180" s="27" t="e">
        <x:f>IF($A180="","",대장!A89)</x:f>
        <x:v>#NAME?</x:v>
      </x:c>
      <x:c r="E180" s="27" t="e">
        <x:f>IF($A180="","",IF(OR(ISNUMBER(SEARCH("계약만료",대장!H89&amp;"")),ISNUMBER(SEARCH("기간만료",대장!H89&amp;""))),"계약기간 만료로 퇴직",IF(ISNUMBER(SEARCH("의원면직",대장!H89&amp;"")),"의원면직",IF(ISNUMBER(SEARCH("정년퇴직",대장!H89&amp;"")),"정년퇴직",대장!H89))))</x:f>
        <x:v>#NAME?</x:v>
      </x:c>
      <x:c r="F180" s="27" t="e">
        <x:f>IF($A180="","",IF(발령대장_설정!$B$5="","",발령대장_설정!$B$5))</x:f>
        <x:v>#NAME?</x:v>
      </x:c>
      <x:c r="G180" s="27" t="e">
        <x:f>IF($A180="","",IF(발령대장_설정!$B$6="","",발령대장_설정!$B$6))</x:f>
        <x:v>#NAME?</x:v>
      </x:c>
      <x:c r="H180" s="27" t="e">
        <x:f>IF($A180="","",IF(발령대장_설정!$B$7="","",발령대장_설정!$B$7))</x:f>
        <x:v>#NAME?</x:v>
      </x:c>
      <x:c r="I180" s="27" t="e">
        <x:f>IF($A180="","",IF(발령대장_설정!$B$8="","",발령대장_설정!$B$8))</x:f>
        <x:v>#NAME?</x:v>
      </x:c>
      <x:c r="J180" s="27" t="str">
        <x:f>""</x:f>
      </x:c>
    </x:row>
    <x:row r="181" ht="42" customHeight="1">
      <x:c r="A181" s="47" t="e">
        <x:f>IF(AND(대장!A90&lt;&gt;"",ISNUMBER(대장!F90),OR(대장!G90="",AND(ISNUMBER(대장!G90),대장!G90&gt;=대장!F90))),대장!F90,"")</x:f>
        <x:v>#NAME?</x:v>
      </x:c>
      <x:c r="B181" s="27" t="e">
        <x:f>IF($A181="","",IF(발령대장_설정!$B$4="","",발령대장_설정!$B$4))</x:f>
        <x:v>#NAME?</x:v>
      </x:c>
      <x:c r="C181" s="27" t="e">
        <x:f>IF($A181="","",대장!D90)</x:f>
        <x:v>#NAME?</x:v>
      </x:c>
      <x:c r="D181" s="27" t="e">
        <x:f>IF($A181="","",대장!A90)</x:f>
        <x:v>#NAME?</x:v>
      </x:c>
      <x:c r="E181" s="27" t="e">
        <x:f>IF($A181="","",IF(대장!J90&lt;&gt;"",대장!J90,대장!D90&amp;"에 임함"&amp;IF(대장!E90="","",CHAR(10)&amp;"고용형태: "&amp;대장!E90)&amp;IF(대장!I90="","",CHAR(10)&amp;"소정근로시간: "&amp;대장!I90)&amp;CHAR(10)&amp;"근로기간: "&amp;YEAR(대장!F90)&amp;"."&amp;MONTH(대장!F90)&amp;"."&amp;DAY(대장!F90)&amp;"."&amp;" ~ "&amp;IF(ISNUMBER(대장!G90),YEAR(대장!G90)&amp;"."&amp;MONTH(대장!G90)&amp;"."&amp;DAY(대장!G90)&amp;".","재직 중")))</x:f>
        <x:v>#NAME?</x:v>
      </x:c>
      <x:c r="F181" s="27" t="e">
        <x:f>IF($A181="","",IF(발령대장_설정!$B$5="","",발령대장_설정!$B$5))</x:f>
        <x:v>#NAME?</x:v>
      </x:c>
      <x:c r="G181" s="27" t="e">
        <x:f>IF($A181="","",IF(발령대장_설정!$B$6="","",발령대장_설정!$B$6))</x:f>
        <x:v>#NAME?</x:v>
      </x:c>
      <x:c r="H181" s="27" t="e">
        <x:f>IF($A181="","",IF(발령대장_설정!$B$7="","",발령대장_설정!$B$7))</x:f>
        <x:v>#NAME?</x:v>
      </x:c>
      <x:c r="I181" s="27" t="e">
        <x:f>IF($A181="","",IF(발령대장_설정!$B$8="","",발령대장_설정!$B$8))</x:f>
        <x:v>#NAME?</x:v>
      </x:c>
      <x:c r="J181" s="27" t="e">
        <x:f>IF($A181="","",IF(대장!K90="","",대장!K90))</x:f>
        <x:v>#NAME?</x:v>
      </x:c>
    </x:row>
    <x:row r="182" ht="42" customHeight="1">
      <x:c r="A182" s="47" t="e">
        <x:f>IF(AND(대장!A90&lt;&gt;"",ISNUMBER(대장!F90),ISNUMBER(대장!G90),대장!G90&gt;=대장!F90,대장!H90&lt;&gt;""),대장!G90,"")</x:f>
        <x:v>#NAME?</x:v>
      </x:c>
      <x:c r="B182" s="27" t="e">
        <x:f>IF($A182="","",IF(발령대장_설정!$B$4="","",발령대장_설정!$B$4))</x:f>
        <x:v>#NAME?</x:v>
      </x:c>
      <x:c r="C182" s="27" t="e">
        <x:f>IF($A182="","",대장!D90)</x:f>
        <x:v>#NAME?</x:v>
      </x:c>
      <x:c r="D182" s="27" t="e">
        <x:f>IF($A182="","",대장!A90)</x:f>
        <x:v>#NAME?</x:v>
      </x:c>
      <x:c r="E182" s="27" t="e">
        <x:f>IF($A182="","",IF(OR(ISNUMBER(SEARCH("계약만료",대장!H90&amp;"")),ISNUMBER(SEARCH("기간만료",대장!H90&amp;""))),"계약기간 만료로 퇴직",IF(ISNUMBER(SEARCH("의원면직",대장!H90&amp;"")),"의원면직",IF(ISNUMBER(SEARCH("정년퇴직",대장!H90&amp;"")),"정년퇴직",대장!H90))))</x:f>
        <x:v>#NAME?</x:v>
      </x:c>
      <x:c r="F182" s="27" t="e">
        <x:f>IF($A182="","",IF(발령대장_설정!$B$5="","",발령대장_설정!$B$5))</x:f>
        <x:v>#NAME?</x:v>
      </x:c>
      <x:c r="G182" s="27" t="e">
        <x:f>IF($A182="","",IF(발령대장_설정!$B$6="","",발령대장_설정!$B$6))</x:f>
        <x:v>#NAME?</x:v>
      </x:c>
      <x:c r="H182" s="27" t="e">
        <x:f>IF($A182="","",IF(발령대장_설정!$B$7="","",발령대장_설정!$B$7))</x:f>
        <x:v>#NAME?</x:v>
      </x:c>
      <x:c r="I182" s="27" t="e">
        <x:f>IF($A182="","",IF(발령대장_설정!$B$8="","",발령대장_설정!$B$8))</x:f>
        <x:v>#NAME?</x:v>
      </x:c>
      <x:c r="J182" s="27" t="str">
        <x:f>""</x:f>
      </x:c>
    </x:row>
    <x:row r="183" ht="42" customHeight="1">
      <x:c r="A183" s="47" t="e">
        <x:f>IF(AND(대장!A91&lt;&gt;"",ISNUMBER(대장!F91),OR(대장!G91="",AND(ISNUMBER(대장!G91),대장!G91&gt;=대장!F91))),대장!F91,"")</x:f>
        <x:v>#NAME?</x:v>
      </x:c>
      <x:c r="B183" s="27" t="e">
        <x:f>IF($A183="","",IF(발령대장_설정!$B$4="","",발령대장_설정!$B$4))</x:f>
        <x:v>#NAME?</x:v>
      </x:c>
      <x:c r="C183" s="27" t="e">
        <x:f>IF($A183="","",대장!D91)</x:f>
        <x:v>#NAME?</x:v>
      </x:c>
      <x:c r="D183" s="27" t="e">
        <x:f>IF($A183="","",대장!A91)</x:f>
        <x:v>#NAME?</x:v>
      </x:c>
      <x:c r="E183" s="27" t="e">
        <x:f>IF($A183="","",IF(대장!J91&lt;&gt;"",대장!J91,대장!D91&amp;"에 임함"&amp;IF(대장!E91="","",CHAR(10)&amp;"고용형태: "&amp;대장!E91)&amp;IF(대장!I91="","",CHAR(10)&amp;"소정근로시간: "&amp;대장!I91)&amp;CHAR(10)&amp;"근로기간: "&amp;YEAR(대장!F91)&amp;"."&amp;MONTH(대장!F91)&amp;"."&amp;DAY(대장!F91)&amp;"."&amp;" ~ "&amp;IF(ISNUMBER(대장!G91),YEAR(대장!G91)&amp;"."&amp;MONTH(대장!G91)&amp;"."&amp;DAY(대장!G91)&amp;".","재직 중")))</x:f>
        <x:v>#NAME?</x:v>
      </x:c>
      <x:c r="F183" s="27" t="e">
        <x:f>IF($A183="","",IF(발령대장_설정!$B$5="","",발령대장_설정!$B$5))</x:f>
        <x:v>#NAME?</x:v>
      </x:c>
      <x:c r="G183" s="27" t="e">
        <x:f>IF($A183="","",IF(발령대장_설정!$B$6="","",발령대장_설정!$B$6))</x:f>
        <x:v>#NAME?</x:v>
      </x:c>
      <x:c r="H183" s="27" t="e">
        <x:f>IF($A183="","",IF(발령대장_설정!$B$7="","",발령대장_설정!$B$7))</x:f>
        <x:v>#NAME?</x:v>
      </x:c>
      <x:c r="I183" s="27" t="e">
        <x:f>IF($A183="","",IF(발령대장_설정!$B$8="","",발령대장_설정!$B$8))</x:f>
        <x:v>#NAME?</x:v>
      </x:c>
      <x:c r="J183" s="27" t="e">
        <x:f>IF($A183="","",IF(대장!K91="","",대장!K91))</x:f>
        <x:v>#NAME?</x:v>
      </x:c>
    </x:row>
    <x:row r="184" ht="42" customHeight="1">
      <x:c r="A184" s="47" t="e">
        <x:f>IF(AND(대장!A91&lt;&gt;"",ISNUMBER(대장!F91),ISNUMBER(대장!G91),대장!G91&gt;=대장!F91,대장!H91&lt;&gt;""),대장!G91,"")</x:f>
        <x:v>#NAME?</x:v>
      </x:c>
      <x:c r="B184" s="27" t="e">
        <x:f>IF($A184="","",IF(발령대장_설정!$B$4="","",발령대장_설정!$B$4))</x:f>
        <x:v>#NAME?</x:v>
      </x:c>
      <x:c r="C184" s="27" t="e">
        <x:f>IF($A184="","",대장!D91)</x:f>
        <x:v>#NAME?</x:v>
      </x:c>
      <x:c r="D184" s="27" t="e">
        <x:f>IF($A184="","",대장!A91)</x:f>
        <x:v>#NAME?</x:v>
      </x:c>
      <x:c r="E184" s="27" t="e">
        <x:f>IF($A184="","",IF(OR(ISNUMBER(SEARCH("계약만료",대장!H91&amp;"")),ISNUMBER(SEARCH("기간만료",대장!H91&amp;""))),"계약기간 만료로 퇴직",IF(ISNUMBER(SEARCH("의원면직",대장!H91&amp;"")),"의원면직",IF(ISNUMBER(SEARCH("정년퇴직",대장!H91&amp;"")),"정년퇴직",대장!H91))))</x:f>
        <x:v>#NAME?</x:v>
      </x:c>
      <x:c r="F184" s="27" t="e">
        <x:f>IF($A184="","",IF(발령대장_설정!$B$5="","",발령대장_설정!$B$5))</x:f>
        <x:v>#NAME?</x:v>
      </x:c>
      <x:c r="G184" s="27" t="e">
        <x:f>IF($A184="","",IF(발령대장_설정!$B$6="","",발령대장_설정!$B$6))</x:f>
        <x:v>#NAME?</x:v>
      </x:c>
      <x:c r="H184" s="27" t="e">
        <x:f>IF($A184="","",IF(발령대장_설정!$B$7="","",발령대장_설정!$B$7))</x:f>
        <x:v>#NAME?</x:v>
      </x:c>
      <x:c r="I184" s="27" t="e">
        <x:f>IF($A184="","",IF(발령대장_설정!$B$8="","",발령대장_설정!$B$8))</x:f>
        <x:v>#NAME?</x:v>
      </x:c>
      <x:c r="J184" s="27" t="str">
        <x:f>""</x:f>
      </x:c>
    </x:row>
    <x:row r="185" ht="42" customHeight="1">
      <x:c r="A185" s="47" t="e">
        <x:f>IF(AND(대장!A92&lt;&gt;"",ISNUMBER(대장!F92),OR(대장!G92="",AND(ISNUMBER(대장!G92),대장!G92&gt;=대장!F92))),대장!F92,"")</x:f>
        <x:v>#NAME?</x:v>
      </x:c>
      <x:c r="B185" s="27" t="e">
        <x:f>IF($A185="","",IF(발령대장_설정!$B$4="","",발령대장_설정!$B$4))</x:f>
        <x:v>#NAME?</x:v>
      </x:c>
      <x:c r="C185" s="27" t="e">
        <x:f>IF($A185="","",대장!D92)</x:f>
        <x:v>#NAME?</x:v>
      </x:c>
      <x:c r="D185" s="27" t="e">
        <x:f>IF($A185="","",대장!A92)</x:f>
        <x:v>#NAME?</x:v>
      </x:c>
      <x:c r="E185" s="27" t="e">
        <x:f>IF($A185="","",IF(대장!J92&lt;&gt;"",대장!J92,대장!D92&amp;"에 임함"&amp;IF(대장!E92="","",CHAR(10)&amp;"고용형태: "&amp;대장!E92)&amp;IF(대장!I92="","",CHAR(10)&amp;"소정근로시간: "&amp;대장!I92)&amp;CHAR(10)&amp;"근로기간: "&amp;YEAR(대장!F92)&amp;"."&amp;MONTH(대장!F92)&amp;"."&amp;DAY(대장!F92)&amp;"."&amp;" ~ "&amp;IF(ISNUMBER(대장!G92),YEAR(대장!G92)&amp;"."&amp;MONTH(대장!G92)&amp;"."&amp;DAY(대장!G92)&amp;".","재직 중")))</x:f>
        <x:v>#NAME?</x:v>
      </x:c>
      <x:c r="F185" s="27" t="e">
        <x:f>IF($A185="","",IF(발령대장_설정!$B$5="","",발령대장_설정!$B$5))</x:f>
        <x:v>#NAME?</x:v>
      </x:c>
      <x:c r="G185" s="27" t="e">
        <x:f>IF($A185="","",IF(발령대장_설정!$B$6="","",발령대장_설정!$B$6))</x:f>
        <x:v>#NAME?</x:v>
      </x:c>
      <x:c r="H185" s="27" t="e">
        <x:f>IF($A185="","",IF(발령대장_설정!$B$7="","",발령대장_설정!$B$7))</x:f>
        <x:v>#NAME?</x:v>
      </x:c>
      <x:c r="I185" s="27" t="e">
        <x:f>IF($A185="","",IF(발령대장_설정!$B$8="","",발령대장_설정!$B$8))</x:f>
        <x:v>#NAME?</x:v>
      </x:c>
      <x:c r="J185" s="27" t="e">
        <x:f>IF($A185="","",IF(대장!K92="","",대장!K92))</x:f>
        <x:v>#NAME?</x:v>
      </x:c>
    </x:row>
    <x:row r="186" ht="42" customHeight="1">
      <x:c r="A186" s="47" t="e">
        <x:f>IF(AND(대장!A92&lt;&gt;"",ISNUMBER(대장!F92),ISNUMBER(대장!G92),대장!G92&gt;=대장!F92,대장!H92&lt;&gt;""),대장!G92,"")</x:f>
        <x:v>#NAME?</x:v>
      </x:c>
      <x:c r="B186" s="27" t="e">
        <x:f>IF($A186="","",IF(발령대장_설정!$B$4="","",발령대장_설정!$B$4))</x:f>
        <x:v>#NAME?</x:v>
      </x:c>
      <x:c r="C186" s="27" t="e">
        <x:f>IF($A186="","",대장!D92)</x:f>
        <x:v>#NAME?</x:v>
      </x:c>
      <x:c r="D186" s="27" t="e">
        <x:f>IF($A186="","",대장!A92)</x:f>
        <x:v>#NAME?</x:v>
      </x:c>
      <x:c r="E186" s="27" t="e">
        <x:f>IF($A186="","",IF(OR(ISNUMBER(SEARCH("계약만료",대장!H92&amp;"")),ISNUMBER(SEARCH("기간만료",대장!H92&amp;""))),"계약기간 만료로 퇴직",IF(ISNUMBER(SEARCH("의원면직",대장!H92&amp;"")),"의원면직",IF(ISNUMBER(SEARCH("정년퇴직",대장!H92&amp;"")),"정년퇴직",대장!H92))))</x:f>
        <x:v>#NAME?</x:v>
      </x:c>
      <x:c r="F186" s="27" t="e">
        <x:f>IF($A186="","",IF(발령대장_설정!$B$5="","",발령대장_설정!$B$5))</x:f>
        <x:v>#NAME?</x:v>
      </x:c>
      <x:c r="G186" s="27" t="e">
        <x:f>IF($A186="","",IF(발령대장_설정!$B$6="","",발령대장_설정!$B$6))</x:f>
        <x:v>#NAME?</x:v>
      </x:c>
      <x:c r="H186" s="27" t="e">
        <x:f>IF($A186="","",IF(발령대장_설정!$B$7="","",발령대장_설정!$B$7))</x:f>
        <x:v>#NAME?</x:v>
      </x:c>
      <x:c r="I186" s="27" t="e">
        <x:f>IF($A186="","",IF(발령대장_설정!$B$8="","",발령대장_설정!$B$8))</x:f>
        <x:v>#NAME?</x:v>
      </x:c>
      <x:c r="J186" s="27" t="str">
        <x:f>""</x:f>
      </x:c>
    </x:row>
    <x:row r="187" ht="42" customHeight="1">
      <x:c r="A187" s="47" t="e">
        <x:f>IF(AND(대장!A93&lt;&gt;"",ISNUMBER(대장!F93),OR(대장!G93="",AND(ISNUMBER(대장!G93),대장!G93&gt;=대장!F93))),대장!F93,"")</x:f>
        <x:v>#NAME?</x:v>
      </x:c>
      <x:c r="B187" s="27" t="e">
        <x:f>IF($A187="","",IF(발령대장_설정!$B$4="","",발령대장_설정!$B$4))</x:f>
        <x:v>#NAME?</x:v>
      </x:c>
      <x:c r="C187" s="27" t="e">
        <x:f>IF($A187="","",대장!D93)</x:f>
        <x:v>#NAME?</x:v>
      </x:c>
      <x:c r="D187" s="27" t="e">
        <x:f>IF($A187="","",대장!A93)</x:f>
        <x:v>#NAME?</x:v>
      </x:c>
      <x:c r="E187" s="27" t="e">
        <x:f>IF($A187="","",IF(대장!J93&lt;&gt;"",대장!J93,대장!D93&amp;"에 임함"&amp;IF(대장!E93="","",CHAR(10)&amp;"고용형태: "&amp;대장!E93)&amp;IF(대장!I93="","",CHAR(10)&amp;"소정근로시간: "&amp;대장!I93)&amp;CHAR(10)&amp;"근로기간: "&amp;YEAR(대장!F93)&amp;"."&amp;MONTH(대장!F93)&amp;"."&amp;DAY(대장!F93)&amp;"."&amp;" ~ "&amp;IF(ISNUMBER(대장!G93),YEAR(대장!G93)&amp;"."&amp;MONTH(대장!G93)&amp;"."&amp;DAY(대장!G93)&amp;".","재직 중")))</x:f>
        <x:v>#NAME?</x:v>
      </x:c>
      <x:c r="F187" s="27" t="e">
        <x:f>IF($A187="","",IF(발령대장_설정!$B$5="","",발령대장_설정!$B$5))</x:f>
        <x:v>#NAME?</x:v>
      </x:c>
      <x:c r="G187" s="27" t="e">
        <x:f>IF($A187="","",IF(발령대장_설정!$B$6="","",발령대장_설정!$B$6))</x:f>
        <x:v>#NAME?</x:v>
      </x:c>
      <x:c r="H187" s="27" t="e">
        <x:f>IF($A187="","",IF(발령대장_설정!$B$7="","",발령대장_설정!$B$7))</x:f>
        <x:v>#NAME?</x:v>
      </x:c>
      <x:c r="I187" s="27" t="e">
        <x:f>IF($A187="","",IF(발령대장_설정!$B$8="","",발령대장_설정!$B$8))</x:f>
        <x:v>#NAME?</x:v>
      </x:c>
      <x:c r="J187" s="27" t="e">
        <x:f>IF($A187="","",IF(대장!K93="","",대장!K93))</x:f>
        <x:v>#NAME?</x:v>
      </x:c>
    </x:row>
    <x:row r="188" ht="42" customHeight="1">
      <x:c r="A188" s="47" t="e">
        <x:f>IF(AND(대장!A93&lt;&gt;"",ISNUMBER(대장!F93),ISNUMBER(대장!G93),대장!G93&gt;=대장!F93,대장!H93&lt;&gt;""),대장!G93,"")</x:f>
        <x:v>#NAME?</x:v>
      </x:c>
      <x:c r="B188" s="27" t="e">
        <x:f>IF($A188="","",IF(발령대장_설정!$B$4="","",발령대장_설정!$B$4))</x:f>
        <x:v>#NAME?</x:v>
      </x:c>
      <x:c r="C188" s="27" t="e">
        <x:f>IF($A188="","",대장!D93)</x:f>
        <x:v>#NAME?</x:v>
      </x:c>
      <x:c r="D188" s="27" t="e">
        <x:f>IF($A188="","",대장!A93)</x:f>
        <x:v>#NAME?</x:v>
      </x:c>
      <x:c r="E188" s="27" t="e">
        <x:f>IF($A188="","",IF(OR(ISNUMBER(SEARCH("계약만료",대장!H93&amp;"")),ISNUMBER(SEARCH("기간만료",대장!H93&amp;""))),"계약기간 만료로 퇴직",IF(ISNUMBER(SEARCH("의원면직",대장!H93&amp;"")),"의원면직",IF(ISNUMBER(SEARCH("정년퇴직",대장!H93&amp;"")),"정년퇴직",대장!H93))))</x:f>
        <x:v>#NAME?</x:v>
      </x:c>
      <x:c r="F188" s="27" t="e">
        <x:f>IF($A188="","",IF(발령대장_설정!$B$5="","",발령대장_설정!$B$5))</x:f>
        <x:v>#NAME?</x:v>
      </x:c>
      <x:c r="G188" s="27" t="e">
        <x:f>IF($A188="","",IF(발령대장_설정!$B$6="","",발령대장_설정!$B$6))</x:f>
        <x:v>#NAME?</x:v>
      </x:c>
      <x:c r="H188" s="27" t="e">
        <x:f>IF($A188="","",IF(발령대장_설정!$B$7="","",발령대장_설정!$B$7))</x:f>
        <x:v>#NAME?</x:v>
      </x:c>
      <x:c r="I188" s="27" t="e">
        <x:f>IF($A188="","",IF(발령대장_설정!$B$8="","",발령대장_설정!$B$8))</x:f>
        <x:v>#NAME?</x:v>
      </x:c>
      <x:c r="J188" s="27" t="str">
        <x:f>""</x:f>
      </x:c>
    </x:row>
    <x:row r="189" ht="42" customHeight="1">
      <x:c r="A189" s="47" t="e">
        <x:f>IF(AND(대장!A94&lt;&gt;"",ISNUMBER(대장!F94),OR(대장!G94="",AND(ISNUMBER(대장!G94),대장!G94&gt;=대장!F94))),대장!F94,"")</x:f>
        <x:v>#NAME?</x:v>
      </x:c>
      <x:c r="B189" s="27" t="e">
        <x:f>IF($A189="","",IF(발령대장_설정!$B$4="","",발령대장_설정!$B$4))</x:f>
        <x:v>#NAME?</x:v>
      </x:c>
      <x:c r="C189" s="27" t="e">
        <x:f>IF($A189="","",대장!D94)</x:f>
        <x:v>#NAME?</x:v>
      </x:c>
      <x:c r="D189" s="27" t="e">
        <x:f>IF($A189="","",대장!A94)</x:f>
        <x:v>#NAME?</x:v>
      </x:c>
      <x:c r="E189" s="27" t="e">
        <x:f>IF($A189="","",IF(대장!J94&lt;&gt;"",대장!J94,대장!D94&amp;"에 임함"&amp;IF(대장!E94="","",CHAR(10)&amp;"고용형태: "&amp;대장!E94)&amp;IF(대장!I94="","",CHAR(10)&amp;"소정근로시간: "&amp;대장!I94)&amp;CHAR(10)&amp;"근로기간: "&amp;YEAR(대장!F94)&amp;"."&amp;MONTH(대장!F94)&amp;"."&amp;DAY(대장!F94)&amp;"."&amp;" ~ "&amp;IF(ISNUMBER(대장!G94),YEAR(대장!G94)&amp;"."&amp;MONTH(대장!G94)&amp;"."&amp;DAY(대장!G94)&amp;".","재직 중")))</x:f>
        <x:v>#NAME?</x:v>
      </x:c>
      <x:c r="F189" s="27" t="e">
        <x:f>IF($A189="","",IF(발령대장_설정!$B$5="","",발령대장_설정!$B$5))</x:f>
        <x:v>#NAME?</x:v>
      </x:c>
      <x:c r="G189" s="27" t="e">
        <x:f>IF($A189="","",IF(발령대장_설정!$B$6="","",발령대장_설정!$B$6))</x:f>
        <x:v>#NAME?</x:v>
      </x:c>
      <x:c r="H189" s="27" t="e">
        <x:f>IF($A189="","",IF(발령대장_설정!$B$7="","",발령대장_설정!$B$7))</x:f>
        <x:v>#NAME?</x:v>
      </x:c>
      <x:c r="I189" s="27" t="e">
        <x:f>IF($A189="","",IF(발령대장_설정!$B$8="","",발령대장_설정!$B$8))</x:f>
        <x:v>#NAME?</x:v>
      </x:c>
      <x:c r="J189" s="27" t="e">
        <x:f>IF($A189="","",IF(대장!K94="","",대장!K94))</x:f>
        <x:v>#NAME?</x:v>
      </x:c>
    </x:row>
    <x:row r="190" ht="42" customHeight="1">
      <x:c r="A190" s="47" t="e">
        <x:f>IF(AND(대장!A94&lt;&gt;"",ISNUMBER(대장!F94),ISNUMBER(대장!G94),대장!G94&gt;=대장!F94,대장!H94&lt;&gt;""),대장!G94,"")</x:f>
        <x:v>#NAME?</x:v>
      </x:c>
      <x:c r="B190" s="27" t="e">
        <x:f>IF($A190="","",IF(발령대장_설정!$B$4="","",발령대장_설정!$B$4))</x:f>
        <x:v>#NAME?</x:v>
      </x:c>
      <x:c r="C190" s="27" t="e">
        <x:f>IF($A190="","",대장!D94)</x:f>
        <x:v>#NAME?</x:v>
      </x:c>
      <x:c r="D190" s="27" t="e">
        <x:f>IF($A190="","",대장!A94)</x:f>
        <x:v>#NAME?</x:v>
      </x:c>
      <x:c r="E190" s="27" t="e">
        <x:f>IF($A190="","",IF(OR(ISNUMBER(SEARCH("계약만료",대장!H94&amp;"")),ISNUMBER(SEARCH("기간만료",대장!H94&amp;""))),"계약기간 만료로 퇴직",IF(ISNUMBER(SEARCH("의원면직",대장!H94&amp;"")),"의원면직",IF(ISNUMBER(SEARCH("정년퇴직",대장!H94&amp;"")),"정년퇴직",대장!H94))))</x:f>
        <x:v>#NAME?</x:v>
      </x:c>
      <x:c r="F190" s="27" t="e">
        <x:f>IF($A190="","",IF(발령대장_설정!$B$5="","",발령대장_설정!$B$5))</x:f>
        <x:v>#NAME?</x:v>
      </x:c>
      <x:c r="G190" s="27" t="e">
        <x:f>IF($A190="","",IF(발령대장_설정!$B$6="","",발령대장_설정!$B$6))</x:f>
        <x:v>#NAME?</x:v>
      </x:c>
      <x:c r="H190" s="27" t="e">
        <x:f>IF($A190="","",IF(발령대장_설정!$B$7="","",발령대장_설정!$B$7))</x:f>
        <x:v>#NAME?</x:v>
      </x:c>
      <x:c r="I190" s="27" t="e">
        <x:f>IF($A190="","",IF(발령대장_설정!$B$8="","",발령대장_설정!$B$8))</x:f>
        <x:v>#NAME?</x:v>
      </x:c>
      <x:c r="J190" s="27" t="str">
        <x:f>""</x:f>
      </x:c>
    </x:row>
    <x:row r="191" ht="42" customHeight="1">
      <x:c r="A191" s="47" t="e">
        <x:f>IF(AND(대장!A95&lt;&gt;"",ISNUMBER(대장!F95),OR(대장!G95="",AND(ISNUMBER(대장!G95),대장!G95&gt;=대장!F95))),대장!F95,"")</x:f>
        <x:v>#NAME?</x:v>
      </x:c>
      <x:c r="B191" s="27" t="e">
        <x:f>IF($A191="","",IF(발령대장_설정!$B$4="","",발령대장_설정!$B$4))</x:f>
        <x:v>#NAME?</x:v>
      </x:c>
      <x:c r="C191" s="27" t="e">
        <x:f>IF($A191="","",대장!D95)</x:f>
        <x:v>#NAME?</x:v>
      </x:c>
      <x:c r="D191" s="27" t="e">
        <x:f>IF($A191="","",대장!A95)</x:f>
        <x:v>#NAME?</x:v>
      </x:c>
      <x:c r="E191" s="27" t="e">
        <x:f>IF($A191="","",IF(대장!J95&lt;&gt;"",대장!J95,대장!D95&amp;"에 임함"&amp;IF(대장!E95="","",CHAR(10)&amp;"고용형태: "&amp;대장!E95)&amp;IF(대장!I95="","",CHAR(10)&amp;"소정근로시간: "&amp;대장!I95)&amp;CHAR(10)&amp;"근로기간: "&amp;YEAR(대장!F95)&amp;"."&amp;MONTH(대장!F95)&amp;"."&amp;DAY(대장!F95)&amp;"."&amp;" ~ "&amp;IF(ISNUMBER(대장!G95),YEAR(대장!G95)&amp;"."&amp;MONTH(대장!G95)&amp;"."&amp;DAY(대장!G95)&amp;".","재직 중")))</x:f>
        <x:v>#NAME?</x:v>
      </x:c>
      <x:c r="F191" s="27" t="e">
        <x:f>IF($A191="","",IF(발령대장_설정!$B$5="","",발령대장_설정!$B$5))</x:f>
        <x:v>#NAME?</x:v>
      </x:c>
      <x:c r="G191" s="27" t="e">
        <x:f>IF($A191="","",IF(발령대장_설정!$B$6="","",발령대장_설정!$B$6))</x:f>
        <x:v>#NAME?</x:v>
      </x:c>
      <x:c r="H191" s="27" t="e">
        <x:f>IF($A191="","",IF(발령대장_설정!$B$7="","",발령대장_설정!$B$7))</x:f>
        <x:v>#NAME?</x:v>
      </x:c>
      <x:c r="I191" s="27" t="e">
        <x:f>IF($A191="","",IF(발령대장_설정!$B$8="","",발령대장_설정!$B$8))</x:f>
        <x:v>#NAME?</x:v>
      </x:c>
      <x:c r="J191" s="27" t="e">
        <x:f>IF($A191="","",IF(대장!K95="","",대장!K95))</x:f>
        <x:v>#NAME?</x:v>
      </x:c>
    </x:row>
    <x:row r="192" ht="42" customHeight="1">
      <x:c r="A192" s="47" t="e">
        <x:f>IF(AND(대장!A95&lt;&gt;"",ISNUMBER(대장!F95),ISNUMBER(대장!G95),대장!G95&gt;=대장!F95,대장!H95&lt;&gt;""),대장!G95,"")</x:f>
        <x:v>#NAME?</x:v>
      </x:c>
      <x:c r="B192" s="27" t="e">
        <x:f>IF($A192="","",IF(발령대장_설정!$B$4="","",발령대장_설정!$B$4))</x:f>
        <x:v>#NAME?</x:v>
      </x:c>
      <x:c r="C192" s="27" t="e">
        <x:f>IF($A192="","",대장!D95)</x:f>
        <x:v>#NAME?</x:v>
      </x:c>
      <x:c r="D192" s="27" t="e">
        <x:f>IF($A192="","",대장!A95)</x:f>
        <x:v>#NAME?</x:v>
      </x:c>
      <x:c r="E192" s="27" t="e">
        <x:f>IF($A192="","",IF(OR(ISNUMBER(SEARCH("계약만료",대장!H95&amp;"")),ISNUMBER(SEARCH("기간만료",대장!H95&amp;""))),"계약기간 만료로 퇴직",IF(ISNUMBER(SEARCH("의원면직",대장!H95&amp;"")),"의원면직",IF(ISNUMBER(SEARCH("정년퇴직",대장!H95&amp;"")),"정년퇴직",대장!H95))))</x:f>
        <x:v>#NAME?</x:v>
      </x:c>
      <x:c r="F192" s="27" t="e">
        <x:f>IF($A192="","",IF(발령대장_설정!$B$5="","",발령대장_설정!$B$5))</x:f>
        <x:v>#NAME?</x:v>
      </x:c>
      <x:c r="G192" s="27" t="e">
        <x:f>IF($A192="","",IF(발령대장_설정!$B$6="","",발령대장_설정!$B$6))</x:f>
        <x:v>#NAME?</x:v>
      </x:c>
      <x:c r="H192" s="27" t="e">
        <x:f>IF($A192="","",IF(발령대장_설정!$B$7="","",발령대장_설정!$B$7))</x:f>
        <x:v>#NAME?</x:v>
      </x:c>
      <x:c r="I192" s="27" t="e">
        <x:f>IF($A192="","",IF(발령대장_설정!$B$8="","",발령대장_설정!$B$8))</x:f>
        <x:v>#NAME?</x:v>
      </x:c>
      <x:c r="J192" s="27" t="str">
        <x:f>""</x:f>
      </x:c>
    </x:row>
    <x:row r="193" ht="42" customHeight="1">
      <x:c r="A193" s="47" t="e">
        <x:f>IF(AND(대장!A96&lt;&gt;"",ISNUMBER(대장!F96),OR(대장!G96="",AND(ISNUMBER(대장!G96),대장!G96&gt;=대장!F96))),대장!F96,"")</x:f>
        <x:v>#NAME?</x:v>
      </x:c>
      <x:c r="B193" s="27" t="e">
        <x:f>IF($A193="","",IF(발령대장_설정!$B$4="","",발령대장_설정!$B$4))</x:f>
        <x:v>#NAME?</x:v>
      </x:c>
      <x:c r="C193" s="27" t="e">
        <x:f>IF($A193="","",대장!D96)</x:f>
        <x:v>#NAME?</x:v>
      </x:c>
      <x:c r="D193" s="27" t="e">
        <x:f>IF($A193="","",대장!A96)</x:f>
        <x:v>#NAME?</x:v>
      </x:c>
      <x:c r="E193" s="27" t="e">
        <x:f>IF($A193="","",IF(대장!J96&lt;&gt;"",대장!J96,대장!D96&amp;"에 임함"&amp;IF(대장!E96="","",CHAR(10)&amp;"고용형태: "&amp;대장!E96)&amp;IF(대장!I96="","",CHAR(10)&amp;"소정근로시간: "&amp;대장!I96)&amp;CHAR(10)&amp;"근로기간: "&amp;YEAR(대장!F96)&amp;"."&amp;MONTH(대장!F96)&amp;"."&amp;DAY(대장!F96)&amp;"."&amp;" ~ "&amp;IF(ISNUMBER(대장!G96),YEAR(대장!G96)&amp;"."&amp;MONTH(대장!G96)&amp;"."&amp;DAY(대장!G96)&amp;".","재직 중")))</x:f>
        <x:v>#NAME?</x:v>
      </x:c>
      <x:c r="F193" s="27" t="e">
        <x:f>IF($A193="","",IF(발령대장_설정!$B$5="","",발령대장_설정!$B$5))</x:f>
        <x:v>#NAME?</x:v>
      </x:c>
      <x:c r="G193" s="27" t="e">
        <x:f>IF($A193="","",IF(발령대장_설정!$B$6="","",발령대장_설정!$B$6))</x:f>
        <x:v>#NAME?</x:v>
      </x:c>
      <x:c r="H193" s="27" t="e">
        <x:f>IF($A193="","",IF(발령대장_설정!$B$7="","",발령대장_설정!$B$7))</x:f>
        <x:v>#NAME?</x:v>
      </x:c>
      <x:c r="I193" s="27" t="e">
        <x:f>IF($A193="","",IF(발령대장_설정!$B$8="","",발령대장_설정!$B$8))</x:f>
        <x:v>#NAME?</x:v>
      </x:c>
      <x:c r="J193" s="27" t="e">
        <x:f>IF($A193="","",IF(대장!K96="","",대장!K96))</x:f>
        <x:v>#NAME?</x:v>
      </x:c>
    </x:row>
    <x:row r="194" ht="42" customHeight="1">
      <x:c r="A194" s="47" t="e">
        <x:f>IF(AND(대장!A96&lt;&gt;"",ISNUMBER(대장!F96),ISNUMBER(대장!G96),대장!G96&gt;=대장!F96,대장!H96&lt;&gt;""),대장!G96,"")</x:f>
        <x:v>#NAME?</x:v>
      </x:c>
      <x:c r="B194" s="27" t="e">
        <x:f>IF($A194="","",IF(발령대장_설정!$B$4="","",발령대장_설정!$B$4))</x:f>
        <x:v>#NAME?</x:v>
      </x:c>
      <x:c r="C194" s="27" t="e">
        <x:f>IF($A194="","",대장!D96)</x:f>
        <x:v>#NAME?</x:v>
      </x:c>
      <x:c r="D194" s="27" t="e">
        <x:f>IF($A194="","",대장!A96)</x:f>
        <x:v>#NAME?</x:v>
      </x:c>
      <x:c r="E194" s="27" t="e">
        <x:f>IF($A194="","",IF(OR(ISNUMBER(SEARCH("계약만료",대장!H96&amp;"")),ISNUMBER(SEARCH("기간만료",대장!H96&amp;""))),"계약기간 만료로 퇴직",IF(ISNUMBER(SEARCH("의원면직",대장!H96&amp;"")),"의원면직",IF(ISNUMBER(SEARCH("정년퇴직",대장!H96&amp;"")),"정년퇴직",대장!H96))))</x:f>
        <x:v>#NAME?</x:v>
      </x:c>
      <x:c r="F194" s="27" t="e">
        <x:f>IF($A194="","",IF(발령대장_설정!$B$5="","",발령대장_설정!$B$5))</x:f>
        <x:v>#NAME?</x:v>
      </x:c>
      <x:c r="G194" s="27" t="e">
        <x:f>IF($A194="","",IF(발령대장_설정!$B$6="","",발령대장_설정!$B$6))</x:f>
        <x:v>#NAME?</x:v>
      </x:c>
      <x:c r="H194" s="27" t="e">
        <x:f>IF($A194="","",IF(발령대장_설정!$B$7="","",발령대장_설정!$B$7))</x:f>
        <x:v>#NAME?</x:v>
      </x:c>
      <x:c r="I194" s="27" t="e">
        <x:f>IF($A194="","",IF(발령대장_설정!$B$8="","",발령대장_설정!$B$8))</x:f>
        <x:v>#NAME?</x:v>
      </x:c>
      <x:c r="J194" s="27" t="str">
        <x:f>""</x:f>
      </x:c>
    </x:row>
    <x:row r="195" ht="42" customHeight="1">
      <x:c r="A195" s="47" t="e">
        <x:f>IF(AND(대장!A97&lt;&gt;"",ISNUMBER(대장!F97),OR(대장!G97="",AND(ISNUMBER(대장!G97),대장!G97&gt;=대장!F97))),대장!F97,"")</x:f>
        <x:v>#NAME?</x:v>
      </x:c>
      <x:c r="B195" s="27" t="e">
        <x:f>IF($A195="","",IF(발령대장_설정!$B$4="","",발령대장_설정!$B$4))</x:f>
        <x:v>#NAME?</x:v>
      </x:c>
      <x:c r="C195" s="27" t="e">
        <x:f>IF($A195="","",대장!D97)</x:f>
        <x:v>#NAME?</x:v>
      </x:c>
      <x:c r="D195" s="27" t="e">
        <x:f>IF($A195="","",대장!A97)</x:f>
        <x:v>#NAME?</x:v>
      </x:c>
      <x:c r="E195" s="27" t="e">
        <x:f>IF($A195="","",IF(대장!J97&lt;&gt;"",대장!J97,대장!D97&amp;"에 임함"&amp;IF(대장!E97="","",CHAR(10)&amp;"고용형태: "&amp;대장!E97)&amp;IF(대장!I97="","",CHAR(10)&amp;"소정근로시간: "&amp;대장!I97)&amp;CHAR(10)&amp;"근로기간: "&amp;YEAR(대장!F97)&amp;"."&amp;MONTH(대장!F97)&amp;"."&amp;DAY(대장!F97)&amp;"."&amp;" ~ "&amp;IF(ISNUMBER(대장!G97),YEAR(대장!G97)&amp;"."&amp;MONTH(대장!G97)&amp;"."&amp;DAY(대장!G97)&amp;".","재직 중")))</x:f>
        <x:v>#NAME?</x:v>
      </x:c>
      <x:c r="F195" s="27" t="e">
        <x:f>IF($A195="","",IF(발령대장_설정!$B$5="","",발령대장_설정!$B$5))</x:f>
        <x:v>#NAME?</x:v>
      </x:c>
      <x:c r="G195" s="27" t="e">
        <x:f>IF($A195="","",IF(발령대장_설정!$B$6="","",발령대장_설정!$B$6))</x:f>
        <x:v>#NAME?</x:v>
      </x:c>
      <x:c r="H195" s="27" t="e">
        <x:f>IF($A195="","",IF(발령대장_설정!$B$7="","",발령대장_설정!$B$7))</x:f>
        <x:v>#NAME?</x:v>
      </x:c>
      <x:c r="I195" s="27" t="e">
        <x:f>IF($A195="","",IF(발령대장_설정!$B$8="","",발령대장_설정!$B$8))</x:f>
        <x:v>#NAME?</x:v>
      </x:c>
      <x:c r="J195" s="27" t="e">
        <x:f>IF($A195="","",IF(대장!K97="","",대장!K97))</x:f>
        <x:v>#NAME?</x:v>
      </x:c>
    </x:row>
    <x:row r="196" ht="42" customHeight="1">
      <x:c r="A196" s="47" t="e">
        <x:f>IF(AND(대장!A97&lt;&gt;"",ISNUMBER(대장!F97),ISNUMBER(대장!G97),대장!G97&gt;=대장!F97,대장!H97&lt;&gt;""),대장!G97,"")</x:f>
        <x:v>#NAME?</x:v>
      </x:c>
      <x:c r="B196" s="27" t="e">
        <x:f>IF($A196="","",IF(발령대장_설정!$B$4="","",발령대장_설정!$B$4))</x:f>
        <x:v>#NAME?</x:v>
      </x:c>
      <x:c r="C196" s="27" t="e">
        <x:f>IF($A196="","",대장!D97)</x:f>
        <x:v>#NAME?</x:v>
      </x:c>
      <x:c r="D196" s="27" t="e">
        <x:f>IF($A196="","",대장!A97)</x:f>
        <x:v>#NAME?</x:v>
      </x:c>
      <x:c r="E196" s="27" t="e">
        <x:f>IF($A196="","",IF(OR(ISNUMBER(SEARCH("계약만료",대장!H97&amp;"")),ISNUMBER(SEARCH("기간만료",대장!H97&amp;""))),"계약기간 만료로 퇴직",IF(ISNUMBER(SEARCH("의원면직",대장!H97&amp;"")),"의원면직",IF(ISNUMBER(SEARCH("정년퇴직",대장!H97&amp;"")),"정년퇴직",대장!H97))))</x:f>
        <x:v>#NAME?</x:v>
      </x:c>
      <x:c r="F196" s="27" t="e">
        <x:f>IF($A196="","",IF(발령대장_설정!$B$5="","",발령대장_설정!$B$5))</x:f>
        <x:v>#NAME?</x:v>
      </x:c>
      <x:c r="G196" s="27" t="e">
        <x:f>IF($A196="","",IF(발령대장_설정!$B$6="","",발령대장_설정!$B$6))</x:f>
        <x:v>#NAME?</x:v>
      </x:c>
      <x:c r="H196" s="27" t="e">
        <x:f>IF($A196="","",IF(발령대장_설정!$B$7="","",발령대장_설정!$B$7))</x:f>
        <x:v>#NAME?</x:v>
      </x:c>
      <x:c r="I196" s="27" t="e">
        <x:f>IF($A196="","",IF(발령대장_설정!$B$8="","",발령대장_설정!$B$8))</x:f>
        <x:v>#NAME?</x:v>
      </x:c>
      <x:c r="J196" s="27" t="str">
        <x:f>""</x:f>
      </x:c>
    </x:row>
    <x:row r="197" ht="42" customHeight="1">
      <x:c r="A197" s="47" t="e">
        <x:f>IF(AND(대장!A98&lt;&gt;"",ISNUMBER(대장!F98),OR(대장!G98="",AND(ISNUMBER(대장!G98),대장!G98&gt;=대장!F98))),대장!F98,"")</x:f>
        <x:v>#NAME?</x:v>
      </x:c>
      <x:c r="B197" s="27" t="e">
        <x:f>IF($A197="","",IF(발령대장_설정!$B$4="","",발령대장_설정!$B$4))</x:f>
        <x:v>#NAME?</x:v>
      </x:c>
      <x:c r="C197" s="27" t="e">
        <x:f>IF($A197="","",대장!D98)</x:f>
        <x:v>#NAME?</x:v>
      </x:c>
      <x:c r="D197" s="27" t="e">
        <x:f>IF($A197="","",대장!A98)</x:f>
        <x:v>#NAME?</x:v>
      </x:c>
      <x:c r="E197" s="27" t="e">
        <x:f>IF($A197="","",IF(대장!J98&lt;&gt;"",대장!J98,대장!D98&amp;"에 임함"&amp;IF(대장!E98="","",CHAR(10)&amp;"고용형태: "&amp;대장!E98)&amp;IF(대장!I98="","",CHAR(10)&amp;"소정근로시간: "&amp;대장!I98)&amp;CHAR(10)&amp;"근로기간: "&amp;YEAR(대장!F98)&amp;"."&amp;MONTH(대장!F98)&amp;"."&amp;DAY(대장!F98)&amp;"."&amp;" ~ "&amp;IF(ISNUMBER(대장!G98),YEAR(대장!G98)&amp;"."&amp;MONTH(대장!G98)&amp;"."&amp;DAY(대장!G98)&amp;".","재직 중")))</x:f>
        <x:v>#NAME?</x:v>
      </x:c>
      <x:c r="F197" s="27" t="e">
        <x:f>IF($A197="","",IF(발령대장_설정!$B$5="","",발령대장_설정!$B$5))</x:f>
        <x:v>#NAME?</x:v>
      </x:c>
      <x:c r="G197" s="27" t="e">
        <x:f>IF($A197="","",IF(발령대장_설정!$B$6="","",발령대장_설정!$B$6))</x:f>
        <x:v>#NAME?</x:v>
      </x:c>
      <x:c r="H197" s="27" t="e">
        <x:f>IF($A197="","",IF(발령대장_설정!$B$7="","",발령대장_설정!$B$7))</x:f>
        <x:v>#NAME?</x:v>
      </x:c>
      <x:c r="I197" s="27" t="e">
        <x:f>IF($A197="","",IF(발령대장_설정!$B$8="","",발령대장_설정!$B$8))</x:f>
        <x:v>#NAME?</x:v>
      </x:c>
      <x:c r="J197" s="27" t="e">
        <x:f>IF($A197="","",IF(대장!K98="","",대장!K98))</x:f>
        <x:v>#NAME?</x:v>
      </x:c>
    </x:row>
    <x:row r="198" ht="42" customHeight="1">
      <x:c r="A198" s="47" t="e">
        <x:f>IF(AND(대장!A98&lt;&gt;"",ISNUMBER(대장!F98),ISNUMBER(대장!G98),대장!G98&gt;=대장!F98,대장!H98&lt;&gt;""),대장!G98,"")</x:f>
        <x:v>#NAME?</x:v>
      </x:c>
      <x:c r="B198" s="27" t="e">
        <x:f>IF($A198="","",IF(발령대장_설정!$B$4="","",발령대장_설정!$B$4))</x:f>
        <x:v>#NAME?</x:v>
      </x:c>
      <x:c r="C198" s="27" t="e">
        <x:f>IF($A198="","",대장!D98)</x:f>
        <x:v>#NAME?</x:v>
      </x:c>
      <x:c r="D198" s="27" t="e">
        <x:f>IF($A198="","",대장!A98)</x:f>
        <x:v>#NAME?</x:v>
      </x:c>
      <x:c r="E198" s="27" t="e">
        <x:f>IF($A198="","",IF(OR(ISNUMBER(SEARCH("계약만료",대장!H98&amp;"")),ISNUMBER(SEARCH("기간만료",대장!H98&amp;""))),"계약기간 만료로 퇴직",IF(ISNUMBER(SEARCH("의원면직",대장!H98&amp;"")),"의원면직",IF(ISNUMBER(SEARCH("정년퇴직",대장!H98&amp;"")),"정년퇴직",대장!H98))))</x:f>
        <x:v>#NAME?</x:v>
      </x:c>
      <x:c r="F198" s="27" t="e">
        <x:f>IF($A198="","",IF(발령대장_설정!$B$5="","",발령대장_설정!$B$5))</x:f>
        <x:v>#NAME?</x:v>
      </x:c>
      <x:c r="G198" s="27" t="e">
        <x:f>IF($A198="","",IF(발령대장_설정!$B$6="","",발령대장_설정!$B$6))</x:f>
        <x:v>#NAME?</x:v>
      </x:c>
      <x:c r="H198" s="27" t="e">
        <x:f>IF($A198="","",IF(발령대장_설정!$B$7="","",발령대장_설정!$B$7))</x:f>
        <x:v>#NAME?</x:v>
      </x:c>
      <x:c r="I198" s="27" t="e">
        <x:f>IF($A198="","",IF(발령대장_설정!$B$8="","",발령대장_설정!$B$8))</x:f>
        <x:v>#NAME?</x:v>
      </x:c>
      <x:c r="J198" s="27" t="str">
        <x:f>""</x:f>
      </x:c>
    </x:row>
    <x:row r="199" ht="42" customHeight="1">
      <x:c r="A199" s="47" t="e">
        <x:f>IF(AND(대장!A99&lt;&gt;"",ISNUMBER(대장!F99),OR(대장!G99="",AND(ISNUMBER(대장!G99),대장!G99&gt;=대장!F99))),대장!F99,"")</x:f>
        <x:v>#NAME?</x:v>
      </x:c>
      <x:c r="B199" s="27" t="e">
        <x:f>IF($A199="","",IF(발령대장_설정!$B$4="","",발령대장_설정!$B$4))</x:f>
        <x:v>#NAME?</x:v>
      </x:c>
      <x:c r="C199" s="27" t="e">
        <x:f>IF($A199="","",대장!D99)</x:f>
        <x:v>#NAME?</x:v>
      </x:c>
      <x:c r="D199" s="27" t="e">
        <x:f>IF($A199="","",대장!A99)</x:f>
        <x:v>#NAME?</x:v>
      </x:c>
      <x:c r="E199" s="27" t="e">
        <x:f>IF($A199="","",IF(대장!J99&lt;&gt;"",대장!J99,대장!D99&amp;"에 임함"&amp;IF(대장!E99="","",CHAR(10)&amp;"고용형태: "&amp;대장!E99)&amp;IF(대장!I99="","",CHAR(10)&amp;"소정근로시간: "&amp;대장!I99)&amp;CHAR(10)&amp;"근로기간: "&amp;YEAR(대장!F99)&amp;"."&amp;MONTH(대장!F99)&amp;"."&amp;DAY(대장!F99)&amp;"."&amp;" ~ "&amp;IF(ISNUMBER(대장!G99),YEAR(대장!G99)&amp;"."&amp;MONTH(대장!G99)&amp;"."&amp;DAY(대장!G99)&amp;".","재직 중")))</x:f>
        <x:v>#NAME?</x:v>
      </x:c>
      <x:c r="F199" s="27" t="e">
        <x:f>IF($A199="","",IF(발령대장_설정!$B$5="","",발령대장_설정!$B$5))</x:f>
        <x:v>#NAME?</x:v>
      </x:c>
      <x:c r="G199" s="27" t="e">
        <x:f>IF($A199="","",IF(발령대장_설정!$B$6="","",발령대장_설정!$B$6))</x:f>
        <x:v>#NAME?</x:v>
      </x:c>
      <x:c r="H199" s="27" t="e">
        <x:f>IF($A199="","",IF(발령대장_설정!$B$7="","",발령대장_설정!$B$7))</x:f>
        <x:v>#NAME?</x:v>
      </x:c>
      <x:c r="I199" s="27" t="e">
        <x:f>IF($A199="","",IF(발령대장_설정!$B$8="","",발령대장_설정!$B$8))</x:f>
        <x:v>#NAME?</x:v>
      </x:c>
      <x:c r="J199" s="27" t="e">
        <x:f>IF($A199="","",IF(대장!K99="","",대장!K99))</x:f>
        <x:v>#NAME?</x:v>
      </x:c>
    </x:row>
    <x:row r="200" ht="42" customHeight="1">
      <x:c r="A200" s="47" t="e">
        <x:f>IF(AND(대장!A99&lt;&gt;"",ISNUMBER(대장!F99),ISNUMBER(대장!G99),대장!G99&gt;=대장!F99,대장!H99&lt;&gt;""),대장!G99,"")</x:f>
        <x:v>#NAME?</x:v>
      </x:c>
      <x:c r="B200" s="27" t="e">
        <x:f>IF($A200="","",IF(발령대장_설정!$B$4="","",발령대장_설정!$B$4))</x:f>
        <x:v>#NAME?</x:v>
      </x:c>
      <x:c r="C200" s="27" t="e">
        <x:f>IF($A200="","",대장!D99)</x:f>
        <x:v>#NAME?</x:v>
      </x:c>
      <x:c r="D200" s="27" t="e">
        <x:f>IF($A200="","",대장!A99)</x:f>
        <x:v>#NAME?</x:v>
      </x:c>
      <x:c r="E200" s="27" t="e">
        <x:f>IF($A200="","",IF(OR(ISNUMBER(SEARCH("계약만료",대장!H99&amp;"")),ISNUMBER(SEARCH("기간만료",대장!H99&amp;""))),"계약기간 만료로 퇴직",IF(ISNUMBER(SEARCH("의원면직",대장!H99&amp;"")),"의원면직",IF(ISNUMBER(SEARCH("정년퇴직",대장!H99&amp;"")),"정년퇴직",대장!H99))))</x:f>
        <x:v>#NAME?</x:v>
      </x:c>
      <x:c r="F200" s="27" t="e">
        <x:f>IF($A200="","",IF(발령대장_설정!$B$5="","",발령대장_설정!$B$5))</x:f>
        <x:v>#NAME?</x:v>
      </x:c>
      <x:c r="G200" s="27" t="e">
        <x:f>IF($A200="","",IF(발령대장_설정!$B$6="","",발령대장_설정!$B$6))</x:f>
        <x:v>#NAME?</x:v>
      </x:c>
      <x:c r="H200" s="27" t="e">
        <x:f>IF($A200="","",IF(발령대장_설정!$B$7="","",발령대장_설정!$B$7))</x:f>
        <x:v>#NAME?</x:v>
      </x:c>
      <x:c r="I200" s="27" t="e">
        <x:f>IF($A200="","",IF(발령대장_설정!$B$8="","",발령대장_설정!$B$8))</x:f>
        <x:v>#NAME?</x:v>
      </x:c>
      <x:c r="J200" s="27" t="str">
        <x:f>""</x:f>
      </x:c>
    </x:row>
    <x:row r="201" ht="42" customHeight="1">
      <x:c r="A201" s="47" t="e">
        <x:f>IF(AND(대장!A100&lt;&gt;"",ISNUMBER(대장!F100),OR(대장!G100="",AND(ISNUMBER(대장!G100),대장!G100&gt;=대장!F100))),대장!F100,"")</x:f>
        <x:v>#NAME?</x:v>
      </x:c>
      <x:c r="B201" s="27" t="e">
        <x:f>IF($A201="","",IF(발령대장_설정!$B$4="","",발령대장_설정!$B$4))</x:f>
        <x:v>#NAME?</x:v>
      </x:c>
      <x:c r="C201" s="27" t="e">
        <x:f>IF($A201="","",대장!D100)</x:f>
        <x:v>#NAME?</x:v>
      </x:c>
      <x:c r="D201" s="27" t="e">
        <x:f>IF($A201="","",대장!A100)</x:f>
        <x:v>#NAME?</x:v>
      </x:c>
      <x:c r="E201" s="27" t="e">
        <x:f>IF($A201="","",IF(대장!J100&lt;&gt;"",대장!J100,대장!D100&amp;"에 임함"&amp;IF(대장!E100="","",CHAR(10)&amp;"고용형태: "&amp;대장!E100)&amp;IF(대장!I100="","",CHAR(10)&amp;"소정근로시간: "&amp;대장!I100)&amp;CHAR(10)&amp;"근로기간: "&amp;YEAR(대장!F100)&amp;"."&amp;MONTH(대장!F100)&amp;"."&amp;DAY(대장!F100)&amp;"."&amp;" ~ "&amp;IF(ISNUMBER(대장!G100),YEAR(대장!G100)&amp;"."&amp;MONTH(대장!G100)&amp;"."&amp;DAY(대장!G100)&amp;".","재직 중")))</x:f>
        <x:v>#NAME?</x:v>
      </x:c>
      <x:c r="F201" s="27" t="e">
        <x:f>IF($A201="","",IF(발령대장_설정!$B$5="","",발령대장_설정!$B$5))</x:f>
        <x:v>#NAME?</x:v>
      </x:c>
      <x:c r="G201" s="27" t="e">
        <x:f>IF($A201="","",IF(발령대장_설정!$B$6="","",발령대장_설정!$B$6))</x:f>
        <x:v>#NAME?</x:v>
      </x:c>
      <x:c r="H201" s="27" t="e">
        <x:f>IF($A201="","",IF(발령대장_설정!$B$7="","",발령대장_설정!$B$7))</x:f>
        <x:v>#NAME?</x:v>
      </x:c>
      <x:c r="I201" s="27" t="e">
        <x:f>IF($A201="","",IF(발령대장_설정!$B$8="","",발령대장_설정!$B$8))</x:f>
        <x:v>#NAME?</x:v>
      </x:c>
      <x:c r="J201" s="27" t="e">
        <x:f>IF($A201="","",IF(대장!K100="","",대장!K100))</x:f>
        <x:v>#NAME?</x:v>
      </x:c>
    </x:row>
    <x:row r="202" ht="42" customHeight="1">
      <x:c r="A202" s="47" t="e">
        <x:f>IF(AND(대장!A100&lt;&gt;"",ISNUMBER(대장!F100),ISNUMBER(대장!G100),대장!G100&gt;=대장!F100,대장!H100&lt;&gt;""),대장!G100,"")</x:f>
        <x:v>#NAME?</x:v>
      </x:c>
      <x:c r="B202" s="27" t="e">
        <x:f>IF($A202="","",IF(발령대장_설정!$B$4="","",발령대장_설정!$B$4))</x:f>
        <x:v>#NAME?</x:v>
      </x:c>
      <x:c r="C202" s="27" t="e">
        <x:f>IF($A202="","",대장!D100)</x:f>
        <x:v>#NAME?</x:v>
      </x:c>
      <x:c r="D202" s="27" t="e">
        <x:f>IF($A202="","",대장!A100)</x:f>
        <x:v>#NAME?</x:v>
      </x:c>
      <x:c r="E202" s="27" t="e">
        <x:f>IF($A202="","",IF(OR(ISNUMBER(SEARCH("계약만료",대장!H100&amp;"")),ISNUMBER(SEARCH("기간만료",대장!H100&amp;""))),"계약기간 만료로 퇴직",IF(ISNUMBER(SEARCH("의원면직",대장!H100&amp;"")),"의원면직",IF(ISNUMBER(SEARCH("정년퇴직",대장!H100&amp;"")),"정년퇴직",대장!H100))))</x:f>
        <x:v>#NAME?</x:v>
      </x:c>
      <x:c r="F202" s="27" t="e">
        <x:f>IF($A202="","",IF(발령대장_설정!$B$5="","",발령대장_설정!$B$5))</x:f>
        <x:v>#NAME?</x:v>
      </x:c>
      <x:c r="G202" s="27" t="e">
        <x:f>IF($A202="","",IF(발령대장_설정!$B$6="","",발령대장_설정!$B$6))</x:f>
        <x:v>#NAME?</x:v>
      </x:c>
      <x:c r="H202" s="27" t="e">
        <x:f>IF($A202="","",IF(발령대장_설정!$B$7="","",발령대장_설정!$B$7))</x:f>
        <x:v>#NAME?</x:v>
      </x:c>
      <x:c r="I202" s="27" t="e">
        <x:f>IF($A202="","",IF(발령대장_설정!$B$8="","",발령대장_설정!$B$8))</x:f>
        <x:v>#NAME?</x:v>
      </x:c>
      <x:c r="J202" s="27" t="str">
        <x:f>""</x:f>
      </x:c>
    </x:row>
    <x:row r="203" ht="42" customHeight="1">
      <x:c r="A203" s="47" t="e">
        <x:f>IF(AND(대장!A101&lt;&gt;"",ISNUMBER(대장!F101),OR(대장!G101="",AND(ISNUMBER(대장!G101),대장!G101&gt;=대장!F101))),대장!F101,"")</x:f>
        <x:v>#NAME?</x:v>
      </x:c>
      <x:c r="B203" s="27" t="e">
        <x:f>IF($A203="","",IF(발령대장_설정!$B$4="","",발령대장_설정!$B$4))</x:f>
        <x:v>#NAME?</x:v>
      </x:c>
      <x:c r="C203" s="27" t="e">
        <x:f>IF($A203="","",대장!D101)</x:f>
        <x:v>#NAME?</x:v>
      </x:c>
      <x:c r="D203" s="27" t="e">
        <x:f>IF($A203="","",대장!A101)</x:f>
        <x:v>#NAME?</x:v>
      </x:c>
      <x:c r="E203" s="27" t="e">
        <x:f>IF($A203="","",IF(대장!J101&lt;&gt;"",대장!J101,대장!D101&amp;"에 임함"&amp;IF(대장!E101="","",CHAR(10)&amp;"고용형태: "&amp;대장!E101)&amp;IF(대장!I101="","",CHAR(10)&amp;"소정근로시간: "&amp;대장!I101)&amp;CHAR(10)&amp;"근로기간: "&amp;YEAR(대장!F101)&amp;"."&amp;MONTH(대장!F101)&amp;"."&amp;DAY(대장!F101)&amp;"."&amp;" ~ "&amp;IF(ISNUMBER(대장!G101),YEAR(대장!G101)&amp;"."&amp;MONTH(대장!G101)&amp;"."&amp;DAY(대장!G101)&amp;".","재직 중")))</x:f>
        <x:v>#NAME?</x:v>
      </x:c>
      <x:c r="F203" s="27" t="e">
        <x:f>IF($A203="","",IF(발령대장_설정!$B$5="","",발령대장_설정!$B$5))</x:f>
        <x:v>#NAME?</x:v>
      </x:c>
      <x:c r="G203" s="27" t="e">
        <x:f>IF($A203="","",IF(발령대장_설정!$B$6="","",발령대장_설정!$B$6))</x:f>
        <x:v>#NAME?</x:v>
      </x:c>
      <x:c r="H203" s="27" t="e">
        <x:f>IF($A203="","",IF(발령대장_설정!$B$7="","",발령대장_설정!$B$7))</x:f>
        <x:v>#NAME?</x:v>
      </x:c>
      <x:c r="I203" s="27" t="e">
        <x:f>IF($A203="","",IF(발령대장_설정!$B$8="","",발령대장_설정!$B$8))</x:f>
        <x:v>#NAME?</x:v>
      </x:c>
      <x:c r="J203" s="27" t="e">
        <x:f>IF($A203="","",IF(대장!K101="","",대장!K101))</x:f>
        <x:v>#NAME?</x:v>
      </x:c>
    </x:row>
    <x:row r="204" ht="42" customHeight="1">
      <x:c r="A204" s="47" t="e">
        <x:f>IF(AND(대장!A101&lt;&gt;"",ISNUMBER(대장!F101),ISNUMBER(대장!G101),대장!G101&gt;=대장!F101,대장!H101&lt;&gt;""),대장!G101,"")</x:f>
        <x:v>#NAME?</x:v>
      </x:c>
      <x:c r="B204" s="27" t="e">
        <x:f>IF($A204="","",IF(발령대장_설정!$B$4="","",발령대장_설정!$B$4))</x:f>
        <x:v>#NAME?</x:v>
      </x:c>
      <x:c r="C204" s="27" t="e">
        <x:f>IF($A204="","",대장!D101)</x:f>
        <x:v>#NAME?</x:v>
      </x:c>
      <x:c r="D204" s="27" t="e">
        <x:f>IF($A204="","",대장!A101)</x:f>
        <x:v>#NAME?</x:v>
      </x:c>
      <x:c r="E204" s="27" t="e">
        <x:f>IF($A204="","",IF(OR(ISNUMBER(SEARCH("계약만료",대장!H101&amp;"")),ISNUMBER(SEARCH("기간만료",대장!H101&amp;""))),"계약기간 만료로 퇴직",IF(ISNUMBER(SEARCH("의원면직",대장!H101&amp;"")),"의원면직",IF(ISNUMBER(SEARCH("정년퇴직",대장!H101&amp;"")),"정년퇴직",대장!H101))))</x:f>
        <x:v>#NAME?</x:v>
      </x:c>
      <x:c r="F204" s="27" t="e">
        <x:f>IF($A204="","",IF(발령대장_설정!$B$5="","",발령대장_설정!$B$5))</x:f>
        <x:v>#NAME?</x:v>
      </x:c>
      <x:c r="G204" s="27" t="e">
        <x:f>IF($A204="","",IF(발령대장_설정!$B$6="","",발령대장_설정!$B$6))</x:f>
        <x:v>#NAME?</x:v>
      </x:c>
      <x:c r="H204" s="27" t="e">
        <x:f>IF($A204="","",IF(발령대장_설정!$B$7="","",발령대장_설정!$B$7))</x:f>
        <x:v>#NAME?</x:v>
      </x:c>
      <x:c r="I204" s="27" t="e">
        <x:f>IF($A204="","",IF(발령대장_설정!$B$8="","",발령대장_설정!$B$8))</x:f>
        <x:v>#NAME?</x:v>
      </x:c>
      <x:c r="J204" s="27" t="str">
        <x:f>""</x:f>
      </x:c>
    </x:row>
    <x:row r="205" ht="42" customHeight="1">
      <x:c r="A205" s="47" t="e">
        <x:f>IF(AND(대장!A102&lt;&gt;"",ISNUMBER(대장!F102),OR(대장!G102="",AND(ISNUMBER(대장!G102),대장!G102&gt;=대장!F102))),대장!F102,"")</x:f>
        <x:v>#NAME?</x:v>
      </x:c>
      <x:c r="B205" s="27" t="e">
        <x:f>IF($A205="","",IF(발령대장_설정!$B$4="","",발령대장_설정!$B$4))</x:f>
        <x:v>#NAME?</x:v>
      </x:c>
      <x:c r="C205" s="27" t="e">
        <x:f>IF($A205="","",대장!D102)</x:f>
        <x:v>#NAME?</x:v>
      </x:c>
      <x:c r="D205" s="27" t="e">
        <x:f>IF($A205="","",대장!A102)</x:f>
        <x:v>#NAME?</x:v>
      </x:c>
      <x:c r="E205" s="27" t="e">
        <x:f>IF($A205="","",IF(대장!J102&lt;&gt;"",대장!J102,대장!D102&amp;"에 임함"&amp;IF(대장!E102="","",CHAR(10)&amp;"고용형태: "&amp;대장!E102)&amp;IF(대장!I102="","",CHAR(10)&amp;"소정근로시간: "&amp;대장!I102)&amp;CHAR(10)&amp;"근로기간: "&amp;YEAR(대장!F102)&amp;"."&amp;MONTH(대장!F102)&amp;"."&amp;DAY(대장!F102)&amp;"."&amp;" ~ "&amp;IF(ISNUMBER(대장!G102),YEAR(대장!G102)&amp;"."&amp;MONTH(대장!G102)&amp;"."&amp;DAY(대장!G102)&amp;".","재직 중")))</x:f>
        <x:v>#NAME?</x:v>
      </x:c>
      <x:c r="F205" s="27" t="e">
        <x:f>IF($A205="","",IF(발령대장_설정!$B$5="","",발령대장_설정!$B$5))</x:f>
        <x:v>#NAME?</x:v>
      </x:c>
      <x:c r="G205" s="27" t="e">
        <x:f>IF($A205="","",IF(발령대장_설정!$B$6="","",발령대장_설정!$B$6))</x:f>
        <x:v>#NAME?</x:v>
      </x:c>
      <x:c r="H205" s="27" t="e">
        <x:f>IF($A205="","",IF(발령대장_설정!$B$7="","",발령대장_설정!$B$7))</x:f>
        <x:v>#NAME?</x:v>
      </x:c>
      <x:c r="I205" s="27" t="e">
        <x:f>IF($A205="","",IF(발령대장_설정!$B$8="","",발령대장_설정!$B$8))</x:f>
        <x:v>#NAME?</x:v>
      </x:c>
      <x:c r="J205" s="27" t="e">
        <x:f>IF($A205="","",IF(대장!K102="","",대장!K102))</x:f>
        <x:v>#NAME?</x:v>
      </x:c>
    </x:row>
    <x:row r="206" ht="42" customHeight="1">
      <x:c r="A206" s="47" t="e">
        <x:f>IF(AND(대장!A102&lt;&gt;"",ISNUMBER(대장!F102),ISNUMBER(대장!G102),대장!G102&gt;=대장!F102,대장!H102&lt;&gt;""),대장!G102,"")</x:f>
        <x:v>#NAME?</x:v>
      </x:c>
      <x:c r="B206" s="27" t="e">
        <x:f>IF($A206="","",IF(발령대장_설정!$B$4="","",발령대장_설정!$B$4))</x:f>
        <x:v>#NAME?</x:v>
      </x:c>
      <x:c r="C206" s="27" t="e">
        <x:f>IF($A206="","",대장!D102)</x:f>
        <x:v>#NAME?</x:v>
      </x:c>
      <x:c r="D206" s="27" t="e">
        <x:f>IF($A206="","",대장!A102)</x:f>
        <x:v>#NAME?</x:v>
      </x:c>
      <x:c r="E206" s="27" t="e">
        <x:f>IF($A206="","",IF(OR(ISNUMBER(SEARCH("계약만료",대장!H102&amp;"")),ISNUMBER(SEARCH("기간만료",대장!H102&amp;""))),"계약기간 만료로 퇴직",IF(ISNUMBER(SEARCH("의원면직",대장!H102&amp;"")),"의원면직",IF(ISNUMBER(SEARCH("정년퇴직",대장!H102&amp;"")),"정년퇴직",대장!H102))))</x:f>
        <x:v>#NAME?</x:v>
      </x:c>
      <x:c r="F206" s="27" t="e">
        <x:f>IF($A206="","",IF(발령대장_설정!$B$5="","",발령대장_설정!$B$5))</x:f>
        <x:v>#NAME?</x:v>
      </x:c>
      <x:c r="G206" s="27" t="e">
        <x:f>IF($A206="","",IF(발령대장_설정!$B$6="","",발령대장_설정!$B$6))</x:f>
        <x:v>#NAME?</x:v>
      </x:c>
      <x:c r="H206" s="27" t="e">
        <x:f>IF($A206="","",IF(발령대장_설정!$B$7="","",발령대장_설정!$B$7))</x:f>
        <x:v>#NAME?</x:v>
      </x:c>
      <x:c r="I206" s="27" t="e">
        <x:f>IF($A206="","",IF(발령대장_설정!$B$8="","",발령대장_설정!$B$8))</x:f>
        <x:v>#NAME?</x:v>
      </x:c>
      <x:c r="J206" s="27" t="str">
        <x:f>""</x:f>
      </x:c>
    </x:row>
    <x:row r="207" ht="42" customHeight="1">
      <x:c r="A207" s="47" t="e">
        <x:f>IF(AND(대장!A103&lt;&gt;"",ISNUMBER(대장!F103),OR(대장!G103="",AND(ISNUMBER(대장!G103),대장!G103&gt;=대장!F103))),대장!F103,"")</x:f>
        <x:v>#NAME?</x:v>
      </x:c>
      <x:c r="B207" s="27" t="e">
        <x:f>IF($A207="","",IF(발령대장_설정!$B$4="","",발령대장_설정!$B$4))</x:f>
        <x:v>#NAME?</x:v>
      </x:c>
      <x:c r="C207" s="27" t="e">
        <x:f>IF($A207="","",대장!D103)</x:f>
        <x:v>#NAME?</x:v>
      </x:c>
      <x:c r="D207" s="27" t="e">
        <x:f>IF($A207="","",대장!A103)</x:f>
        <x:v>#NAME?</x:v>
      </x:c>
      <x:c r="E207" s="27" t="e">
        <x:f>IF($A207="","",IF(대장!J103&lt;&gt;"",대장!J103,대장!D103&amp;"에 임함"&amp;IF(대장!E103="","",CHAR(10)&amp;"고용형태: "&amp;대장!E103)&amp;IF(대장!I103="","",CHAR(10)&amp;"소정근로시간: "&amp;대장!I103)&amp;CHAR(10)&amp;"근로기간: "&amp;YEAR(대장!F103)&amp;"."&amp;MONTH(대장!F103)&amp;"."&amp;DAY(대장!F103)&amp;"."&amp;" ~ "&amp;IF(ISNUMBER(대장!G103),YEAR(대장!G103)&amp;"."&amp;MONTH(대장!G103)&amp;"."&amp;DAY(대장!G103)&amp;".","재직 중")))</x:f>
        <x:v>#NAME?</x:v>
      </x:c>
      <x:c r="F207" s="27" t="e">
        <x:f>IF($A207="","",IF(발령대장_설정!$B$5="","",발령대장_설정!$B$5))</x:f>
        <x:v>#NAME?</x:v>
      </x:c>
      <x:c r="G207" s="27" t="e">
        <x:f>IF($A207="","",IF(발령대장_설정!$B$6="","",발령대장_설정!$B$6))</x:f>
        <x:v>#NAME?</x:v>
      </x:c>
      <x:c r="H207" s="27" t="e">
        <x:f>IF($A207="","",IF(발령대장_설정!$B$7="","",발령대장_설정!$B$7))</x:f>
        <x:v>#NAME?</x:v>
      </x:c>
      <x:c r="I207" s="27" t="e">
        <x:f>IF($A207="","",IF(발령대장_설정!$B$8="","",발령대장_설정!$B$8))</x:f>
        <x:v>#NAME?</x:v>
      </x:c>
      <x:c r="J207" s="27" t="e">
        <x:f>IF($A207="","",IF(대장!K103="","",대장!K103))</x:f>
        <x:v>#NAME?</x:v>
      </x:c>
    </x:row>
    <x:row r="208" ht="42" customHeight="1">
      <x:c r="A208" s="47" t="e">
        <x:f>IF(AND(대장!A103&lt;&gt;"",ISNUMBER(대장!F103),ISNUMBER(대장!G103),대장!G103&gt;=대장!F103,대장!H103&lt;&gt;""),대장!G103,"")</x:f>
        <x:v>#NAME?</x:v>
      </x:c>
      <x:c r="B208" s="27" t="e">
        <x:f>IF($A208="","",IF(발령대장_설정!$B$4="","",발령대장_설정!$B$4))</x:f>
        <x:v>#NAME?</x:v>
      </x:c>
      <x:c r="C208" s="27" t="e">
        <x:f>IF($A208="","",대장!D103)</x:f>
        <x:v>#NAME?</x:v>
      </x:c>
      <x:c r="D208" s="27" t="e">
        <x:f>IF($A208="","",대장!A103)</x:f>
        <x:v>#NAME?</x:v>
      </x:c>
      <x:c r="E208" s="27" t="e">
        <x:f>IF($A208="","",IF(OR(ISNUMBER(SEARCH("계약만료",대장!H103&amp;"")),ISNUMBER(SEARCH("기간만료",대장!H103&amp;""))),"계약기간 만료로 퇴직",IF(ISNUMBER(SEARCH("의원면직",대장!H103&amp;"")),"의원면직",IF(ISNUMBER(SEARCH("정년퇴직",대장!H103&amp;"")),"정년퇴직",대장!H103))))</x:f>
        <x:v>#NAME?</x:v>
      </x:c>
      <x:c r="F208" s="27" t="e">
        <x:f>IF($A208="","",IF(발령대장_설정!$B$5="","",발령대장_설정!$B$5))</x:f>
        <x:v>#NAME?</x:v>
      </x:c>
      <x:c r="G208" s="27" t="e">
        <x:f>IF($A208="","",IF(발령대장_설정!$B$6="","",발령대장_설정!$B$6))</x:f>
        <x:v>#NAME?</x:v>
      </x:c>
      <x:c r="H208" s="27" t="e">
        <x:f>IF($A208="","",IF(발령대장_설정!$B$7="","",발령대장_설정!$B$7))</x:f>
        <x:v>#NAME?</x:v>
      </x:c>
      <x:c r="I208" s="27" t="e">
        <x:f>IF($A208="","",IF(발령대장_설정!$B$8="","",발령대장_설정!$B$8))</x:f>
        <x:v>#NAME?</x:v>
      </x:c>
      <x:c r="J208" s="27" t="str">
        <x:f>""</x:f>
      </x:c>
    </x:row>
    <x:row r="209" ht="42" customHeight="1">
      <x:c r="A209" s="47" t="e">
        <x:f>IF(AND(대장!A104&lt;&gt;"",ISNUMBER(대장!F104),OR(대장!G104="",AND(ISNUMBER(대장!G104),대장!G104&gt;=대장!F104))),대장!F104,"")</x:f>
        <x:v>#NAME?</x:v>
      </x:c>
      <x:c r="B209" s="27" t="e">
        <x:f>IF($A209="","",IF(발령대장_설정!$B$4="","",발령대장_설정!$B$4))</x:f>
        <x:v>#NAME?</x:v>
      </x:c>
      <x:c r="C209" s="27" t="e">
        <x:f>IF($A209="","",대장!D104)</x:f>
        <x:v>#NAME?</x:v>
      </x:c>
      <x:c r="D209" s="27" t="e">
        <x:f>IF($A209="","",대장!A104)</x:f>
        <x:v>#NAME?</x:v>
      </x:c>
      <x:c r="E209" s="27" t="e">
        <x:f>IF($A209="","",IF(대장!J104&lt;&gt;"",대장!J104,대장!D104&amp;"에 임함"&amp;IF(대장!E104="","",CHAR(10)&amp;"고용형태: "&amp;대장!E104)&amp;IF(대장!I104="","",CHAR(10)&amp;"소정근로시간: "&amp;대장!I104)&amp;CHAR(10)&amp;"근로기간: "&amp;YEAR(대장!F104)&amp;"."&amp;MONTH(대장!F104)&amp;"."&amp;DAY(대장!F104)&amp;"."&amp;" ~ "&amp;IF(ISNUMBER(대장!G104),YEAR(대장!G104)&amp;"."&amp;MONTH(대장!G104)&amp;"."&amp;DAY(대장!G104)&amp;".","재직 중")))</x:f>
        <x:v>#NAME?</x:v>
      </x:c>
      <x:c r="F209" s="27" t="e">
        <x:f>IF($A209="","",IF(발령대장_설정!$B$5="","",발령대장_설정!$B$5))</x:f>
        <x:v>#NAME?</x:v>
      </x:c>
      <x:c r="G209" s="27" t="e">
        <x:f>IF($A209="","",IF(발령대장_설정!$B$6="","",발령대장_설정!$B$6))</x:f>
        <x:v>#NAME?</x:v>
      </x:c>
      <x:c r="H209" s="27" t="e">
        <x:f>IF($A209="","",IF(발령대장_설정!$B$7="","",발령대장_설정!$B$7))</x:f>
        <x:v>#NAME?</x:v>
      </x:c>
      <x:c r="I209" s="27" t="e">
        <x:f>IF($A209="","",IF(발령대장_설정!$B$8="","",발령대장_설정!$B$8))</x:f>
        <x:v>#NAME?</x:v>
      </x:c>
      <x:c r="J209" s="27" t="e">
        <x:f>IF($A209="","",IF(대장!K104="","",대장!K104))</x:f>
        <x:v>#NAME?</x:v>
      </x:c>
    </x:row>
    <x:row r="210" ht="42" customHeight="1">
      <x:c r="A210" s="47" t="e">
        <x:f>IF(AND(대장!A104&lt;&gt;"",ISNUMBER(대장!F104),ISNUMBER(대장!G104),대장!G104&gt;=대장!F104,대장!H104&lt;&gt;""),대장!G104,"")</x:f>
        <x:v>#NAME?</x:v>
      </x:c>
      <x:c r="B210" s="27" t="e">
        <x:f>IF($A210="","",IF(발령대장_설정!$B$4="","",발령대장_설정!$B$4))</x:f>
        <x:v>#NAME?</x:v>
      </x:c>
      <x:c r="C210" s="27" t="e">
        <x:f>IF($A210="","",대장!D104)</x:f>
        <x:v>#NAME?</x:v>
      </x:c>
      <x:c r="D210" s="27" t="e">
        <x:f>IF($A210="","",대장!A104)</x:f>
        <x:v>#NAME?</x:v>
      </x:c>
      <x:c r="E210" s="27" t="e">
        <x:f>IF($A210="","",IF(OR(ISNUMBER(SEARCH("계약만료",대장!H104&amp;"")),ISNUMBER(SEARCH("기간만료",대장!H104&amp;""))),"계약기간 만료로 퇴직",IF(ISNUMBER(SEARCH("의원면직",대장!H104&amp;"")),"의원면직",IF(ISNUMBER(SEARCH("정년퇴직",대장!H104&amp;"")),"정년퇴직",대장!H104))))</x:f>
        <x:v>#NAME?</x:v>
      </x:c>
      <x:c r="F210" s="27" t="e">
        <x:f>IF($A210="","",IF(발령대장_설정!$B$5="","",발령대장_설정!$B$5))</x:f>
        <x:v>#NAME?</x:v>
      </x:c>
      <x:c r="G210" s="27" t="e">
        <x:f>IF($A210="","",IF(발령대장_설정!$B$6="","",발령대장_설정!$B$6))</x:f>
        <x:v>#NAME?</x:v>
      </x:c>
      <x:c r="H210" s="27" t="e">
        <x:f>IF($A210="","",IF(발령대장_설정!$B$7="","",발령대장_설정!$B$7))</x:f>
        <x:v>#NAME?</x:v>
      </x:c>
      <x:c r="I210" s="27" t="e">
        <x:f>IF($A210="","",IF(발령대장_설정!$B$8="","",발령대장_설정!$B$8))</x:f>
        <x:v>#NAME?</x:v>
      </x:c>
      <x:c r="J210" s="27" t="str">
        <x:f>""</x:f>
      </x:c>
    </x:row>
    <x:row r="211" ht="42" customHeight="1">
      <x:c r="A211" s="47" t="e">
        <x:f>IF(AND(대장!A105&lt;&gt;"",ISNUMBER(대장!F105),OR(대장!G105="",AND(ISNUMBER(대장!G105),대장!G105&gt;=대장!F105))),대장!F105,"")</x:f>
        <x:v>#NAME?</x:v>
      </x:c>
      <x:c r="B211" s="27" t="e">
        <x:f>IF($A211="","",IF(발령대장_설정!$B$4="","",발령대장_설정!$B$4))</x:f>
        <x:v>#NAME?</x:v>
      </x:c>
      <x:c r="C211" s="27" t="e">
        <x:f>IF($A211="","",대장!D105)</x:f>
        <x:v>#NAME?</x:v>
      </x:c>
      <x:c r="D211" s="27" t="e">
        <x:f>IF($A211="","",대장!A105)</x:f>
        <x:v>#NAME?</x:v>
      </x:c>
      <x:c r="E211" s="27" t="e">
        <x:f>IF($A211="","",IF(대장!J105&lt;&gt;"",대장!J105,대장!D105&amp;"에 임함"&amp;IF(대장!E105="","",CHAR(10)&amp;"고용형태: "&amp;대장!E105)&amp;IF(대장!I105="","",CHAR(10)&amp;"소정근로시간: "&amp;대장!I105)&amp;CHAR(10)&amp;"근로기간: "&amp;YEAR(대장!F105)&amp;"."&amp;MONTH(대장!F105)&amp;"."&amp;DAY(대장!F105)&amp;"."&amp;" ~ "&amp;IF(ISNUMBER(대장!G105),YEAR(대장!G105)&amp;"."&amp;MONTH(대장!G105)&amp;"."&amp;DAY(대장!G105)&amp;".","재직 중")))</x:f>
        <x:v>#NAME?</x:v>
      </x:c>
      <x:c r="F211" s="27" t="e">
        <x:f>IF($A211="","",IF(발령대장_설정!$B$5="","",발령대장_설정!$B$5))</x:f>
        <x:v>#NAME?</x:v>
      </x:c>
      <x:c r="G211" s="27" t="e">
        <x:f>IF($A211="","",IF(발령대장_설정!$B$6="","",발령대장_설정!$B$6))</x:f>
        <x:v>#NAME?</x:v>
      </x:c>
      <x:c r="H211" s="27" t="e">
        <x:f>IF($A211="","",IF(발령대장_설정!$B$7="","",발령대장_설정!$B$7))</x:f>
        <x:v>#NAME?</x:v>
      </x:c>
      <x:c r="I211" s="27" t="e">
        <x:f>IF($A211="","",IF(발령대장_설정!$B$8="","",발령대장_설정!$B$8))</x:f>
        <x:v>#NAME?</x:v>
      </x:c>
      <x:c r="J211" s="27" t="e">
        <x:f>IF($A211="","",IF(대장!K105="","",대장!K105))</x:f>
        <x:v>#NAME?</x:v>
      </x:c>
    </x:row>
    <x:row r="212" ht="42" customHeight="1">
      <x:c r="A212" s="47" t="e">
        <x:f>IF(AND(대장!A105&lt;&gt;"",ISNUMBER(대장!F105),ISNUMBER(대장!G105),대장!G105&gt;=대장!F105,대장!H105&lt;&gt;""),대장!G105,"")</x:f>
        <x:v>#NAME?</x:v>
      </x:c>
      <x:c r="B212" s="27" t="e">
        <x:f>IF($A212="","",IF(발령대장_설정!$B$4="","",발령대장_설정!$B$4))</x:f>
        <x:v>#NAME?</x:v>
      </x:c>
      <x:c r="C212" s="27" t="e">
        <x:f>IF($A212="","",대장!D105)</x:f>
        <x:v>#NAME?</x:v>
      </x:c>
      <x:c r="D212" s="27" t="e">
        <x:f>IF($A212="","",대장!A105)</x:f>
        <x:v>#NAME?</x:v>
      </x:c>
      <x:c r="E212" s="27" t="e">
        <x:f>IF($A212="","",IF(OR(ISNUMBER(SEARCH("계약만료",대장!H105&amp;"")),ISNUMBER(SEARCH("기간만료",대장!H105&amp;""))),"계약기간 만료로 퇴직",IF(ISNUMBER(SEARCH("의원면직",대장!H105&amp;"")),"의원면직",IF(ISNUMBER(SEARCH("정년퇴직",대장!H105&amp;"")),"정년퇴직",대장!H105))))</x:f>
        <x:v>#NAME?</x:v>
      </x:c>
      <x:c r="F212" s="27" t="e">
        <x:f>IF($A212="","",IF(발령대장_설정!$B$5="","",발령대장_설정!$B$5))</x:f>
        <x:v>#NAME?</x:v>
      </x:c>
      <x:c r="G212" s="27" t="e">
        <x:f>IF($A212="","",IF(발령대장_설정!$B$6="","",발령대장_설정!$B$6))</x:f>
        <x:v>#NAME?</x:v>
      </x:c>
      <x:c r="H212" s="27" t="e">
        <x:f>IF($A212="","",IF(발령대장_설정!$B$7="","",발령대장_설정!$B$7))</x:f>
        <x:v>#NAME?</x:v>
      </x:c>
      <x:c r="I212" s="27" t="e">
        <x:f>IF($A212="","",IF(발령대장_설정!$B$8="","",발령대장_설정!$B$8))</x:f>
        <x:v>#NAME?</x:v>
      </x:c>
      <x:c r="J212" s="27" t="str">
        <x:f>""</x:f>
      </x:c>
    </x:row>
    <x:row r="213" ht="42" customHeight="1">
      <x:c r="A213" s="47" t="e">
        <x:f>IF(AND(대장!A106&lt;&gt;"",ISNUMBER(대장!F106),OR(대장!G106="",AND(ISNUMBER(대장!G106),대장!G106&gt;=대장!F106))),대장!F106,"")</x:f>
        <x:v>#NAME?</x:v>
      </x:c>
      <x:c r="B213" s="27" t="e">
        <x:f>IF($A213="","",IF(발령대장_설정!$B$4="","",발령대장_설정!$B$4))</x:f>
        <x:v>#NAME?</x:v>
      </x:c>
      <x:c r="C213" s="27" t="e">
        <x:f>IF($A213="","",대장!D106)</x:f>
        <x:v>#NAME?</x:v>
      </x:c>
      <x:c r="D213" s="27" t="e">
        <x:f>IF($A213="","",대장!A106)</x:f>
        <x:v>#NAME?</x:v>
      </x:c>
      <x:c r="E213" s="27" t="e">
        <x:f>IF($A213="","",IF(대장!J106&lt;&gt;"",대장!J106,대장!D106&amp;"에 임함"&amp;IF(대장!E106="","",CHAR(10)&amp;"고용형태: "&amp;대장!E106)&amp;IF(대장!I106="","",CHAR(10)&amp;"소정근로시간: "&amp;대장!I106)&amp;CHAR(10)&amp;"근로기간: "&amp;YEAR(대장!F106)&amp;"."&amp;MONTH(대장!F106)&amp;"."&amp;DAY(대장!F106)&amp;"."&amp;" ~ "&amp;IF(ISNUMBER(대장!G106),YEAR(대장!G106)&amp;"."&amp;MONTH(대장!G106)&amp;"."&amp;DAY(대장!G106)&amp;".","재직 중")))</x:f>
        <x:v>#NAME?</x:v>
      </x:c>
      <x:c r="F213" s="27" t="e">
        <x:f>IF($A213="","",IF(발령대장_설정!$B$5="","",발령대장_설정!$B$5))</x:f>
        <x:v>#NAME?</x:v>
      </x:c>
      <x:c r="G213" s="27" t="e">
        <x:f>IF($A213="","",IF(발령대장_설정!$B$6="","",발령대장_설정!$B$6))</x:f>
        <x:v>#NAME?</x:v>
      </x:c>
      <x:c r="H213" s="27" t="e">
        <x:f>IF($A213="","",IF(발령대장_설정!$B$7="","",발령대장_설정!$B$7))</x:f>
        <x:v>#NAME?</x:v>
      </x:c>
      <x:c r="I213" s="27" t="e">
        <x:f>IF($A213="","",IF(발령대장_설정!$B$8="","",발령대장_설정!$B$8))</x:f>
        <x:v>#NAME?</x:v>
      </x:c>
      <x:c r="J213" s="27" t="e">
        <x:f>IF($A213="","",IF(대장!K106="","",대장!K106))</x:f>
        <x:v>#NAME?</x:v>
      </x:c>
    </x:row>
    <x:row r="214" ht="42" customHeight="1">
      <x:c r="A214" s="47" t="e">
        <x:f>IF(AND(대장!A106&lt;&gt;"",ISNUMBER(대장!F106),ISNUMBER(대장!G106),대장!G106&gt;=대장!F106,대장!H106&lt;&gt;""),대장!G106,"")</x:f>
        <x:v>#NAME?</x:v>
      </x:c>
      <x:c r="B214" s="27" t="e">
        <x:f>IF($A214="","",IF(발령대장_설정!$B$4="","",발령대장_설정!$B$4))</x:f>
        <x:v>#NAME?</x:v>
      </x:c>
      <x:c r="C214" s="27" t="e">
        <x:f>IF($A214="","",대장!D106)</x:f>
        <x:v>#NAME?</x:v>
      </x:c>
      <x:c r="D214" s="27" t="e">
        <x:f>IF($A214="","",대장!A106)</x:f>
        <x:v>#NAME?</x:v>
      </x:c>
      <x:c r="E214" s="27" t="e">
        <x:f>IF($A214="","",IF(OR(ISNUMBER(SEARCH("계약만료",대장!H106&amp;"")),ISNUMBER(SEARCH("기간만료",대장!H106&amp;""))),"계약기간 만료로 퇴직",IF(ISNUMBER(SEARCH("의원면직",대장!H106&amp;"")),"의원면직",IF(ISNUMBER(SEARCH("정년퇴직",대장!H106&amp;"")),"정년퇴직",대장!H106))))</x:f>
        <x:v>#NAME?</x:v>
      </x:c>
      <x:c r="F214" s="27" t="e">
        <x:f>IF($A214="","",IF(발령대장_설정!$B$5="","",발령대장_설정!$B$5))</x:f>
        <x:v>#NAME?</x:v>
      </x:c>
      <x:c r="G214" s="27" t="e">
        <x:f>IF($A214="","",IF(발령대장_설정!$B$6="","",발령대장_설정!$B$6))</x:f>
        <x:v>#NAME?</x:v>
      </x:c>
      <x:c r="H214" s="27" t="e">
        <x:f>IF($A214="","",IF(발령대장_설정!$B$7="","",발령대장_설정!$B$7))</x:f>
        <x:v>#NAME?</x:v>
      </x:c>
      <x:c r="I214" s="27" t="e">
        <x:f>IF($A214="","",IF(발령대장_설정!$B$8="","",발령대장_설정!$B$8))</x:f>
        <x:v>#NAME?</x:v>
      </x:c>
      <x:c r="J214" s="27" t="str">
        <x:f>""</x:f>
      </x:c>
    </x:row>
    <x:row r="215" ht="42" customHeight="1">
      <x:c r="A215" s="47" t="e">
        <x:f>IF(AND(대장!A107&lt;&gt;"",ISNUMBER(대장!F107),OR(대장!G107="",AND(ISNUMBER(대장!G107),대장!G107&gt;=대장!F107))),대장!F107,"")</x:f>
        <x:v>#NAME?</x:v>
      </x:c>
      <x:c r="B215" s="27" t="e">
        <x:f>IF($A215="","",IF(발령대장_설정!$B$4="","",발령대장_설정!$B$4))</x:f>
        <x:v>#NAME?</x:v>
      </x:c>
      <x:c r="C215" s="27" t="e">
        <x:f>IF($A215="","",대장!D107)</x:f>
        <x:v>#NAME?</x:v>
      </x:c>
      <x:c r="D215" s="27" t="e">
        <x:f>IF($A215="","",대장!A107)</x:f>
        <x:v>#NAME?</x:v>
      </x:c>
      <x:c r="E215" s="27" t="e">
        <x:f>IF($A215="","",IF(대장!J107&lt;&gt;"",대장!J107,대장!D107&amp;"에 임함"&amp;IF(대장!E107="","",CHAR(10)&amp;"고용형태: "&amp;대장!E107)&amp;IF(대장!I107="","",CHAR(10)&amp;"소정근로시간: "&amp;대장!I107)&amp;CHAR(10)&amp;"근로기간: "&amp;YEAR(대장!F107)&amp;"."&amp;MONTH(대장!F107)&amp;"."&amp;DAY(대장!F107)&amp;"."&amp;" ~ "&amp;IF(ISNUMBER(대장!G107),YEAR(대장!G107)&amp;"."&amp;MONTH(대장!G107)&amp;"."&amp;DAY(대장!G107)&amp;".","재직 중")))</x:f>
        <x:v>#NAME?</x:v>
      </x:c>
      <x:c r="F215" s="27" t="e">
        <x:f>IF($A215="","",IF(발령대장_설정!$B$5="","",발령대장_설정!$B$5))</x:f>
        <x:v>#NAME?</x:v>
      </x:c>
      <x:c r="G215" s="27" t="e">
        <x:f>IF($A215="","",IF(발령대장_설정!$B$6="","",발령대장_설정!$B$6))</x:f>
        <x:v>#NAME?</x:v>
      </x:c>
      <x:c r="H215" s="27" t="e">
        <x:f>IF($A215="","",IF(발령대장_설정!$B$7="","",발령대장_설정!$B$7))</x:f>
        <x:v>#NAME?</x:v>
      </x:c>
      <x:c r="I215" s="27" t="e">
        <x:f>IF($A215="","",IF(발령대장_설정!$B$8="","",발령대장_설정!$B$8))</x:f>
        <x:v>#NAME?</x:v>
      </x:c>
      <x:c r="J215" s="27" t="e">
        <x:f>IF($A215="","",IF(대장!K107="","",대장!K107))</x:f>
        <x:v>#NAME?</x:v>
      </x:c>
    </x:row>
    <x:row r="216" ht="42" customHeight="1">
      <x:c r="A216" s="47" t="e">
        <x:f>IF(AND(대장!A107&lt;&gt;"",ISNUMBER(대장!F107),ISNUMBER(대장!G107),대장!G107&gt;=대장!F107,대장!H107&lt;&gt;""),대장!G107,"")</x:f>
        <x:v>#NAME?</x:v>
      </x:c>
      <x:c r="B216" s="27" t="e">
        <x:f>IF($A216="","",IF(발령대장_설정!$B$4="","",발령대장_설정!$B$4))</x:f>
        <x:v>#NAME?</x:v>
      </x:c>
      <x:c r="C216" s="27" t="e">
        <x:f>IF($A216="","",대장!D107)</x:f>
        <x:v>#NAME?</x:v>
      </x:c>
      <x:c r="D216" s="27" t="e">
        <x:f>IF($A216="","",대장!A107)</x:f>
        <x:v>#NAME?</x:v>
      </x:c>
      <x:c r="E216" s="27" t="e">
        <x:f>IF($A216="","",IF(OR(ISNUMBER(SEARCH("계약만료",대장!H107&amp;"")),ISNUMBER(SEARCH("기간만료",대장!H107&amp;""))),"계약기간 만료로 퇴직",IF(ISNUMBER(SEARCH("의원면직",대장!H107&amp;"")),"의원면직",IF(ISNUMBER(SEARCH("정년퇴직",대장!H107&amp;"")),"정년퇴직",대장!H107))))</x:f>
        <x:v>#NAME?</x:v>
      </x:c>
      <x:c r="F216" s="27" t="e">
        <x:f>IF($A216="","",IF(발령대장_설정!$B$5="","",발령대장_설정!$B$5))</x:f>
        <x:v>#NAME?</x:v>
      </x:c>
      <x:c r="G216" s="27" t="e">
        <x:f>IF($A216="","",IF(발령대장_설정!$B$6="","",발령대장_설정!$B$6))</x:f>
        <x:v>#NAME?</x:v>
      </x:c>
      <x:c r="H216" s="27" t="e">
        <x:f>IF($A216="","",IF(발령대장_설정!$B$7="","",발령대장_설정!$B$7))</x:f>
        <x:v>#NAME?</x:v>
      </x:c>
      <x:c r="I216" s="27" t="e">
        <x:f>IF($A216="","",IF(발령대장_설정!$B$8="","",발령대장_설정!$B$8))</x:f>
        <x:v>#NAME?</x:v>
      </x:c>
      <x:c r="J216" s="27" t="str">
        <x:f>""</x:f>
      </x:c>
    </x:row>
    <x:row r="217" ht="42" customHeight="1">
      <x:c r="A217" s="47" t="e">
        <x:f>IF(AND(대장!A108&lt;&gt;"",ISNUMBER(대장!F108),OR(대장!G108="",AND(ISNUMBER(대장!G108),대장!G108&gt;=대장!F108))),대장!F108,"")</x:f>
        <x:v>#NAME?</x:v>
      </x:c>
      <x:c r="B217" s="27" t="e">
        <x:f>IF($A217="","",IF(발령대장_설정!$B$4="","",발령대장_설정!$B$4))</x:f>
        <x:v>#NAME?</x:v>
      </x:c>
      <x:c r="C217" s="27" t="e">
        <x:f>IF($A217="","",대장!D108)</x:f>
        <x:v>#NAME?</x:v>
      </x:c>
      <x:c r="D217" s="27" t="e">
        <x:f>IF($A217="","",대장!A108)</x:f>
        <x:v>#NAME?</x:v>
      </x:c>
      <x:c r="E217" s="27" t="e">
        <x:f>IF($A217="","",IF(대장!J108&lt;&gt;"",대장!J108,대장!D108&amp;"에 임함"&amp;IF(대장!E108="","",CHAR(10)&amp;"고용형태: "&amp;대장!E108)&amp;IF(대장!I108="","",CHAR(10)&amp;"소정근로시간: "&amp;대장!I108)&amp;CHAR(10)&amp;"근로기간: "&amp;YEAR(대장!F108)&amp;"."&amp;MONTH(대장!F108)&amp;"."&amp;DAY(대장!F108)&amp;"."&amp;" ~ "&amp;IF(ISNUMBER(대장!G108),YEAR(대장!G108)&amp;"."&amp;MONTH(대장!G108)&amp;"."&amp;DAY(대장!G108)&amp;".","재직 중")))</x:f>
        <x:v>#NAME?</x:v>
      </x:c>
      <x:c r="F217" s="27" t="e">
        <x:f>IF($A217="","",IF(발령대장_설정!$B$5="","",발령대장_설정!$B$5))</x:f>
        <x:v>#NAME?</x:v>
      </x:c>
      <x:c r="G217" s="27" t="e">
        <x:f>IF($A217="","",IF(발령대장_설정!$B$6="","",발령대장_설정!$B$6))</x:f>
        <x:v>#NAME?</x:v>
      </x:c>
      <x:c r="H217" s="27" t="e">
        <x:f>IF($A217="","",IF(발령대장_설정!$B$7="","",발령대장_설정!$B$7))</x:f>
        <x:v>#NAME?</x:v>
      </x:c>
      <x:c r="I217" s="27" t="e">
        <x:f>IF($A217="","",IF(발령대장_설정!$B$8="","",발령대장_설정!$B$8))</x:f>
        <x:v>#NAME?</x:v>
      </x:c>
      <x:c r="J217" s="27" t="e">
        <x:f>IF($A217="","",IF(대장!K108="","",대장!K108))</x:f>
        <x:v>#NAME?</x:v>
      </x:c>
    </x:row>
    <x:row r="218" ht="42" customHeight="1">
      <x:c r="A218" s="47" t="e">
        <x:f>IF(AND(대장!A108&lt;&gt;"",ISNUMBER(대장!F108),ISNUMBER(대장!G108),대장!G108&gt;=대장!F108,대장!H108&lt;&gt;""),대장!G108,"")</x:f>
        <x:v>#NAME?</x:v>
      </x:c>
      <x:c r="B218" s="27" t="e">
        <x:f>IF($A218="","",IF(발령대장_설정!$B$4="","",발령대장_설정!$B$4))</x:f>
        <x:v>#NAME?</x:v>
      </x:c>
      <x:c r="C218" s="27" t="e">
        <x:f>IF($A218="","",대장!D108)</x:f>
        <x:v>#NAME?</x:v>
      </x:c>
      <x:c r="D218" s="27" t="e">
        <x:f>IF($A218="","",대장!A108)</x:f>
        <x:v>#NAME?</x:v>
      </x:c>
      <x:c r="E218" s="27" t="e">
        <x:f>IF($A218="","",IF(OR(ISNUMBER(SEARCH("계약만료",대장!H108&amp;"")),ISNUMBER(SEARCH("기간만료",대장!H108&amp;""))),"계약기간 만료로 퇴직",IF(ISNUMBER(SEARCH("의원면직",대장!H108&amp;"")),"의원면직",IF(ISNUMBER(SEARCH("정년퇴직",대장!H108&amp;"")),"정년퇴직",대장!H108))))</x:f>
        <x:v>#NAME?</x:v>
      </x:c>
      <x:c r="F218" s="27" t="e">
        <x:f>IF($A218="","",IF(발령대장_설정!$B$5="","",발령대장_설정!$B$5))</x:f>
        <x:v>#NAME?</x:v>
      </x:c>
      <x:c r="G218" s="27" t="e">
        <x:f>IF($A218="","",IF(발령대장_설정!$B$6="","",발령대장_설정!$B$6))</x:f>
        <x:v>#NAME?</x:v>
      </x:c>
      <x:c r="H218" s="27" t="e">
        <x:f>IF($A218="","",IF(발령대장_설정!$B$7="","",발령대장_설정!$B$7))</x:f>
        <x:v>#NAME?</x:v>
      </x:c>
      <x:c r="I218" s="27" t="e">
        <x:f>IF($A218="","",IF(발령대장_설정!$B$8="","",발령대장_설정!$B$8))</x:f>
        <x:v>#NAME?</x:v>
      </x:c>
      <x:c r="J218" s="27" t="str">
        <x:f>""</x:f>
      </x:c>
    </x:row>
    <x:row r="219" ht="42" customHeight="1">
      <x:c r="A219" s="47" t="e">
        <x:f>IF(AND(대장!A109&lt;&gt;"",ISNUMBER(대장!F109),OR(대장!G109="",AND(ISNUMBER(대장!G109),대장!G109&gt;=대장!F109))),대장!F109,"")</x:f>
        <x:v>#NAME?</x:v>
      </x:c>
      <x:c r="B219" s="27" t="e">
        <x:f>IF($A219="","",IF(발령대장_설정!$B$4="","",발령대장_설정!$B$4))</x:f>
        <x:v>#NAME?</x:v>
      </x:c>
      <x:c r="C219" s="27" t="e">
        <x:f>IF($A219="","",대장!D109)</x:f>
        <x:v>#NAME?</x:v>
      </x:c>
      <x:c r="D219" s="27" t="e">
        <x:f>IF($A219="","",대장!A109)</x:f>
        <x:v>#NAME?</x:v>
      </x:c>
      <x:c r="E219" s="27" t="e">
        <x:f>IF($A219="","",IF(대장!J109&lt;&gt;"",대장!J109,대장!D109&amp;"에 임함"&amp;IF(대장!E109="","",CHAR(10)&amp;"고용형태: "&amp;대장!E109)&amp;IF(대장!I109="","",CHAR(10)&amp;"소정근로시간: "&amp;대장!I109)&amp;CHAR(10)&amp;"근로기간: "&amp;YEAR(대장!F109)&amp;"."&amp;MONTH(대장!F109)&amp;"."&amp;DAY(대장!F109)&amp;"."&amp;" ~ "&amp;IF(ISNUMBER(대장!G109),YEAR(대장!G109)&amp;"."&amp;MONTH(대장!G109)&amp;"."&amp;DAY(대장!G109)&amp;".","재직 중")))</x:f>
        <x:v>#NAME?</x:v>
      </x:c>
      <x:c r="F219" s="27" t="e">
        <x:f>IF($A219="","",IF(발령대장_설정!$B$5="","",발령대장_설정!$B$5))</x:f>
        <x:v>#NAME?</x:v>
      </x:c>
      <x:c r="G219" s="27" t="e">
        <x:f>IF($A219="","",IF(발령대장_설정!$B$6="","",발령대장_설정!$B$6))</x:f>
        <x:v>#NAME?</x:v>
      </x:c>
      <x:c r="H219" s="27" t="e">
        <x:f>IF($A219="","",IF(발령대장_설정!$B$7="","",발령대장_설정!$B$7))</x:f>
        <x:v>#NAME?</x:v>
      </x:c>
      <x:c r="I219" s="27" t="e">
        <x:f>IF($A219="","",IF(발령대장_설정!$B$8="","",발령대장_설정!$B$8))</x:f>
        <x:v>#NAME?</x:v>
      </x:c>
      <x:c r="J219" s="27" t="e">
        <x:f>IF($A219="","",IF(대장!K109="","",대장!K109))</x:f>
        <x:v>#NAME?</x:v>
      </x:c>
    </x:row>
    <x:row r="220" ht="42" customHeight="1">
      <x:c r="A220" s="47" t="e">
        <x:f>IF(AND(대장!A109&lt;&gt;"",ISNUMBER(대장!F109),ISNUMBER(대장!G109),대장!G109&gt;=대장!F109,대장!H109&lt;&gt;""),대장!G109,"")</x:f>
        <x:v>#NAME?</x:v>
      </x:c>
      <x:c r="B220" s="27" t="e">
        <x:f>IF($A220="","",IF(발령대장_설정!$B$4="","",발령대장_설정!$B$4))</x:f>
        <x:v>#NAME?</x:v>
      </x:c>
      <x:c r="C220" s="27" t="e">
        <x:f>IF($A220="","",대장!D109)</x:f>
        <x:v>#NAME?</x:v>
      </x:c>
      <x:c r="D220" s="27" t="e">
        <x:f>IF($A220="","",대장!A109)</x:f>
        <x:v>#NAME?</x:v>
      </x:c>
      <x:c r="E220" s="27" t="e">
        <x:f>IF($A220="","",IF(OR(ISNUMBER(SEARCH("계약만료",대장!H109&amp;"")),ISNUMBER(SEARCH("기간만료",대장!H109&amp;""))),"계약기간 만료로 퇴직",IF(ISNUMBER(SEARCH("의원면직",대장!H109&amp;"")),"의원면직",IF(ISNUMBER(SEARCH("정년퇴직",대장!H109&amp;"")),"정년퇴직",대장!H109))))</x:f>
        <x:v>#NAME?</x:v>
      </x:c>
      <x:c r="F220" s="27" t="e">
        <x:f>IF($A220="","",IF(발령대장_설정!$B$5="","",발령대장_설정!$B$5))</x:f>
        <x:v>#NAME?</x:v>
      </x:c>
      <x:c r="G220" s="27" t="e">
        <x:f>IF($A220="","",IF(발령대장_설정!$B$6="","",발령대장_설정!$B$6))</x:f>
        <x:v>#NAME?</x:v>
      </x:c>
      <x:c r="H220" s="27" t="e">
        <x:f>IF($A220="","",IF(발령대장_설정!$B$7="","",발령대장_설정!$B$7))</x:f>
        <x:v>#NAME?</x:v>
      </x:c>
      <x:c r="I220" s="27" t="e">
        <x:f>IF($A220="","",IF(발령대장_설정!$B$8="","",발령대장_설정!$B$8))</x:f>
        <x:v>#NAME?</x:v>
      </x:c>
      <x:c r="J220" s="27" t="str">
        <x:f>""</x:f>
      </x:c>
    </x:row>
    <x:row r="221" ht="42" customHeight="1">
      <x:c r="A221" s="47" t="e">
        <x:f>IF(AND(대장!A110&lt;&gt;"",ISNUMBER(대장!F110),OR(대장!G110="",AND(ISNUMBER(대장!G110),대장!G110&gt;=대장!F110))),대장!F110,"")</x:f>
        <x:v>#NAME?</x:v>
      </x:c>
      <x:c r="B221" s="27" t="e">
        <x:f>IF($A221="","",IF(발령대장_설정!$B$4="","",발령대장_설정!$B$4))</x:f>
        <x:v>#NAME?</x:v>
      </x:c>
      <x:c r="C221" s="27" t="e">
        <x:f>IF($A221="","",대장!D110)</x:f>
        <x:v>#NAME?</x:v>
      </x:c>
      <x:c r="D221" s="27" t="e">
        <x:f>IF($A221="","",대장!A110)</x:f>
        <x:v>#NAME?</x:v>
      </x:c>
      <x:c r="E221" s="27" t="e">
        <x:f>IF($A221="","",IF(대장!J110&lt;&gt;"",대장!J110,대장!D110&amp;"에 임함"&amp;IF(대장!E110="","",CHAR(10)&amp;"고용형태: "&amp;대장!E110)&amp;IF(대장!I110="","",CHAR(10)&amp;"소정근로시간: "&amp;대장!I110)&amp;CHAR(10)&amp;"근로기간: "&amp;YEAR(대장!F110)&amp;"."&amp;MONTH(대장!F110)&amp;"."&amp;DAY(대장!F110)&amp;"."&amp;" ~ "&amp;IF(ISNUMBER(대장!G110),YEAR(대장!G110)&amp;"."&amp;MONTH(대장!G110)&amp;"."&amp;DAY(대장!G110)&amp;".","재직 중")))</x:f>
        <x:v>#NAME?</x:v>
      </x:c>
      <x:c r="F221" s="27" t="e">
        <x:f>IF($A221="","",IF(발령대장_설정!$B$5="","",발령대장_설정!$B$5))</x:f>
        <x:v>#NAME?</x:v>
      </x:c>
      <x:c r="G221" s="27" t="e">
        <x:f>IF($A221="","",IF(발령대장_설정!$B$6="","",발령대장_설정!$B$6))</x:f>
        <x:v>#NAME?</x:v>
      </x:c>
      <x:c r="H221" s="27" t="e">
        <x:f>IF($A221="","",IF(발령대장_설정!$B$7="","",발령대장_설정!$B$7))</x:f>
        <x:v>#NAME?</x:v>
      </x:c>
      <x:c r="I221" s="27" t="e">
        <x:f>IF($A221="","",IF(발령대장_설정!$B$8="","",발령대장_설정!$B$8))</x:f>
        <x:v>#NAME?</x:v>
      </x:c>
      <x:c r="J221" s="27" t="e">
        <x:f>IF($A221="","",IF(대장!K110="","",대장!K110))</x:f>
        <x:v>#NAME?</x:v>
      </x:c>
    </x:row>
    <x:row r="222" ht="42" customHeight="1">
      <x:c r="A222" s="47" t="e">
        <x:f>IF(AND(대장!A110&lt;&gt;"",ISNUMBER(대장!F110),ISNUMBER(대장!G110),대장!G110&gt;=대장!F110,대장!H110&lt;&gt;""),대장!G110,"")</x:f>
        <x:v>#NAME?</x:v>
      </x:c>
      <x:c r="B222" s="27" t="e">
        <x:f>IF($A222="","",IF(발령대장_설정!$B$4="","",발령대장_설정!$B$4))</x:f>
        <x:v>#NAME?</x:v>
      </x:c>
      <x:c r="C222" s="27" t="e">
        <x:f>IF($A222="","",대장!D110)</x:f>
        <x:v>#NAME?</x:v>
      </x:c>
      <x:c r="D222" s="27" t="e">
        <x:f>IF($A222="","",대장!A110)</x:f>
        <x:v>#NAME?</x:v>
      </x:c>
      <x:c r="E222" s="27" t="e">
        <x:f>IF($A222="","",IF(OR(ISNUMBER(SEARCH("계약만료",대장!H110&amp;"")),ISNUMBER(SEARCH("기간만료",대장!H110&amp;""))),"계약기간 만료로 퇴직",IF(ISNUMBER(SEARCH("의원면직",대장!H110&amp;"")),"의원면직",IF(ISNUMBER(SEARCH("정년퇴직",대장!H110&amp;"")),"정년퇴직",대장!H110))))</x:f>
        <x:v>#NAME?</x:v>
      </x:c>
      <x:c r="F222" s="27" t="e">
        <x:f>IF($A222="","",IF(발령대장_설정!$B$5="","",발령대장_설정!$B$5))</x:f>
        <x:v>#NAME?</x:v>
      </x:c>
      <x:c r="G222" s="27" t="e">
        <x:f>IF($A222="","",IF(발령대장_설정!$B$6="","",발령대장_설정!$B$6))</x:f>
        <x:v>#NAME?</x:v>
      </x:c>
      <x:c r="H222" s="27" t="e">
        <x:f>IF($A222="","",IF(발령대장_설정!$B$7="","",발령대장_설정!$B$7))</x:f>
        <x:v>#NAME?</x:v>
      </x:c>
      <x:c r="I222" s="27" t="e">
        <x:f>IF($A222="","",IF(발령대장_설정!$B$8="","",발령대장_설정!$B$8))</x:f>
        <x:v>#NAME?</x:v>
      </x:c>
      <x:c r="J222" s="27" t="str">
        <x:f>""</x:f>
      </x:c>
    </x:row>
    <x:row r="223" ht="42" customHeight="1">
      <x:c r="A223" s="47" t="e">
        <x:f>IF(AND(대장!A111&lt;&gt;"",ISNUMBER(대장!F111),OR(대장!G111="",AND(ISNUMBER(대장!G111),대장!G111&gt;=대장!F111))),대장!F111,"")</x:f>
        <x:v>#NAME?</x:v>
      </x:c>
      <x:c r="B223" s="27" t="e">
        <x:f>IF($A223="","",IF(발령대장_설정!$B$4="","",발령대장_설정!$B$4))</x:f>
        <x:v>#NAME?</x:v>
      </x:c>
      <x:c r="C223" s="27" t="e">
        <x:f>IF($A223="","",대장!D111)</x:f>
        <x:v>#NAME?</x:v>
      </x:c>
      <x:c r="D223" s="27" t="e">
        <x:f>IF($A223="","",대장!A111)</x:f>
        <x:v>#NAME?</x:v>
      </x:c>
      <x:c r="E223" s="27" t="e">
        <x:f>IF($A223="","",IF(대장!J111&lt;&gt;"",대장!J111,대장!D111&amp;"에 임함"&amp;IF(대장!E111="","",CHAR(10)&amp;"고용형태: "&amp;대장!E111)&amp;IF(대장!I111="","",CHAR(10)&amp;"소정근로시간: "&amp;대장!I111)&amp;CHAR(10)&amp;"근로기간: "&amp;YEAR(대장!F111)&amp;"."&amp;MONTH(대장!F111)&amp;"."&amp;DAY(대장!F111)&amp;"."&amp;" ~ "&amp;IF(ISNUMBER(대장!G111),YEAR(대장!G111)&amp;"."&amp;MONTH(대장!G111)&amp;"."&amp;DAY(대장!G111)&amp;".","재직 중")))</x:f>
        <x:v>#NAME?</x:v>
      </x:c>
      <x:c r="F223" s="27" t="e">
        <x:f>IF($A223="","",IF(발령대장_설정!$B$5="","",발령대장_설정!$B$5))</x:f>
        <x:v>#NAME?</x:v>
      </x:c>
      <x:c r="G223" s="27" t="e">
        <x:f>IF($A223="","",IF(발령대장_설정!$B$6="","",발령대장_설정!$B$6))</x:f>
        <x:v>#NAME?</x:v>
      </x:c>
      <x:c r="H223" s="27" t="e">
        <x:f>IF($A223="","",IF(발령대장_설정!$B$7="","",발령대장_설정!$B$7))</x:f>
        <x:v>#NAME?</x:v>
      </x:c>
      <x:c r="I223" s="27" t="e">
        <x:f>IF($A223="","",IF(발령대장_설정!$B$8="","",발령대장_설정!$B$8))</x:f>
        <x:v>#NAME?</x:v>
      </x:c>
      <x:c r="J223" s="27" t="e">
        <x:f>IF($A223="","",IF(대장!K111="","",대장!K111))</x:f>
        <x:v>#NAME?</x:v>
      </x:c>
    </x:row>
    <x:row r="224" ht="42" customHeight="1">
      <x:c r="A224" s="47" t="e">
        <x:f>IF(AND(대장!A111&lt;&gt;"",ISNUMBER(대장!F111),ISNUMBER(대장!G111),대장!G111&gt;=대장!F111,대장!H111&lt;&gt;""),대장!G111,"")</x:f>
        <x:v>#NAME?</x:v>
      </x:c>
      <x:c r="B224" s="27" t="e">
        <x:f>IF($A224="","",IF(발령대장_설정!$B$4="","",발령대장_설정!$B$4))</x:f>
        <x:v>#NAME?</x:v>
      </x:c>
      <x:c r="C224" s="27" t="e">
        <x:f>IF($A224="","",대장!D111)</x:f>
        <x:v>#NAME?</x:v>
      </x:c>
      <x:c r="D224" s="27" t="e">
        <x:f>IF($A224="","",대장!A111)</x:f>
        <x:v>#NAME?</x:v>
      </x:c>
      <x:c r="E224" s="27" t="e">
        <x:f>IF($A224="","",IF(OR(ISNUMBER(SEARCH("계약만료",대장!H111&amp;"")),ISNUMBER(SEARCH("기간만료",대장!H111&amp;""))),"계약기간 만료로 퇴직",IF(ISNUMBER(SEARCH("의원면직",대장!H111&amp;"")),"의원면직",IF(ISNUMBER(SEARCH("정년퇴직",대장!H111&amp;"")),"정년퇴직",대장!H111))))</x:f>
        <x:v>#NAME?</x:v>
      </x:c>
      <x:c r="F224" s="27" t="e">
        <x:f>IF($A224="","",IF(발령대장_설정!$B$5="","",발령대장_설정!$B$5))</x:f>
        <x:v>#NAME?</x:v>
      </x:c>
      <x:c r="G224" s="27" t="e">
        <x:f>IF($A224="","",IF(발령대장_설정!$B$6="","",발령대장_설정!$B$6))</x:f>
        <x:v>#NAME?</x:v>
      </x:c>
      <x:c r="H224" s="27" t="e">
        <x:f>IF($A224="","",IF(발령대장_설정!$B$7="","",발령대장_설정!$B$7))</x:f>
        <x:v>#NAME?</x:v>
      </x:c>
      <x:c r="I224" s="27" t="e">
        <x:f>IF($A224="","",IF(발령대장_설정!$B$8="","",발령대장_설정!$B$8))</x:f>
        <x:v>#NAME?</x:v>
      </x:c>
      <x:c r="J224" s="27" t="str">
        <x:f>""</x:f>
      </x:c>
    </x:row>
    <x:row r="225" ht="42" customHeight="1">
      <x:c r="A225" s="47" t="e">
        <x:f>IF(AND(대장!A112&lt;&gt;"",ISNUMBER(대장!F112),OR(대장!G112="",AND(ISNUMBER(대장!G112),대장!G112&gt;=대장!F112))),대장!F112,"")</x:f>
        <x:v>#NAME?</x:v>
      </x:c>
      <x:c r="B225" s="27" t="e">
        <x:f>IF($A225="","",IF(발령대장_설정!$B$4="","",발령대장_설정!$B$4))</x:f>
        <x:v>#NAME?</x:v>
      </x:c>
      <x:c r="C225" s="27" t="e">
        <x:f>IF($A225="","",대장!D112)</x:f>
        <x:v>#NAME?</x:v>
      </x:c>
      <x:c r="D225" s="27" t="e">
        <x:f>IF($A225="","",대장!A112)</x:f>
        <x:v>#NAME?</x:v>
      </x:c>
      <x:c r="E225" s="27" t="e">
        <x:f>IF($A225="","",IF(대장!J112&lt;&gt;"",대장!J112,대장!D112&amp;"에 임함"&amp;IF(대장!E112="","",CHAR(10)&amp;"고용형태: "&amp;대장!E112)&amp;IF(대장!I112="","",CHAR(10)&amp;"소정근로시간: "&amp;대장!I112)&amp;CHAR(10)&amp;"근로기간: "&amp;YEAR(대장!F112)&amp;"."&amp;MONTH(대장!F112)&amp;"."&amp;DAY(대장!F112)&amp;"."&amp;" ~ "&amp;IF(ISNUMBER(대장!G112),YEAR(대장!G112)&amp;"."&amp;MONTH(대장!G112)&amp;"."&amp;DAY(대장!G112)&amp;".","재직 중")))</x:f>
        <x:v>#NAME?</x:v>
      </x:c>
      <x:c r="F225" s="27" t="e">
        <x:f>IF($A225="","",IF(발령대장_설정!$B$5="","",발령대장_설정!$B$5))</x:f>
        <x:v>#NAME?</x:v>
      </x:c>
      <x:c r="G225" s="27" t="e">
        <x:f>IF($A225="","",IF(발령대장_설정!$B$6="","",발령대장_설정!$B$6))</x:f>
        <x:v>#NAME?</x:v>
      </x:c>
      <x:c r="H225" s="27" t="e">
        <x:f>IF($A225="","",IF(발령대장_설정!$B$7="","",발령대장_설정!$B$7))</x:f>
        <x:v>#NAME?</x:v>
      </x:c>
      <x:c r="I225" s="27" t="e">
        <x:f>IF($A225="","",IF(발령대장_설정!$B$8="","",발령대장_설정!$B$8))</x:f>
        <x:v>#NAME?</x:v>
      </x:c>
      <x:c r="J225" s="27" t="e">
        <x:f>IF($A225="","",IF(대장!K112="","",대장!K112))</x:f>
        <x:v>#NAME?</x:v>
      </x:c>
    </x:row>
    <x:row r="226" ht="42" customHeight="1">
      <x:c r="A226" s="47" t="e">
        <x:f>IF(AND(대장!A112&lt;&gt;"",ISNUMBER(대장!F112),ISNUMBER(대장!G112),대장!G112&gt;=대장!F112,대장!H112&lt;&gt;""),대장!G112,"")</x:f>
        <x:v>#NAME?</x:v>
      </x:c>
      <x:c r="B226" s="27" t="e">
        <x:f>IF($A226="","",IF(발령대장_설정!$B$4="","",발령대장_설정!$B$4))</x:f>
        <x:v>#NAME?</x:v>
      </x:c>
      <x:c r="C226" s="27" t="e">
        <x:f>IF($A226="","",대장!D112)</x:f>
        <x:v>#NAME?</x:v>
      </x:c>
      <x:c r="D226" s="27" t="e">
        <x:f>IF($A226="","",대장!A112)</x:f>
        <x:v>#NAME?</x:v>
      </x:c>
      <x:c r="E226" s="27" t="e">
        <x:f>IF($A226="","",IF(OR(ISNUMBER(SEARCH("계약만료",대장!H112&amp;"")),ISNUMBER(SEARCH("기간만료",대장!H112&amp;""))),"계약기간 만료로 퇴직",IF(ISNUMBER(SEARCH("의원면직",대장!H112&amp;"")),"의원면직",IF(ISNUMBER(SEARCH("정년퇴직",대장!H112&amp;"")),"정년퇴직",대장!H112))))</x:f>
        <x:v>#NAME?</x:v>
      </x:c>
      <x:c r="F226" s="27" t="e">
        <x:f>IF($A226="","",IF(발령대장_설정!$B$5="","",발령대장_설정!$B$5))</x:f>
        <x:v>#NAME?</x:v>
      </x:c>
      <x:c r="G226" s="27" t="e">
        <x:f>IF($A226="","",IF(발령대장_설정!$B$6="","",발령대장_설정!$B$6))</x:f>
        <x:v>#NAME?</x:v>
      </x:c>
      <x:c r="H226" s="27" t="e">
        <x:f>IF($A226="","",IF(발령대장_설정!$B$7="","",발령대장_설정!$B$7))</x:f>
        <x:v>#NAME?</x:v>
      </x:c>
      <x:c r="I226" s="27" t="e">
        <x:f>IF($A226="","",IF(발령대장_설정!$B$8="","",발령대장_설정!$B$8))</x:f>
        <x:v>#NAME?</x:v>
      </x:c>
      <x:c r="J226" s="27" t="str">
        <x:f>""</x:f>
      </x:c>
    </x:row>
    <x:row r="227" ht="42" customHeight="1">
      <x:c r="A227" s="47" t="e">
        <x:f>IF(AND(대장!A113&lt;&gt;"",ISNUMBER(대장!F113),OR(대장!G113="",AND(ISNUMBER(대장!G113),대장!G113&gt;=대장!F113))),대장!F113,"")</x:f>
        <x:v>#NAME?</x:v>
      </x:c>
      <x:c r="B227" s="27" t="e">
        <x:f>IF($A227="","",IF(발령대장_설정!$B$4="","",발령대장_설정!$B$4))</x:f>
        <x:v>#NAME?</x:v>
      </x:c>
      <x:c r="C227" s="27" t="e">
        <x:f>IF($A227="","",대장!D113)</x:f>
        <x:v>#NAME?</x:v>
      </x:c>
      <x:c r="D227" s="27" t="e">
        <x:f>IF($A227="","",대장!A113)</x:f>
        <x:v>#NAME?</x:v>
      </x:c>
      <x:c r="E227" s="27" t="e">
        <x:f>IF($A227="","",IF(대장!J113&lt;&gt;"",대장!J113,대장!D113&amp;"에 임함"&amp;IF(대장!E113="","",CHAR(10)&amp;"고용형태: "&amp;대장!E113)&amp;IF(대장!I113="","",CHAR(10)&amp;"소정근로시간: "&amp;대장!I113)&amp;CHAR(10)&amp;"근로기간: "&amp;YEAR(대장!F113)&amp;"."&amp;MONTH(대장!F113)&amp;"."&amp;DAY(대장!F113)&amp;"."&amp;" ~ "&amp;IF(ISNUMBER(대장!G113),YEAR(대장!G113)&amp;"."&amp;MONTH(대장!G113)&amp;"."&amp;DAY(대장!G113)&amp;".","재직 중")))</x:f>
        <x:v>#NAME?</x:v>
      </x:c>
      <x:c r="F227" s="27" t="e">
        <x:f>IF($A227="","",IF(발령대장_설정!$B$5="","",발령대장_설정!$B$5))</x:f>
        <x:v>#NAME?</x:v>
      </x:c>
      <x:c r="G227" s="27" t="e">
        <x:f>IF($A227="","",IF(발령대장_설정!$B$6="","",발령대장_설정!$B$6))</x:f>
        <x:v>#NAME?</x:v>
      </x:c>
      <x:c r="H227" s="27" t="e">
        <x:f>IF($A227="","",IF(발령대장_설정!$B$7="","",발령대장_설정!$B$7))</x:f>
        <x:v>#NAME?</x:v>
      </x:c>
      <x:c r="I227" s="27" t="e">
        <x:f>IF($A227="","",IF(발령대장_설정!$B$8="","",발령대장_설정!$B$8))</x:f>
        <x:v>#NAME?</x:v>
      </x:c>
      <x:c r="J227" s="27" t="e">
        <x:f>IF($A227="","",IF(대장!K113="","",대장!K113))</x:f>
        <x:v>#NAME?</x:v>
      </x:c>
    </x:row>
    <x:row r="228" ht="42" customHeight="1">
      <x:c r="A228" s="47" t="e">
        <x:f>IF(AND(대장!A113&lt;&gt;"",ISNUMBER(대장!F113),ISNUMBER(대장!G113),대장!G113&gt;=대장!F113,대장!H113&lt;&gt;""),대장!G113,"")</x:f>
        <x:v>#NAME?</x:v>
      </x:c>
      <x:c r="B228" s="27" t="e">
        <x:f>IF($A228="","",IF(발령대장_설정!$B$4="","",발령대장_설정!$B$4))</x:f>
        <x:v>#NAME?</x:v>
      </x:c>
      <x:c r="C228" s="27" t="e">
        <x:f>IF($A228="","",대장!D113)</x:f>
        <x:v>#NAME?</x:v>
      </x:c>
      <x:c r="D228" s="27" t="e">
        <x:f>IF($A228="","",대장!A113)</x:f>
        <x:v>#NAME?</x:v>
      </x:c>
      <x:c r="E228" s="27" t="e">
        <x:f>IF($A228="","",IF(OR(ISNUMBER(SEARCH("계약만료",대장!H113&amp;"")),ISNUMBER(SEARCH("기간만료",대장!H113&amp;""))),"계약기간 만료로 퇴직",IF(ISNUMBER(SEARCH("의원면직",대장!H113&amp;"")),"의원면직",IF(ISNUMBER(SEARCH("정년퇴직",대장!H113&amp;"")),"정년퇴직",대장!H113))))</x:f>
        <x:v>#NAME?</x:v>
      </x:c>
      <x:c r="F228" s="27" t="e">
        <x:f>IF($A228="","",IF(발령대장_설정!$B$5="","",발령대장_설정!$B$5))</x:f>
        <x:v>#NAME?</x:v>
      </x:c>
      <x:c r="G228" s="27" t="e">
        <x:f>IF($A228="","",IF(발령대장_설정!$B$6="","",발령대장_설정!$B$6))</x:f>
        <x:v>#NAME?</x:v>
      </x:c>
      <x:c r="H228" s="27" t="e">
        <x:f>IF($A228="","",IF(발령대장_설정!$B$7="","",발령대장_설정!$B$7))</x:f>
        <x:v>#NAME?</x:v>
      </x:c>
      <x:c r="I228" s="27" t="e">
        <x:f>IF($A228="","",IF(발령대장_설정!$B$8="","",발령대장_설정!$B$8))</x:f>
        <x:v>#NAME?</x:v>
      </x:c>
      <x:c r="J228" s="27" t="str">
        <x:f>""</x:f>
      </x:c>
    </x:row>
    <x:row r="229" ht="42" customHeight="1">
      <x:c r="A229" s="47" t="e">
        <x:f>IF(AND(대장!A114&lt;&gt;"",ISNUMBER(대장!F114),OR(대장!G114="",AND(ISNUMBER(대장!G114),대장!G114&gt;=대장!F114))),대장!F114,"")</x:f>
        <x:v>#NAME?</x:v>
      </x:c>
      <x:c r="B229" s="27" t="e">
        <x:f>IF($A229="","",IF(발령대장_설정!$B$4="","",발령대장_설정!$B$4))</x:f>
        <x:v>#NAME?</x:v>
      </x:c>
      <x:c r="C229" s="27" t="e">
        <x:f>IF($A229="","",대장!D114)</x:f>
        <x:v>#NAME?</x:v>
      </x:c>
      <x:c r="D229" s="27" t="e">
        <x:f>IF($A229="","",대장!A114)</x:f>
        <x:v>#NAME?</x:v>
      </x:c>
      <x:c r="E229" s="27" t="e">
        <x:f>IF($A229="","",IF(대장!J114&lt;&gt;"",대장!J114,대장!D114&amp;"에 임함"&amp;IF(대장!E114="","",CHAR(10)&amp;"고용형태: "&amp;대장!E114)&amp;IF(대장!I114="","",CHAR(10)&amp;"소정근로시간: "&amp;대장!I114)&amp;CHAR(10)&amp;"근로기간: "&amp;YEAR(대장!F114)&amp;"."&amp;MONTH(대장!F114)&amp;"."&amp;DAY(대장!F114)&amp;"."&amp;" ~ "&amp;IF(ISNUMBER(대장!G114),YEAR(대장!G114)&amp;"."&amp;MONTH(대장!G114)&amp;"."&amp;DAY(대장!G114)&amp;".","재직 중")))</x:f>
        <x:v>#NAME?</x:v>
      </x:c>
      <x:c r="F229" s="27" t="e">
        <x:f>IF($A229="","",IF(발령대장_설정!$B$5="","",발령대장_설정!$B$5))</x:f>
        <x:v>#NAME?</x:v>
      </x:c>
      <x:c r="G229" s="27" t="e">
        <x:f>IF($A229="","",IF(발령대장_설정!$B$6="","",발령대장_설정!$B$6))</x:f>
        <x:v>#NAME?</x:v>
      </x:c>
      <x:c r="H229" s="27" t="e">
        <x:f>IF($A229="","",IF(발령대장_설정!$B$7="","",발령대장_설정!$B$7))</x:f>
        <x:v>#NAME?</x:v>
      </x:c>
      <x:c r="I229" s="27" t="e">
        <x:f>IF($A229="","",IF(발령대장_설정!$B$8="","",발령대장_설정!$B$8))</x:f>
        <x:v>#NAME?</x:v>
      </x:c>
      <x:c r="J229" s="27" t="e">
        <x:f>IF($A229="","",IF(대장!K114="","",대장!K114))</x:f>
        <x:v>#NAME?</x:v>
      </x:c>
    </x:row>
    <x:row r="230" ht="42" customHeight="1">
      <x:c r="A230" s="47" t="e">
        <x:f>IF(AND(대장!A114&lt;&gt;"",ISNUMBER(대장!F114),ISNUMBER(대장!G114),대장!G114&gt;=대장!F114,대장!H114&lt;&gt;""),대장!G114,"")</x:f>
        <x:v>#NAME?</x:v>
      </x:c>
      <x:c r="B230" s="27" t="e">
        <x:f>IF($A230="","",IF(발령대장_설정!$B$4="","",발령대장_설정!$B$4))</x:f>
        <x:v>#NAME?</x:v>
      </x:c>
      <x:c r="C230" s="27" t="e">
        <x:f>IF($A230="","",대장!D114)</x:f>
        <x:v>#NAME?</x:v>
      </x:c>
      <x:c r="D230" s="27" t="e">
        <x:f>IF($A230="","",대장!A114)</x:f>
        <x:v>#NAME?</x:v>
      </x:c>
      <x:c r="E230" s="27" t="e">
        <x:f>IF($A230="","",IF(OR(ISNUMBER(SEARCH("계약만료",대장!H114&amp;"")),ISNUMBER(SEARCH("기간만료",대장!H114&amp;""))),"계약기간 만료로 퇴직",IF(ISNUMBER(SEARCH("의원면직",대장!H114&amp;"")),"의원면직",IF(ISNUMBER(SEARCH("정년퇴직",대장!H114&amp;"")),"정년퇴직",대장!H114))))</x:f>
        <x:v>#NAME?</x:v>
      </x:c>
      <x:c r="F230" s="27" t="e">
        <x:f>IF($A230="","",IF(발령대장_설정!$B$5="","",발령대장_설정!$B$5))</x:f>
        <x:v>#NAME?</x:v>
      </x:c>
      <x:c r="G230" s="27" t="e">
        <x:f>IF($A230="","",IF(발령대장_설정!$B$6="","",발령대장_설정!$B$6))</x:f>
        <x:v>#NAME?</x:v>
      </x:c>
      <x:c r="H230" s="27" t="e">
        <x:f>IF($A230="","",IF(발령대장_설정!$B$7="","",발령대장_설정!$B$7))</x:f>
        <x:v>#NAME?</x:v>
      </x:c>
      <x:c r="I230" s="27" t="e">
        <x:f>IF($A230="","",IF(발령대장_설정!$B$8="","",발령대장_설정!$B$8))</x:f>
        <x:v>#NAME?</x:v>
      </x:c>
      <x:c r="J230" s="27" t="str">
        <x:f>""</x:f>
      </x:c>
    </x:row>
    <x:row r="231" ht="42" customHeight="1">
      <x:c r="A231" s="47" t="e">
        <x:f>IF(AND(대장!A115&lt;&gt;"",ISNUMBER(대장!F115),OR(대장!G115="",AND(ISNUMBER(대장!G115),대장!G115&gt;=대장!F115))),대장!F115,"")</x:f>
        <x:v>#NAME?</x:v>
      </x:c>
      <x:c r="B231" s="27" t="e">
        <x:f>IF($A231="","",IF(발령대장_설정!$B$4="","",발령대장_설정!$B$4))</x:f>
        <x:v>#NAME?</x:v>
      </x:c>
      <x:c r="C231" s="27" t="e">
        <x:f>IF($A231="","",대장!D115)</x:f>
        <x:v>#NAME?</x:v>
      </x:c>
      <x:c r="D231" s="27" t="e">
        <x:f>IF($A231="","",대장!A115)</x:f>
        <x:v>#NAME?</x:v>
      </x:c>
      <x:c r="E231" s="27" t="e">
        <x:f>IF($A231="","",IF(대장!J115&lt;&gt;"",대장!J115,대장!D115&amp;"에 임함"&amp;IF(대장!E115="","",CHAR(10)&amp;"고용형태: "&amp;대장!E115)&amp;IF(대장!I115="","",CHAR(10)&amp;"소정근로시간: "&amp;대장!I115)&amp;CHAR(10)&amp;"근로기간: "&amp;YEAR(대장!F115)&amp;"."&amp;MONTH(대장!F115)&amp;"."&amp;DAY(대장!F115)&amp;"."&amp;" ~ "&amp;IF(ISNUMBER(대장!G115),YEAR(대장!G115)&amp;"."&amp;MONTH(대장!G115)&amp;"."&amp;DAY(대장!G115)&amp;".","재직 중")))</x:f>
        <x:v>#NAME?</x:v>
      </x:c>
      <x:c r="F231" s="27" t="e">
        <x:f>IF($A231="","",IF(발령대장_설정!$B$5="","",발령대장_설정!$B$5))</x:f>
        <x:v>#NAME?</x:v>
      </x:c>
      <x:c r="G231" s="27" t="e">
        <x:f>IF($A231="","",IF(발령대장_설정!$B$6="","",발령대장_설정!$B$6))</x:f>
        <x:v>#NAME?</x:v>
      </x:c>
      <x:c r="H231" s="27" t="e">
        <x:f>IF($A231="","",IF(발령대장_설정!$B$7="","",발령대장_설정!$B$7))</x:f>
        <x:v>#NAME?</x:v>
      </x:c>
      <x:c r="I231" s="27" t="e">
        <x:f>IF($A231="","",IF(발령대장_설정!$B$8="","",발령대장_설정!$B$8))</x:f>
        <x:v>#NAME?</x:v>
      </x:c>
      <x:c r="J231" s="27" t="e">
        <x:f>IF($A231="","",IF(대장!K115="","",대장!K115))</x:f>
        <x:v>#NAME?</x:v>
      </x:c>
    </x:row>
    <x:row r="232" ht="42" customHeight="1">
      <x:c r="A232" s="47" t="e">
        <x:f>IF(AND(대장!A115&lt;&gt;"",ISNUMBER(대장!F115),ISNUMBER(대장!G115),대장!G115&gt;=대장!F115,대장!H115&lt;&gt;""),대장!G115,"")</x:f>
        <x:v>#NAME?</x:v>
      </x:c>
      <x:c r="B232" s="27" t="e">
        <x:f>IF($A232="","",IF(발령대장_설정!$B$4="","",발령대장_설정!$B$4))</x:f>
        <x:v>#NAME?</x:v>
      </x:c>
      <x:c r="C232" s="27" t="e">
        <x:f>IF($A232="","",대장!D115)</x:f>
        <x:v>#NAME?</x:v>
      </x:c>
      <x:c r="D232" s="27" t="e">
        <x:f>IF($A232="","",대장!A115)</x:f>
        <x:v>#NAME?</x:v>
      </x:c>
      <x:c r="E232" s="27" t="e">
        <x:f>IF($A232="","",IF(OR(ISNUMBER(SEARCH("계약만료",대장!H115&amp;"")),ISNUMBER(SEARCH("기간만료",대장!H115&amp;""))),"계약기간 만료로 퇴직",IF(ISNUMBER(SEARCH("의원면직",대장!H115&amp;"")),"의원면직",IF(ISNUMBER(SEARCH("정년퇴직",대장!H115&amp;"")),"정년퇴직",대장!H115))))</x:f>
        <x:v>#NAME?</x:v>
      </x:c>
      <x:c r="F232" s="27" t="e">
        <x:f>IF($A232="","",IF(발령대장_설정!$B$5="","",발령대장_설정!$B$5))</x:f>
        <x:v>#NAME?</x:v>
      </x:c>
      <x:c r="G232" s="27" t="e">
        <x:f>IF($A232="","",IF(발령대장_설정!$B$6="","",발령대장_설정!$B$6))</x:f>
        <x:v>#NAME?</x:v>
      </x:c>
      <x:c r="H232" s="27" t="e">
        <x:f>IF($A232="","",IF(발령대장_설정!$B$7="","",발령대장_설정!$B$7))</x:f>
        <x:v>#NAME?</x:v>
      </x:c>
      <x:c r="I232" s="27" t="e">
        <x:f>IF($A232="","",IF(발령대장_설정!$B$8="","",발령대장_설정!$B$8))</x:f>
        <x:v>#NAME?</x:v>
      </x:c>
      <x:c r="J232" s="27" t="str">
        <x:f>""</x:f>
      </x:c>
    </x:row>
    <x:row r="233" ht="42" customHeight="1">
      <x:c r="A233" s="47" t="e">
        <x:f>IF(AND(대장!A116&lt;&gt;"",ISNUMBER(대장!F116),OR(대장!G116="",AND(ISNUMBER(대장!G116),대장!G116&gt;=대장!F116))),대장!F116,"")</x:f>
        <x:v>#NAME?</x:v>
      </x:c>
      <x:c r="B233" s="27" t="e">
        <x:f>IF($A233="","",IF(발령대장_설정!$B$4="","",발령대장_설정!$B$4))</x:f>
        <x:v>#NAME?</x:v>
      </x:c>
      <x:c r="C233" s="27" t="e">
        <x:f>IF($A233="","",대장!D116)</x:f>
        <x:v>#NAME?</x:v>
      </x:c>
      <x:c r="D233" s="27" t="e">
        <x:f>IF($A233="","",대장!A116)</x:f>
        <x:v>#NAME?</x:v>
      </x:c>
      <x:c r="E233" s="27" t="e">
        <x:f>IF($A233="","",IF(대장!J116&lt;&gt;"",대장!J116,대장!D116&amp;"에 임함"&amp;IF(대장!E116="","",CHAR(10)&amp;"고용형태: "&amp;대장!E116)&amp;IF(대장!I116="","",CHAR(10)&amp;"소정근로시간: "&amp;대장!I116)&amp;CHAR(10)&amp;"근로기간: "&amp;YEAR(대장!F116)&amp;"."&amp;MONTH(대장!F116)&amp;"."&amp;DAY(대장!F116)&amp;"."&amp;" ~ "&amp;IF(ISNUMBER(대장!G116),YEAR(대장!G116)&amp;"."&amp;MONTH(대장!G116)&amp;"."&amp;DAY(대장!G116)&amp;".","재직 중")))</x:f>
        <x:v>#NAME?</x:v>
      </x:c>
      <x:c r="F233" s="27" t="e">
        <x:f>IF($A233="","",IF(발령대장_설정!$B$5="","",발령대장_설정!$B$5))</x:f>
        <x:v>#NAME?</x:v>
      </x:c>
      <x:c r="G233" s="27" t="e">
        <x:f>IF($A233="","",IF(발령대장_설정!$B$6="","",발령대장_설정!$B$6))</x:f>
        <x:v>#NAME?</x:v>
      </x:c>
      <x:c r="H233" s="27" t="e">
        <x:f>IF($A233="","",IF(발령대장_설정!$B$7="","",발령대장_설정!$B$7))</x:f>
        <x:v>#NAME?</x:v>
      </x:c>
      <x:c r="I233" s="27" t="e">
        <x:f>IF($A233="","",IF(발령대장_설정!$B$8="","",발령대장_설정!$B$8))</x:f>
        <x:v>#NAME?</x:v>
      </x:c>
      <x:c r="J233" s="27" t="e">
        <x:f>IF($A233="","",IF(대장!K116="","",대장!K116))</x:f>
        <x:v>#NAME?</x:v>
      </x:c>
    </x:row>
    <x:row r="234" ht="42" customHeight="1">
      <x:c r="A234" s="47" t="e">
        <x:f>IF(AND(대장!A116&lt;&gt;"",ISNUMBER(대장!F116),ISNUMBER(대장!G116),대장!G116&gt;=대장!F116,대장!H116&lt;&gt;""),대장!G116,"")</x:f>
        <x:v>#NAME?</x:v>
      </x:c>
      <x:c r="B234" s="27" t="e">
        <x:f>IF($A234="","",IF(발령대장_설정!$B$4="","",발령대장_설정!$B$4))</x:f>
        <x:v>#NAME?</x:v>
      </x:c>
      <x:c r="C234" s="27" t="e">
        <x:f>IF($A234="","",대장!D116)</x:f>
        <x:v>#NAME?</x:v>
      </x:c>
      <x:c r="D234" s="27" t="e">
        <x:f>IF($A234="","",대장!A116)</x:f>
        <x:v>#NAME?</x:v>
      </x:c>
      <x:c r="E234" s="27" t="e">
        <x:f>IF($A234="","",IF(OR(ISNUMBER(SEARCH("계약만료",대장!H116&amp;"")),ISNUMBER(SEARCH("기간만료",대장!H116&amp;""))),"계약기간 만료로 퇴직",IF(ISNUMBER(SEARCH("의원면직",대장!H116&amp;"")),"의원면직",IF(ISNUMBER(SEARCH("정년퇴직",대장!H116&amp;"")),"정년퇴직",대장!H116))))</x:f>
        <x:v>#NAME?</x:v>
      </x:c>
      <x:c r="F234" s="27" t="e">
        <x:f>IF($A234="","",IF(발령대장_설정!$B$5="","",발령대장_설정!$B$5))</x:f>
        <x:v>#NAME?</x:v>
      </x:c>
      <x:c r="G234" s="27" t="e">
        <x:f>IF($A234="","",IF(발령대장_설정!$B$6="","",발령대장_설정!$B$6))</x:f>
        <x:v>#NAME?</x:v>
      </x:c>
      <x:c r="H234" s="27" t="e">
        <x:f>IF($A234="","",IF(발령대장_설정!$B$7="","",발령대장_설정!$B$7))</x:f>
        <x:v>#NAME?</x:v>
      </x:c>
      <x:c r="I234" s="27" t="e">
        <x:f>IF($A234="","",IF(발령대장_설정!$B$8="","",발령대장_설정!$B$8))</x:f>
        <x:v>#NAME?</x:v>
      </x:c>
      <x:c r="J234" s="27" t="str">
        <x:f>""</x:f>
      </x:c>
    </x:row>
    <x:row r="235" ht="42" customHeight="1">
      <x:c r="A235" s="47" t="e">
        <x:f>IF(AND(대장!A117&lt;&gt;"",ISNUMBER(대장!F117),OR(대장!G117="",AND(ISNUMBER(대장!G117),대장!G117&gt;=대장!F117))),대장!F117,"")</x:f>
        <x:v>#NAME?</x:v>
      </x:c>
      <x:c r="B235" s="27" t="e">
        <x:f>IF($A235="","",IF(발령대장_설정!$B$4="","",발령대장_설정!$B$4))</x:f>
        <x:v>#NAME?</x:v>
      </x:c>
      <x:c r="C235" s="27" t="e">
        <x:f>IF($A235="","",대장!D117)</x:f>
        <x:v>#NAME?</x:v>
      </x:c>
      <x:c r="D235" s="27" t="e">
        <x:f>IF($A235="","",대장!A117)</x:f>
        <x:v>#NAME?</x:v>
      </x:c>
      <x:c r="E235" s="27" t="e">
        <x:f>IF($A235="","",IF(대장!J117&lt;&gt;"",대장!J117,대장!D117&amp;"에 임함"&amp;IF(대장!E117="","",CHAR(10)&amp;"고용형태: "&amp;대장!E117)&amp;IF(대장!I117="","",CHAR(10)&amp;"소정근로시간: "&amp;대장!I117)&amp;CHAR(10)&amp;"근로기간: "&amp;YEAR(대장!F117)&amp;"."&amp;MONTH(대장!F117)&amp;"."&amp;DAY(대장!F117)&amp;"."&amp;" ~ "&amp;IF(ISNUMBER(대장!G117),YEAR(대장!G117)&amp;"."&amp;MONTH(대장!G117)&amp;"."&amp;DAY(대장!G117)&amp;".","재직 중")))</x:f>
        <x:v>#NAME?</x:v>
      </x:c>
      <x:c r="F235" s="27" t="e">
        <x:f>IF($A235="","",IF(발령대장_설정!$B$5="","",발령대장_설정!$B$5))</x:f>
        <x:v>#NAME?</x:v>
      </x:c>
      <x:c r="G235" s="27" t="e">
        <x:f>IF($A235="","",IF(발령대장_설정!$B$6="","",발령대장_설정!$B$6))</x:f>
        <x:v>#NAME?</x:v>
      </x:c>
      <x:c r="H235" s="27" t="e">
        <x:f>IF($A235="","",IF(발령대장_설정!$B$7="","",발령대장_설정!$B$7))</x:f>
        <x:v>#NAME?</x:v>
      </x:c>
      <x:c r="I235" s="27" t="e">
        <x:f>IF($A235="","",IF(발령대장_설정!$B$8="","",발령대장_설정!$B$8))</x:f>
        <x:v>#NAME?</x:v>
      </x:c>
      <x:c r="J235" s="27" t="e">
        <x:f>IF($A235="","",IF(대장!K117="","",대장!K117))</x:f>
        <x:v>#NAME?</x:v>
      </x:c>
    </x:row>
    <x:row r="236" ht="42" customHeight="1">
      <x:c r="A236" s="47" t="e">
        <x:f>IF(AND(대장!A117&lt;&gt;"",ISNUMBER(대장!F117),ISNUMBER(대장!G117),대장!G117&gt;=대장!F117,대장!H117&lt;&gt;""),대장!G117,"")</x:f>
        <x:v>#NAME?</x:v>
      </x:c>
      <x:c r="B236" s="27" t="e">
        <x:f>IF($A236="","",IF(발령대장_설정!$B$4="","",발령대장_설정!$B$4))</x:f>
        <x:v>#NAME?</x:v>
      </x:c>
      <x:c r="C236" s="27" t="e">
        <x:f>IF($A236="","",대장!D117)</x:f>
        <x:v>#NAME?</x:v>
      </x:c>
      <x:c r="D236" s="27" t="e">
        <x:f>IF($A236="","",대장!A117)</x:f>
        <x:v>#NAME?</x:v>
      </x:c>
      <x:c r="E236" s="27" t="e">
        <x:f>IF($A236="","",IF(OR(ISNUMBER(SEARCH("계약만료",대장!H117&amp;"")),ISNUMBER(SEARCH("기간만료",대장!H117&amp;""))),"계약기간 만료로 퇴직",IF(ISNUMBER(SEARCH("의원면직",대장!H117&amp;"")),"의원면직",IF(ISNUMBER(SEARCH("정년퇴직",대장!H117&amp;"")),"정년퇴직",대장!H117))))</x:f>
        <x:v>#NAME?</x:v>
      </x:c>
      <x:c r="F236" s="27" t="e">
        <x:f>IF($A236="","",IF(발령대장_설정!$B$5="","",발령대장_설정!$B$5))</x:f>
        <x:v>#NAME?</x:v>
      </x:c>
      <x:c r="G236" s="27" t="e">
        <x:f>IF($A236="","",IF(발령대장_설정!$B$6="","",발령대장_설정!$B$6))</x:f>
        <x:v>#NAME?</x:v>
      </x:c>
      <x:c r="H236" s="27" t="e">
        <x:f>IF($A236="","",IF(발령대장_설정!$B$7="","",발령대장_설정!$B$7))</x:f>
        <x:v>#NAME?</x:v>
      </x:c>
      <x:c r="I236" s="27" t="e">
        <x:f>IF($A236="","",IF(발령대장_설정!$B$8="","",발령대장_설정!$B$8))</x:f>
        <x:v>#NAME?</x:v>
      </x:c>
      <x:c r="J236" s="27" t="str">
        <x:f>""</x:f>
      </x:c>
    </x:row>
    <x:row r="237" ht="42" customHeight="1">
      <x:c r="A237" s="47" t="e">
        <x:f>IF(AND(대장!A118&lt;&gt;"",ISNUMBER(대장!F118),OR(대장!G118="",AND(ISNUMBER(대장!G118),대장!G118&gt;=대장!F118))),대장!F118,"")</x:f>
        <x:v>#NAME?</x:v>
      </x:c>
      <x:c r="B237" s="27" t="e">
        <x:f>IF($A237="","",IF(발령대장_설정!$B$4="","",발령대장_설정!$B$4))</x:f>
        <x:v>#NAME?</x:v>
      </x:c>
      <x:c r="C237" s="27" t="e">
        <x:f>IF($A237="","",대장!D118)</x:f>
        <x:v>#NAME?</x:v>
      </x:c>
      <x:c r="D237" s="27" t="e">
        <x:f>IF($A237="","",대장!A118)</x:f>
        <x:v>#NAME?</x:v>
      </x:c>
      <x:c r="E237" s="27" t="e">
        <x:f>IF($A237="","",IF(대장!J118&lt;&gt;"",대장!J118,대장!D118&amp;"에 임함"&amp;IF(대장!E118="","",CHAR(10)&amp;"고용형태: "&amp;대장!E118)&amp;IF(대장!I118="","",CHAR(10)&amp;"소정근로시간: "&amp;대장!I118)&amp;CHAR(10)&amp;"근로기간: "&amp;YEAR(대장!F118)&amp;"."&amp;MONTH(대장!F118)&amp;"."&amp;DAY(대장!F118)&amp;"."&amp;" ~ "&amp;IF(ISNUMBER(대장!G118),YEAR(대장!G118)&amp;"."&amp;MONTH(대장!G118)&amp;"."&amp;DAY(대장!G118)&amp;".","재직 중")))</x:f>
        <x:v>#NAME?</x:v>
      </x:c>
      <x:c r="F237" s="27" t="e">
        <x:f>IF($A237="","",IF(발령대장_설정!$B$5="","",발령대장_설정!$B$5))</x:f>
        <x:v>#NAME?</x:v>
      </x:c>
      <x:c r="G237" s="27" t="e">
        <x:f>IF($A237="","",IF(발령대장_설정!$B$6="","",발령대장_설정!$B$6))</x:f>
        <x:v>#NAME?</x:v>
      </x:c>
      <x:c r="H237" s="27" t="e">
        <x:f>IF($A237="","",IF(발령대장_설정!$B$7="","",발령대장_설정!$B$7))</x:f>
        <x:v>#NAME?</x:v>
      </x:c>
      <x:c r="I237" s="27" t="e">
        <x:f>IF($A237="","",IF(발령대장_설정!$B$8="","",발령대장_설정!$B$8))</x:f>
        <x:v>#NAME?</x:v>
      </x:c>
      <x:c r="J237" s="27" t="e">
        <x:f>IF($A237="","",IF(대장!K118="","",대장!K118))</x:f>
        <x:v>#NAME?</x:v>
      </x:c>
    </x:row>
    <x:row r="238" ht="42" customHeight="1">
      <x:c r="A238" s="47" t="e">
        <x:f>IF(AND(대장!A118&lt;&gt;"",ISNUMBER(대장!F118),ISNUMBER(대장!G118),대장!G118&gt;=대장!F118,대장!H118&lt;&gt;""),대장!G118,"")</x:f>
        <x:v>#NAME?</x:v>
      </x:c>
      <x:c r="B238" s="27" t="e">
        <x:f>IF($A238="","",IF(발령대장_설정!$B$4="","",발령대장_설정!$B$4))</x:f>
        <x:v>#NAME?</x:v>
      </x:c>
      <x:c r="C238" s="27" t="e">
        <x:f>IF($A238="","",대장!D118)</x:f>
        <x:v>#NAME?</x:v>
      </x:c>
      <x:c r="D238" s="27" t="e">
        <x:f>IF($A238="","",대장!A118)</x:f>
        <x:v>#NAME?</x:v>
      </x:c>
      <x:c r="E238" s="27" t="e">
        <x:f>IF($A238="","",IF(OR(ISNUMBER(SEARCH("계약만료",대장!H118&amp;"")),ISNUMBER(SEARCH("기간만료",대장!H118&amp;""))),"계약기간 만료로 퇴직",IF(ISNUMBER(SEARCH("의원면직",대장!H118&amp;"")),"의원면직",IF(ISNUMBER(SEARCH("정년퇴직",대장!H118&amp;"")),"정년퇴직",대장!H118))))</x:f>
        <x:v>#NAME?</x:v>
      </x:c>
      <x:c r="F238" s="27" t="e">
        <x:f>IF($A238="","",IF(발령대장_설정!$B$5="","",발령대장_설정!$B$5))</x:f>
        <x:v>#NAME?</x:v>
      </x:c>
      <x:c r="G238" s="27" t="e">
        <x:f>IF($A238="","",IF(발령대장_설정!$B$6="","",발령대장_설정!$B$6))</x:f>
        <x:v>#NAME?</x:v>
      </x:c>
      <x:c r="H238" s="27" t="e">
        <x:f>IF($A238="","",IF(발령대장_설정!$B$7="","",발령대장_설정!$B$7))</x:f>
        <x:v>#NAME?</x:v>
      </x:c>
      <x:c r="I238" s="27" t="e">
        <x:f>IF($A238="","",IF(발령대장_설정!$B$8="","",발령대장_설정!$B$8))</x:f>
        <x:v>#NAME?</x:v>
      </x:c>
      <x:c r="J238" s="27" t="str">
        <x:f>""</x:f>
      </x:c>
    </x:row>
    <x:row r="239" ht="42" customHeight="1">
      <x:c r="A239" s="47" t="e">
        <x:f>IF(AND(대장!A119&lt;&gt;"",ISNUMBER(대장!F119),OR(대장!G119="",AND(ISNUMBER(대장!G119),대장!G119&gt;=대장!F119))),대장!F119,"")</x:f>
        <x:v>#NAME?</x:v>
      </x:c>
      <x:c r="B239" s="27" t="e">
        <x:f>IF($A239="","",IF(발령대장_설정!$B$4="","",발령대장_설정!$B$4))</x:f>
        <x:v>#NAME?</x:v>
      </x:c>
      <x:c r="C239" s="27" t="e">
        <x:f>IF($A239="","",대장!D119)</x:f>
        <x:v>#NAME?</x:v>
      </x:c>
      <x:c r="D239" s="27" t="e">
        <x:f>IF($A239="","",대장!A119)</x:f>
        <x:v>#NAME?</x:v>
      </x:c>
      <x:c r="E239" s="27" t="e">
        <x:f>IF($A239="","",IF(대장!J119&lt;&gt;"",대장!J119,대장!D119&amp;"에 임함"&amp;IF(대장!E119="","",CHAR(10)&amp;"고용형태: "&amp;대장!E119)&amp;IF(대장!I119="","",CHAR(10)&amp;"소정근로시간: "&amp;대장!I119)&amp;CHAR(10)&amp;"근로기간: "&amp;YEAR(대장!F119)&amp;"."&amp;MONTH(대장!F119)&amp;"."&amp;DAY(대장!F119)&amp;"."&amp;" ~ "&amp;IF(ISNUMBER(대장!G119),YEAR(대장!G119)&amp;"."&amp;MONTH(대장!G119)&amp;"."&amp;DAY(대장!G119)&amp;".","재직 중")))</x:f>
        <x:v>#NAME?</x:v>
      </x:c>
      <x:c r="F239" s="27" t="e">
        <x:f>IF($A239="","",IF(발령대장_설정!$B$5="","",발령대장_설정!$B$5))</x:f>
        <x:v>#NAME?</x:v>
      </x:c>
      <x:c r="G239" s="27" t="e">
        <x:f>IF($A239="","",IF(발령대장_설정!$B$6="","",발령대장_설정!$B$6))</x:f>
        <x:v>#NAME?</x:v>
      </x:c>
      <x:c r="H239" s="27" t="e">
        <x:f>IF($A239="","",IF(발령대장_설정!$B$7="","",발령대장_설정!$B$7))</x:f>
        <x:v>#NAME?</x:v>
      </x:c>
      <x:c r="I239" s="27" t="e">
        <x:f>IF($A239="","",IF(발령대장_설정!$B$8="","",발령대장_설정!$B$8))</x:f>
        <x:v>#NAME?</x:v>
      </x:c>
      <x:c r="J239" s="27" t="e">
        <x:f>IF($A239="","",IF(대장!K119="","",대장!K119))</x:f>
        <x:v>#NAME?</x:v>
      </x:c>
    </x:row>
    <x:row r="240" ht="42" customHeight="1">
      <x:c r="A240" s="47" t="e">
        <x:f>IF(AND(대장!A119&lt;&gt;"",ISNUMBER(대장!F119),ISNUMBER(대장!G119),대장!G119&gt;=대장!F119,대장!H119&lt;&gt;""),대장!G119,"")</x:f>
        <x:v>#NAME?</x:v>
      </x:c>
      <x:c r="B240" s="27" t="e">
        <x:f>IF($A240="","",IF(발령대장_설정!$B$4="","",발령대장_설정!$B$4))</x:f>
        <x:v>#NAME?</x:v>
      </x:c>
      <x:c r="C240" s="27" t="e">
        <x:f>IF($A240="","",대장!D119)</x:f>
        <x:v>#NAME?</x:v>
      </x:c>
      <x:c r="D240" s="27" t="e">
        <x:f>IF($A240="","",대장!A119)</x:f>
        <x:v>#NAME?</x:v>
      </x:c>
      <x:c r="E240" s="27" t="e">
        <x:f>IF($A240="","",IF(OR(ISNUMBER(SEARCH("계약만료",대장!H119&amp;"")),ISNUMBER(SEARCH("기간만료",대장!H119&amp;""))),"계약기간 만료로 퇴직",IF(ISNUMBER(SEARCH("의원면직",대장!H119&amp;"")),"의원면직",IF(ISNUMBER(SEARCH("정년퇴직",대장!H119&amp;"")),"정년퇴직",대장!H119))))</x:f>
        <x:v>#NAME?</x:v>
      </x:c>
      <x:c r="F240" s="27" t="e">
        <x:f>IF($A240="","",IF(발령대장_설정!$B$5="","",발령대장_설정!$B$5))</x:f>
        <x:v>#NAME?</x:v>
      </x:c>
      <x:c r="G240" s="27" t="e">
        <x:f>IF($A240="","",IF(발령대장_설정!$B$6="","",발령대장_설정!$B$6))</x:f>
        <x:v>#NAME?</x:v>
      </x:c>
      <x:c r="H240" s="27" t="e">
        <x:f>IF($A240="","",IF(발령대장_설정!$B$7="","",발령대장_설정!$B$7))</x:f>
        <x:v>#NAME?</x:v>
      </x:c>
      <x:c r="I240" s="27" t="e">
        <x:f>IF($A240="","",IF(발령대장_설정!$B$8="","",발령대장_설정!$B$8))</x:f>
        <x:v>#NAME?</x:v>
      </x:c>
      <x:c r="J240" s="27" t="str">
        <x:f>""</x:f>
      </x:c>
    </x:row>
    <x:row r="241" ht="42" customHeight="1">
      <x:c r="A241" s="47" t="e">
        <x:f>IF(AND(대장!A120&lt;&gt;"",ISNUMBER(대장!F120),OR(대장!G120="",AND(ISNUMBER(대장!G120),대장!G120&gt;=대장!F120))),대장!F120,"")</x:f>
        <x:v>#NAME?</x:v>
      </x:c>
      <x:c r="B241" s="27" t="e">
        <x:f>IF($A241="","",IF(발령대장_설정!$B$4="","",발령대장_설정!$B$4))</x:f>
        <x:v>#NAME?</x:v>
      </x:c>
      <x:c r="C241" s="27" t="e">
        <x:f>IF($A241="","",대장!D120)</x:f>
        <x:v>#NAME?</x:v>
      </x:c>
      <x:c r="D241" s="27" t="e">
        <x:f>IF($A241="","",대장!A120)</x:f>
        <x:v>#NAME?</x:v>
      </x:c>
      <x:c r="E241" s="27" t="e">
        <x:f>IF($A241="","",IF(대장!J120&lt;&gt;"",대장!J120,대장!D120&amp;"에 임함"&amp;IF(대장!E120="","",CHAR(10)&amp;"고용형태: "&amp;대장!E120)&amp;IF(대장!I120="","",CHAR(10)&amp;"소정근로시간: "&amp;대장!I120)&amp;CHAR(10)&amp;"근로기간: "&amp;YEAR(대장!F120)&amp;"."&amp;MONTH(대장!F120)&amp;"."&amp;DAY(대장!F120)&amp;"."&amp;" ~ "&amp;IF(ISNUMBER(대장!G120),YEAR(대장!G120)&amp;"."&amp;MONTH(대장!G120)&amp;"."&amp;DAY(대장!G120)&amp;".","재직 중")))</x:f>
        <x:v>#NAME?</x:v>
      </x:c>
      <x:c r="F241" s="27" t="e">
        <x:f>IF($A241="","",IF(발령대장_설정!$B$5="","",발령대장_설정!$B$5))</x:f>
        <x:v>#NAME?</x:v>
      </x:c>
      <x:c r="G241" s="27" t="e">
        <x:f>IF($A241="","",IF(발령대장_설정!$B$6="","",발령대장_설정!$B$6))</x:f>
        <x:v>#NAME?</x:v>
      </x:c>
      <x:c r="H241" s="27" t="e">
        <x:f>IF($A241="","",IF(발령대장_설정!$B$7="","",발령대장_설정!$B$7))</x:f>
        <x:v>#NAME?</x:v>
      </x:c>
      <x:c r="I241" s="27" t="e">
        <x:f>IF($A241="","",IF(발령대장_설정!$B$8="","",발령대장_설정!$B$8))</x:f>
        <x:v>#NAME?</x:v>
      </x:c>
      <x:c r="J241" s="27" t="e">
        <x:f>IF($A241="","",IF(대장!K120="","",대장!K120))</x:f>
        <x:v>#NAME?</x:v>
      </x:c>
    </x:row>
    <x:row r="242" ht="42" customHeight="1">
      <x:c r="A242" s="47" t="e">
        <x:f>IF(AND(대장!A120&lt;&gt;"",ISNUMBER(대장!F120),ISNUMBER(대장!G120),대장!G120&gt;=대장!F120,대장!H120&lt;&gt;""),대장!G120,"")</x:f>
        <x:v>#NAME?</x:v>
      </x:c>
      <x:c r="B242" s="27" t="e">
        <x:f>IF($A242="","",IF(발령대장_설정!$B$4="","",발령대장_설정!$B$4))</x:f>
        <x:v>#NAME?</x:v>
      </x:c>
      <x:c r="C242" s="27" t="e">
        <x:f>IF($A242="","",대장!D120)</x:f>
        <x:v>#NAME?</x:v>
      </x:c>
      <x:c r="D242" s="27" t="e">
        <x:f>IF($A242="","",대장!A120)</x:f>
        <x:v>#NAME?</x:v>
      </x:c>
      <x:c r="E242" s="27" t="e">
        <x:f>IF($A242="","",IF(OR(ISNUMBER(SEARCH("계약만료",대장!H120&amp;"")),ISNUMBER(SEARCH("기간만료",대장!H120&amp;""))),"계약기간 만료로 퇴직",IF(ISNUMBER(SEARCH("의원면직",대장!H120&amp;"")),"의원면직",IF(ISNUMBER(SEARCH("정년퇴직",대장!H120&amp;"")),"정년퇴직",대장!H120))))</x:f>
        <x:v>#NAME?</x:v>
      </x:c>
      <x:c r="F242" s="27" t="e">
        <x:f>IF($A242="","",IF(발령대장_설정!$B$5="","",발령대장_설정!$B$5))</x:f>
        <x:v>#NAME?</x:v>
      </x:c>
      <x:c r="G242" s="27" t="e">
        <x:f>IF($A242="","",IF(발령대장_설정!$B$6="","",발령대장_설정!$B$6))</x:f>
        <x:v>#NAME?</x:v>
      </x:c>
      <x:c r="H242" s="27" t="e">
        <x:f>IF($A242="","",IF(발령대장_설정!$B$7="","",발령대장_설정!$B$7))</x:f>
        <x:v>#NAME?</x:v>
      </x:c>
      <x:c r="I242" s="27" t="e">
        <x:f>IF($A242="","",IF(발령대장_설정!$B$8="","",발령대장_설정!$B$8))</x:f>
        <x:v>#NAME?</x:v>
      </x:c>
      <x:c r="J242" s="27" t="str">
        <x:f>""</x:f>
      </x:c>
    </x:row>
    <x:row r="243" ht="42" customHeight="1">
      <x:c r="A243" s="47" t="e">
        <x:f>IF(AND(대장!A121&lt;&gt;"",ISNUMBER(대장!F121),OR(대장!G121="",AND(ISNUMBER(대장!G121),대장!G121&gt;=대장!F121))),대장!F121,"")</x:f>
        <x:v>#NAME?</x:v>
      </x:c>
      <x:c r="B243" s="27" t="e">
        <x:f>IF($A243="","",IF(발령대장_설정!$B$4="","",발령대장_설정!$B$4))</x:f>
        <x:v>#NAME?</x:v>
      </x:c>
      <x:c r="C243" s="27" t="e">
        <x:f>IF($A243="","",대장!D121)</x:f>
        <x:v>#NAME?</x:v>
      </x:c>
      <x:c r="D243" s="27" t="e">
        <x:f>IF($A243="","",대장!A121)</x:f>
        <x:v>#NAME?</x:v>
      </x:c>
      <x:c r="E243" s="27" t="e">
        <x:f>IF($A243="","",IF(대장!J121&lt;&gt;"",대장!J121,대장!D121&amp;"에 임함"&amp;IF(대장!E121="","",CHAR(10)&amp;"고용형태: "&amp;대장!E121)&amp;IF(대장!I121="","",CHAR(10)&amp;"소정근로시간: "&amp;대장!I121)&amp;CHAR(10)&amp;"근로기간: "&amp;YEAR(대장!F121)&amp;"."&amp;MONTH(대장!F121)&amp;"."&amp;DAY(대장!F121)&amp;"."&amp;" ~ "&amp;IF(ISNUMBER(대장!G121),YEAR(대장!G121)&amp;"."&amp;MONTH(대장!G121)&amp;"."&amp;DAY(대장!G121)&amp;".","재직 중")))</x:f>
        <x:v>#NAME?</x:v>
      </x:c>
      <x:c r="F243" s="27" t="e">
        <x:f>IF($A243="","",IF(발령대장_설정!$B$5="","",발령대장_설정!$B$5))</x:f>
        <x:v>#NAME?</x:v>
      </x:c>
      <x:c r="G243" s="27" t="e">
        <x:f>IF($A243="","",IF(발령대장_설정!$B$6="","",발령대장_설정!$B$6))</x:f>
        <x:v>#NAME?</x:v>
      </x:c>
      <x:c r="H243" s="27" t="e">
        <x:f>IF($A243="","",IF(발령대장_설정!$B$7="","",발령대장_설정!$B$7))</x:f>
        <x:v>#NAME?</x:v>
      </x:c>
      <x:c r="I243" s="27" t="e">
        <x:f>IF($A243="","",IF(발령대장_설정!$B$8="","",발령대장_설정!$B$8))</x:f>
        <x:v>#NAME?</x:v>
      </x:c>
      <x:c r="J243" s="27" t="e">
        <x:f>IF($A243="","",IF(대장!K121="","",대장!K121))</x:f>
        <x:v>#NAME?</x:v>
      </x:c>
    </x:row>
    <x:row r="244" ht="42" customHeight="1">
      <x:c r="A244" s="47" t="e">
        <x:f>IF(AND(대장!A121&lt;&gt;"",ISNUMBER(대장!F121),ISNUMBER(대장!G121),대장!G121&gt;=대장!F121,대장!H121&lt;&gt;""),대장!G121,"")</x:f>
        <x:v>#NAME?</x:v>
      </x:c>
      <x:c r="B244" s="27" t="e">
        <x:f>IF($A244="","",IF(발령대장_설정!$B$4="","",발령대장_설정!$B$4))</x:f>
        <x:v>#NAME?</x:v>
      </x:c>
      <x:c r="C244" s="27" t="e">
        <x:f>IF($A244="","",대장!D121)</x:f>
        <x:v>#NAME?</x:v>
      </x:c>
      <x:c r="D244" s="27" t="e">
        <x:f>IF($A244="","",대장!A121)</x:f>
        <x:v>#NAME?</x:v>
      </x:c>
      <x:c r="E244" s="27" t="e">
        <x:f>IF($A244="","",IF(OR(ISNUMBER(SEARCH("계약만료",대장!H121&amp;"")),ISNUMBER(SEARCH("기간만료",대장!H121&amp;""))),"계약기간 만료로 퇴직",IF(ISNUMBER(SEARCH("의원면직",대장!H121&amp;"")),"의원면직",IF(ISNUMBER(SEARCH("정년퇴직",대장!H121&amp;"")),"정년퇴직",대장!H121))))</x:f>
        <x:v>#NAME?</x:v>
      </x:c>
      <x:c r="F244" s="27" t="e">
        <x:f>IF($A244="","",IF(발령대장_설정!$B$5="","",발령대장_설정!$B$5))</x:f>
        <x:v>#NAME?</x:v>
      </x:c>
      <x:c r="G244" s="27" t="e">
        <x:f>IF($A244="","",IF(발령대장_설정!$B$6="","",발령대장_설정!$B$6))</x:f>
        <x:v>#NAME?</x:v>
      </x:c>
      <x:c r="H244" s="27" t="e">
        <x:f>IF($A244="","",IF(발령대장_설정!$B$7="","",발령대장_설정!$B$7))</x:f>
        <x:v>#NAME?</x:v>
      </x:c>
      <x:c r="I244" s="27" t="e">
        <x:f>IF($A244="","",IF(발령대장_설정!$B$8="","",발령대장_설정!$B$8))</x:f>
        <x:v>#NAME?</x:v>
      </x:c>
      <x:c r="J244" s="27" t="str">
        <x:f>""</x:f>
      </x:c>
    </x:row>
    <x:row r="245" ht="42" customHeight="1">
      <x:c r="A245" s="47" t="e">
        <x:f>IF(AND(대장!A122&lt;&gt;"",ISNUMBER(대장!F122),OR(대장!G122="",AND(ISNUMBER(대장!G122),대장!G122&gt;=대장!F122))),대장!F122,"")</x:f>
        <x:v>#NAME?</x:v>
      </x:c>
      <x:c r="B245" s="27" t="e">
        <x:f>IF($A245="","",IF(발령대장_설정!$B$4="","",발령대장_설정!$B$4))</x:f>
        <x:v>#NAME?</x:v>
      </x:c>
      <x:c r="C245" s="27" t="e">
        <x:f>IF($A245="","",대장!D122)</x:f>
        <x:v>#NAME?</x:v>
      </x:c>
      <x:c r="D245" s="27" t="e">
        <x:f>IF($A245="","",대장!A122)</x:f>
        <x:v>#NAME?</x:v>
      </x:c>
      <x:c r="E245" s="27" t="e">
        <x:f>IF($A245="","",IF(대장!J122&lt;&gt;"",대장!J122,대장!D122&amp;"에 임함"&amp;IF(대장!E122="","",CHAR(10)&amp;"고용형태: "&amp;대장!E122)&amp;IF(대장!I122="","",CHAR(10)&amp;"소정근로시간: "&amp;대장!I122)&amp;CHAR(10)&amp;"근로기간: "&amp;YEAR(대장!F122)&amp;"."&amp;MONTH(대장!F122)&amp;"."&amp;DAY(대장!F122)&amp;"."&amp;" ~ "&amp;IF(ISNUMBER(대장!G122),YEAR(대장!G122)&amp;"."&amp;MONTH(대장!G122)&amp;"."&amp;DAY(대장!G122)&amp;".","재직 중")))</x:f>
        <x:v>#NAME?</x:v>
      </x:c>
      <x:c r="F245" s="27" t="e">
        <x:f>IF($A245="","",IF(발령대장_설정!$B$5="","",발령대장_설정!$B$5))</x:f>
        <x:v>#NAME?</x:v>
      </x:c>
      <x:c r="G245" s="27" t="e">
        <x:f>IF($A245="","",IF(발령대장_설정!$B$6="","",발령대장_설정!$B$6))</x:f>
        <x:v>#NAME?</x:v>
      </x:c>
      <x:c r="H245" s="27" t="e">
        <x:f>IF($A245="","",IF(발령대장_설정!$B$7="","",발령대장_설정!$B$7))</x:f>
        <x:v>#NAME?</x:v>
      </x:c>
      <x:c r="I245" s="27" t="e">
        <x:f>IF($A245="","",IF(발령대장_설정!$B$8="","",발령대장_설정!$B$8))</x:f>
        <x:v>#NAME?</x:v>
      </x:c>
      <x:c r="J245" s="27" t="e">
        <x:f>IF($A245="","",IF(대장!K122="","",대장!K122))</x:f>
        <x:v>#NAME?</x:v>
      </x:c>
    </x:row>
    <x:row r="246" ht="42" customHeight="1">
      <x:c r="A246" s="47" t="e">
        <x:f>IF(AND(대장!A122&lt;&gt;"",ISNUMBER(대장!F122),ISNUMBER(대장!G122),대장!G122&gt;=대장!F122,대장!H122&lt;&gt;""),대장!G122,"")</x:f>
        <x:v>#NAME?</x:v>
      </x:c>
      <x:c r="B246" s="27" t="e">
        <x:f>IF($A246="","",IF(발령대장_설정!$B$4="","",발령대장_설정!$B$4))</x:f>
        <x:v>#NAME?</x:v>
      </x:c>
      <x:c r="C246" s="27" t="e">
        <x:f>IF($A246="","",대장!D122)</x:f>
        <x:v>#NAME?</x:v>
      </x:c>
      <x:c r="D246" s="27" t="e">
        <x:f>IF($A246="","",대장!A122)</x:f>
        <x:v>#NAME?</x:v>
      </x:c>
      <x:c r="E246" s="27" t="e">
        <x:f>IF($A246="","",IF(OR(ISNUMBER(SEARCH("계약만료",대장!H122&amp;"")),ISNUMBER(SEARCH("기간만료",대장!H122&amp;""))),"계약기간 만료로 퇴직",IF(ISNUMBER(SEARCH("의원면직",대장!H122&amp;"")),"의원면직",IF(ISNUMBER(SEARCH("정년퇴직",대장!H122&amp;"")),"정년퇴직",대장!H122))))</x:f>
        <x:v>#NAME?</x:v>
      </x:c>
      <x:c r="F246" s="27" t="e">
        <x:f>IF($A246="","",IF(발령대장_설정!$B$5="","",발령대장_설정!$B$5))</x:f>
        <x:v>#NAME?</x:v>
      </x:c>
      <x:c r="G246" s="27" t="e">
        <x:f>IF($A246="","",IF(발령대장_설정!$B$6="","",발령대장_설정!$B$6))</x:f>
        <x:v>#NAME?</x:v>
      </x:c>
      <x:c r="H246" s="27" t="e">
        <x:f>IF($A246="","",IF(발령대장_설정!$B$7="","",발령대장_설정!$B$7))</x:f>
        <x:v>#NAME?</x:v>
      </x:c>
      <x:c r="I246" s="27" t="e">
        <x:f>IF($A246="","",IF(발령대장_설정!$B$8="","",발령대장_설정!$B$8))</x:f>
        <x:v>#NAME?</x:v>
      </x:c>
      <x:c r="J246" s="27" t="str">
        <x:f>""</x:f>
      </x:c>
    </x:row>
    <x:row r="247" ht="42" customHeight="1">
      <x:c r="A247" s="47" t="e">
        <x:f>IF(AND(대장!A123&lt;&gt;"",ISNUMBER(대장!F123),OR(대장!G123="",AND(ISNUMBER(대장!G123),대장!G123&gt;=대장!F123))),대장!F123,"")</x:f>
        <x:v>#NAME?</x:v>
      </x:c>
      <x:c r="B247" s="27" t="e">
        <x:f>IF($A247="","",IF(발령대장_설정!$B$4="","",발령대장_설정!$B$4))</x:f>
        <x:v>#NAME?</x:v>
      </x:c>
      <x:c r="C247" s="27" t="e">
        <x:f>IF($A247="","",대장!D123)</x:f>
        <x:v>#NAME?</x:v>
      </x:c>
      <x:c r="D247" s="27" t="e">
        <x:f>IF($A247="","",대장!A123)</x:f>
        <x:v>#NAME?</x:v>
      </x:c>
      <x:c r="E247" s="27" t="e">
        <x:f>IF($A247="","",IF(대장!J123&lt;&gt;"",대장!J123,대장!D123&amp;"에 임함"&amp;IF(대장!E123="","",CHAR(10)&amp;"고용형태: "&amp;대장!E123)&amp;IF(대장!I123="","",CHAR(10)&amp;"소정근로시간: "&amp;대장!I123)&amp;CHAR(10)&amp;"근로기간: "&amp;YEAR(대장!F123)&amp;"."&amp;MONTH(대장!F123)&amp;"."&amp;DAY(대장!F123)&amp;"."&amp;" ~ "&amp;IF(ISNUMBER(대장!G123),YEAR(대장!G123)&amp;"."&amp;MONTH(대장!G123)&amp;"."&amp;DAY(대장!G123)&amp;".","재직 중")))</x:f>
        <x:v>#NAME?</x:v>
      </x:c>
      <x:c r="F247" s="27" t="e">
        <x:f>IF($A247="","",IF(발령대장_설정!$B$5="","",발령대장_설정!$B$5))</x:f>
        <x:v>#NAME?</x:v>
      </x:c>
      <x:c r="G247" s="27" t="e">
        <x:f>IF($A247="","",IF(발령대장_설정!$B$6="","",발령대장_설정!$B$6))</x:f>
        <x:v>#NAME?</x:v>
      </x:c>
      <x:c r="H247" s="27" t="e">
        <x:f>IF($A247="","",IF(발령대장_설정!$B$7="","",발령대장_설정!$B$7))</x:f>
        <x:v>#NAME?</x:v>
      </x:c>
      <x:c r="I247" s="27" t="e">
        <x:f>IF($A247="","",IF(발령대장_설정!$B$8="","",발령대장_설정!$B$8))</x:f>
        <x:v>#NAME?</x:v>
      </x:c>
      <x:c r="J247" s="27" t="e">
        <x:f>IF($A247="","",IF(대장!K123="","",대장!K123))</x:f>
        <x:v>#NAME?</x:v>
      </x:c>
    </x:row>
    <x:row r="248" ht="42" customHeight="1">
      <x:c r="A248" s="47" t="e">
        <x:f>IF(AND(대장!A123&lt;&gt;"",ISNUMBER(대장!F123),ISNUMBER(대장!G123),대장!G123&gt;=대장!F123,대장!H123&lt;&gt;""),대장!G123,"")</x:f>
        <x:v>#NAME?</x:v>
      </x:c>
      <x:c r="B248" s="27" t="e">
        <x:f>IF($A248="","",IF(발령대장_설정!$B$4="","",발령대장_설정!$B$4))</x:f>
        <x:v>#NAME?</x:v>
      </x:c>
      <x:c r="C248" s="27" t="e">
        <x:f>IF($A248="","",대장!D123)</x:f>
        <x:v>#NAME?</x:v>
      </x:c>
      <x:c r="D248" s="27" t="e">
        <x:f>IF($A248="","",대장!A123)</x:f>
        <x:v>#NAME?</x:v>
      </x:c>
      <x:c r="E248" s="27" t="e">
        <x:f>IF($A248="","",IF(OR(ISNUMBER(SEARCH("계약만료",대장!H123&amp;"")),ISNUMBER(SEARCH("기간만료",대장!H123&amp;""))),"계약기간 만료로 퇴직",IF(ISNUMBER(SEARCH("의원면직",대장!H123&amp;"")),"의원면직",IF(ISNUMBER(SEARCH("정년퇴직",대장!H123&amp;"")),"정년퇴직",대장!H123))))</x:f>
        <x:v>#NAME?</x:v>
      </x:c>
      <x:c r="F248" s="27" t="e">
        <x:f>IF($A248="","",IF(발령대장_설정!$B$5="","",발령대장_설정!$B$5))</x:f>
        <x:v>#NAME?</x:v>
      </x:c>
      <x:c r="G248" s="27" t="e">
        <x:f>IF($A248="","",IF(발령대장_설정!$B$6="","",발령대장_설정!$B$6))</x:f>
        <x:v>#NAME?</x:v>
      </x:c>
      <x:c r="H248" s="27" t="e">
        <x:f>IF($A248="","",IF(발령대장_설정!$B$7="","",발령대장_설정!$B$7))</x:f>
        <x:v>#NAME?</x:v>
      </x:c>
      <x:c r="I248" s="27" t="e">
        <x:f>IF($A248="","",IF(발령대장_설정!$B$8="","",발령대장_설정!$B$8))</x:f>
        <x:v>#NAME?</x:v>
      </x:c>
      <x:c r="J248" s="27" t="str">
        <x:f>""</x:f>
      </x:c>
    </x:row>
    <x:row r="249" ht="42" customHeight="1">
      <x:c r="A249" s="47" t="e">
        <x:f>IF(AND(대장!A124&lt;&gt;"",ISNUMBER(대장!F124),OR(대장!G124="",AND(ISNUMBER(대장!G124),대장!G124&gt;=대장!F124))),대장!F124,"")</x:f>
        <x:v>#NAME?</x:v>
      </x:c>
      <x:c r="B249" s="27" t="e">
        <x:f>IF($A249="","",IF(발령대장_설정!$B$4="","",발령대장_설정!$B$4))</x:f>
        <x:v>#NAME?</x:v>
      </x:c>
      <x:c r="C249" s="27" t="e">
        <x:f>IF($A249="","",대장!D124)</x:f>
        <x:v>#NAME?</x:v>
      </x:c>
      <x:c r="D249" s="27" t="e">
        <x:f>IF($A249="","",대장!A124)</x:f>
        <x:v>#NAME?</x:v>
      </x:c>
      <x:c r="E249" s="27" t="e">
        <x:f>IF($A249="","",IF(대장!J124&lt;&gt;"",대장!J124,대장!D124&amp;"에 임함"&amp;IF(대장!E124="","",CHAR(10)&amp;"고용형태: "&amp;대장!E124)&amp;IF(대장!I124="","",CHAR(10)&amp;"소정근로시간: "&amp;대장!I124)&amp;CHAR(10)&amp;"근로기간: "&amp;YEAR(대장!F124)&amp;"."&amp;MONTH(대장!F124)&amp;"."&amp;DAY(대장!F124)&amp;"."&amp;" ~ "&amp;IF(ISNUMBER(대장!G124),YEAR(대장!G124)&amp;"."&amp;MONTH(대장!G124)&amp;"."&amp;DAY(대장!G124)&amp;".","재직 중")))</x:f>
        <x:v>#NAME?</x:v>
      </x:c>
      <x:c r="F249" s="27" t="e">
        <x:f>IF($A249="","",IF(발령대장_설정!$B$5="","",발령대장_설정!$B$5))</x:f>
        <x:v>#NAME?</x:v>
      </x:c>
      <x:c r="G249" s="27" t="e">
        <x:f>IF($A249="","",IF(발령대장_설정!$B$6="","",발령대장_설정!$B$6))</x:f>
        <x:v>#NAME?</x:v>
      </x:c>
      <x:c r="H249" s="27" t="e">
        <x:f>IF($A249="","",IF(발령대장_설정!$B$7="","",발령대장_설정!$B$7))</x:f>
        <x:v>#NAME?</x:v>
      </x:c>
      <x:c r="I249" s="27" t="e">
        <x:f>IF($A249="","",IF(발령대장_설정!$B$8="","",발령대장_설정!$B$8))</x:f>
        <x:v>#NAME?</x:v>
      </x:c>
      <x:c r="J249" s="27" t="e">
        <x:f>IF($A249="","",IF(대장!K124="","",대장!K124))</x:f>
        <x:v>#NAME?</x:v>
      </x:c>
    </x:row>
    <x:row r="250" ht="42" customHeight="1">
      <x:c r="A250" s="47" t="e">
        <x:f>IF(AND(대장!A124&lt;&gt;"",ISNUMBER(대장!F124),ISNUMBER(대장!G124),대장!G124&gt;=대장!F124,대장!H124&lt;&gt;""),대장!G124,"")</x:f>
        <x:v>#NAME?</x:v>
      </x:c>
      <x:c r="B250" s="27" t="e">
        <x:f>IF($A250="","",IF(발령대장_설정!$B$4="","",발령대장_설정!$B$4))</x:f>
        <x:v>#NAME?</x:v>
      </x:c>
      <x:c r="C250" s="27" t="e">
        <x:f>IF($A250="","",대장!D124)</x:f>
        <x:v>#NAME?</x:v>
      </x:c>
      <x:c r="D250" s="27" t="e">
        <x:f>IF($A250="","",대장!A124)</x:f>
        <x:v>#NAME?</x:v>
      </x:c>
      <x:c r="E250" s="27" t="e">
        <x:f>IF($A250="","",IF(OR(ISNUMBER(SEARCH("계약만료",대장!H124&amp;"")),ISNUMBER(SEARCH("기간만료",대장!H124&amp;""))),"계약기간 만료로 퇴직",IF(ISNUMBER(SEARCH("의원면직",대장!H124&amp;"")),"의원면직",IF(ISNUMBER(SEARCH("정년퇴직",대장!H124&amp;"")),"정년퇴직",대장!H124))))</x:f>
        <x:v>#NAME?</x:v>
      </x:c>
      <x:c r="F250" s="27" t="e">
        <x:f>IF($A250="","",IF(발령대장_설정!$B$5="","",발령대장_설정!$B$5))</x:f>
        <x:v>#NAME?</x:v>
      </x:c>
      <x:c r="G250" s="27" t="e">
        <x:f>IF($A250="","",IF(발령대장_설정!$B$6="","",발령대장_설정!$B$6))</x:f>
        <x:v>#NAME?</x:v>
      </x:c>
      <x:c r="H250" s="27" t="e">
        <x:f>IF($A250="","",IF(발령대장_설정!$B$7="","",발령대장_설정!$B$7))</x:f>
        <x:v>#NAME?</x:v>
      </x:c>
      <x:c r="I250" s="27" t="e">
        <x:f>IF($A250="","",IF(발령대장_설정!$B$8="","",발령대장_설정!$B$8))</x:f>
        <x:v>#NAME?</x:v>
      </x:c>
      <x:c r="J250" s="27" t="str">
        <x:f>""</x:f>
      </x:c>
    </x:row>
    <x:row r="251" ht="42" customHeight="1">
      <x:c r="A251" s="47" t="e">
        <x:f>IF(AND(대장!A125&lt;&gt;"",ISNUMBER(대장!F125),OR(대장!G125="",AND(ISNUMBER(대장!G125),대장!G125&gt;=대장!F125))),대장!F125,"")</x:f>
        <x:v>#NAME?</x:v>
      </x:c>
      <x:c r="B251" s="27" t="e">
        <x:f>IF($A251="","",IF(발령대장_설정!$B$4="","",발령대장_설정!$B$4))</x:f>
        <x:v>#NAME?</x:v>
      </x:c>
      <x:c r="C251" s="27" t="e">
        <x:f>IF($A251="","",대장!D125)</x:f>
        <x:v>#NAME?</x:v>
      </x:c>
      <x:c r="D251" s="27" t="e">
        <x:f>IF($A251="","",대장!A125)</x:f>
        <x:v>#NAME?</x:v>
      </x:c>
      <x:c r="E251" s="27" t="e">
        <x:f>IF($A251="","",IF(대장!J125&lt;&gt;"",대장!J125,대장!D125&amp;"에 임함"&amp;IF(대장!E125="","",CHAR(10)&amp;"고용형태: "&amp;대장!E125)&amp;IF(대장!I125="","",CHAR(10)&amp;"소정근로시간: "&amp;대장!I125)&amp;CHAR(10)&amp;"근로기간: "&amp;YEAR(대장!F125)&amp;"."&amp;MONTH(대장!F125)&amp;"."&amp;DAY(대장!F125)&amp;"."&amp;" ~ "&amp;IF(ISNUMBER(대장!G125),YEAR(대장!G125)&amp;"."&amp;MONTH(대장!G125)&amp;"."&amp;DAY(대장!G125)&amp;".","재직 중")))</x:f>
        <x:v>#NAME?</x:v>
      </x:c>
      <x:c r="F251" s="27" t="e">
        <x:f>IF($A251="","",IF(발령대장_설정!$B$5="","",발령대장_설정!$B$5))</x:f>
        <x:v>#NAME?</x:v>
      </x:c>
      <x:c r="G251" s="27" t="e">
        <x:f>IF($A251="","",IF(발령대장_설정!$B$6="","",발령대장_설정!$B$6))</x:f>
        <x:v>#NAME?</x:v>
      </x:c>
      <x:c r="H251" s="27" t="e">
        <x:f>IF($A251="","",IF(발령대장_설정!$B$7="","",발령대장_설정!$B$7))</x:f>
        <x:v>#NAME?</x:v>
      </x:c>
      <x:c r="I251" s="27" t="e">
        <x:f>IF($A251="","",IF(발령대장_설정!$B$8="","",발령대장_설정!$B$8))</x:f>
        <x:v>#NAME?</x:v>
      </x:c>
      <x:c r="J251" s="27" t="e">
        <x:f>IF($A251="","",IF(대장!K125="","",대장!K125))</x:f>
        <x:v>#NAME?</x:v>
      </x:c>
    </x:row>
    <x:row r="252" ht="42" customHeight="1">
      <x:c r="A252" s="47" t="e">
        <x:f>IF(AND(대장!A125&lt;&gt;"",ISNUMBER(대장!F125),ISNUMBER(대장!G125),대장!G125&gt;=대장!F125,대장!H125&lt;&gt;""),대장!G125,"")</x:f>
        <x:v>#NAME?</x:v>
      </x:c>
      <x:c r="B252" s="27" t="e">
        <x:f>IF($A252="","",IF(발령대장_설정!$B$4="","",발령대장_설정!$B$4))</x:f>
        <x:v>#NAME?</x:v>
      </x:c>
      <x:c r="C252" s="27" t="e">
        <x:f>IF($A252="","",대장!D125)</x:f>
        <x:v>#NAME?</x:v>
      </x:c>
      <x:c r="D252" s="27" t="e">
        <x:f>IF($A252="","",대장!A125)</x:f>
        <x:v>#NAME?</x:v>
      </x:c>
      <x:c r="E252" s="27" t="e">
        <x:f>IF($A252="","",IF(OR(ISNUMBER(SEARCH("계약만료",대장!H125&amp;"")),ISNUMBER(SEARCH("기간만료",대장!H125&amp;""))),"계약기간 만료로 퇴직",IF(ISNUMBER(SEARCH("의원면직",대장!H125&amp;"")),"의원면직",IF(ISNUMBER(SEARCH("정년퇴직",대장!H125&amp;"")),"정년퇴직",대장!H125))))</x:f>
        <x:v>#NAME?</x:v>
      </x:c>
      <x:c r="F252" s="27" t="e">
        <x:f>IF($A252="","",IF(발령대장_설정!$B$5="","",발령대장_설정!$B$5))</x:f>
        <x:v>#NAME?</x:v>
      </x:c>
      <x:c r="G252" s="27" t="e">
        <x:f>IF($A252="","",IF(발령대장_설정!$B$6="","",발령대장_설정!$B$6))</x:f>
        <x:v>#NAME?</x:v>
      </x:c>
      <x:c r="H252" s="27" t="e">
        <x:f>IF($A252="","",IF(발령대장_설정!$B$7="","",발령대장_설정!$B$7))</x:f>
        <x:v>#NAME?</x:v>
      </x:c>
      <x:c r="I252" s="27" t="e">
        <x:f>IF($A252="","",IF(발령대장_설정!$B$8="","",발령대장_설정!$B$8))</x:f>
        <x:v>#NAME?</x:v>
      </x:c>
      <x:c r="J252" s="27" t="str">
        <x:f>""</x:f>
      </x:c>
    </x:row>
    <x:row r="253" ht="42" customHeight="1">
      <x:c r="A253" s="47" t="e">
        <x:f>IF(AND(대장!A126&lt;&gt;"",ISNUMBER(대장!F126),OR(대장!G126="",AND(ISNUMBER(대장!G126),대장!G126&gt;=대장!F126))),대장!F126,"")</x:f>
        <x:v>#NAME?</x:v>
      </x:c>
      <x:c r="B253" s="27" t="e">
        <x:f>IF($A253="","",IF(발령대장_설정!$B$4="","",발령대장_설정!$B$4))</x:f>
        <x:v>#NAME?</x:v>
      </x:c>
      <x:c r="C253" s="27" t="e">
        <x:f>IF($A253="","",대장!D126)</x:f>
        <x:v>#NAME?</x:v>
      </x:c>
      <x:c r="D253" s="27" t="e">
        <x:f>IF($A253="","",대장!A126)</x:f>
        <x:v>#NAME?</x:v>
      </x:c>
      <x:c r="E253" s="27" t="e">
        <x:f>IF($A253="","",IF(대장!J126&lt;&gt;"",대장!J126,대장!D126&amp;"에 임함"&amp;IF(대장!E126="","",CHAR(10)&amp;"고용형태: "&amp;대장!E126)&amp;IF(대장!I126="","",CHAR(10)&amp;"소정근로시간: "&amp;대장!I126)&amp;CHAR(10)&amp;"근로기간: "&amp;YEAR(대장!F126)&amp;"."&amp;MONTH(대장!F126)&amp;"."&amp;DAY(대장!F126)&amp;"."&amp;" ~ "&amp;IF(ISNUMBER(대장!G126),YEAR(대장!G126)&amp;"."&amp;MONTH(대장!G126)&amp;"."&amp;DAY(대장!G126)&amp;".","재직 중")))</x:f>
        <x:v>#NAME?</x:v>
      </x:c>
      <x:c r="F253" s="27" t="e">
        <x:f>IF($A253="","",IF(발령대장_설정!$B$5="","",발령대장_설정!$B$5))</x:f>
        <x:v>#NAME?</x:v>
      </x:c>
      <x:c r="G253" s="27" t="e">
        <x:f>IF($A253="","",IF(발령대장_설정!$B$6="","",발령대장_설정!$B$6))</x:f>
        <x:v>#NAME?</x:v>
      </x:c>
      <x:c r="H253" s="27" t="e">
        <x:f>IF($A253="","",IF(발령대장_설정!$B$7="","",발령대장_설정!$B$7))</x:f>
        <x:v>#NAME?</x:v>
      </x:c>
      <x:c r="I253" s="27" t="e">
        <x:f>IF($A253="","",IF(발령대장_설정!$B$8="","",발령대장_설정!$B$8))</x:f>
        <x:v>#NAME?</x:v>
      </x:c>
      <x:c r="J253" s="27" t="e">
        <x:f>IF($A253="","",IF(대장!K126="","",대장!K126))</x:f>
        <x:v>#NAME?</x:v>
      </x:c>
    </x:row>
    <x:row r="254" ht="42" customHeight="1">
      <x:c r="A254" s="47" t="e">
        <x:f>IF(AND(대장!A126&lt;&gt;"",ISNUMBER(대장!F126),ISNUMBER(대장!G126),대장!G126&gt;=대장!F126,대장!H126&lt;&gt;""),대장!G126,"")</x:f>
        <x:v>#NAME?</x:v>
      </x:c>
      <x:c r="B254" s="27" t="e">
        <x:f>IF($A254="","",IF(발령대장_설정!$B$4="","",발령대장_설정!$B$4))</x:f>
        <x:v>#NAME?</x:v>
      </x:c>
      <x:c r="C254" s="27" t="e">
        <x:f>IF($A254="","",대장!D126)</x:f>
        <x:v>#NAME?</x:v>
      </x:c>
      <x:c r="D254" s="27" t="e">
        <x:f>IF($A254="","",대장!A126)</x:f>
        <x:v>#NAME?</x:v>
      </x:c>
      <x:c r="E254" s="27" t="e">
        <x:f>IF($A254="","",IF(OR(ISNUMBER(SEARCH("계약만료",대장!H126&amp;"")),ISNUMBER(SEARCH("기간만료",대장!H126&amp;""))),"계약기간 만료로 퇴직",IF(ISNUMBER(SEARCH("의원면직",대장!H126&amp;"")),"의원면직",IF(ISNUMBER(SEARCH("정년퇴직",대장!H126&amp;"")),"정년퇴직",대장!H126))))</x:f>
        <x:v>#NAME?</x:v>
      </x:c>
      <x:c r="F254" s="27" t="e">
        <x:f>IF($A254="","",IF(발령대장_설정!$B$5="","",발령대장_설정!$B$5))</x:f>
        <x:v>#NAME?</x:v>
      </x:c>
      <x:c r="G254" s="27" t="e">
        <x:f>IF($A254="","",IF(발령대장_설정!$B$6="","",발령대장_설정!$B$6))</x:f>
        <x:v>#NAME?</x:v>
      </x:c>
      <x:c r="H254" s="27" t="e">
        <x:f>IF($A254="","",IF(발령대장_설정!$B$7="","",발령대장_설정!$B$7))</x:f>
        <x:v>#NAME?</x:v>
      </x:c>
      <x:c r="I254" s="27" t="e">
        <x:f>IF($A254="","",IF(발령대장_설정!$B$8="","",발령대장_설정!$B$8))</x:f>
        <x:v>#NAME?</x:v>
      </x:c>
      <x:c r="J254" s="27" t="str">
        <x:f>""</x:f>
      </x:c>
    </x:row>
    <x:row r="255" ht="42" customHeight="1">
      <x:c r="A255" s="47" t="e">
        <x:f>IF(AND(대장!A127&lt;&gt;"",ISNUMBER(대장!F127),OR(대장!G127="",AND(ISNUMBER(대장!G127),대장!G127&gt;=대장!F127))),대장!F127,"")</x:f>
        <x:v>#NAME?</x:v>
      </x:c>
      <x:c r="B255" s="27" t="e">
        <x:f>IF($A255="","",IF(발령대장_설정!$B$4="","",발령대장_설정!$B$4))</x:f>
        <x:v>#NAME?</x:v>
      </x:c>
      <x:c r="C255" s="27" t="e">
        <x:f>IF($A255="","",대장!D127)</x:f>
        <x:v>#NAME?</x:v>
      </x:c>
      <x:c r="D255" s="27" t="e">
        <x:f>IF($A255="","",대장!A127)</x:f>
        <x:v>#NAME?</x:v>
      </x:c>
      <x:c r="E255" s="27" t="e">
        <x:f>IF($A255="","",IF(대장!J127&lt;&gt;"",대장!J127,대장!D127&amp;"에 임함"&amp;IF(대장!E127="","",CHAR(10)&amp;"고용형태: "&amp;대장!E127)&amp;IF(대장!I127="","",CHAR(10)&amp;"소정근로시간: "&amp;대장!I127)&amp;CHAR(10)&amp;"근로기간: "&amp;YEAR(대장!F127)&amp;"."&amp;MONTH(대장!F127)&amp;"."&amp;DAY(대장!F127)&amp;"."&amp;" ~ "&amp;IF(ISNUMBER(대장!G127),YEAR(대장!G127)&amp;"."&amp;MONTH(대장!G127)&amp;"."&amp;DAY(대장!G127)&amp;".","재직 중")))</x:f>
        <x:v>#NAME?</x:v>
      </x:c>
      <x:c r="F255" s="27" t="e">
        <x:f>IF($A255="","",IF(발령대장_설정!$B$5="","",발령대장_설정!$B$5))</x:f>
        <x:v>#NAME?</x:v>
      </x:c>
      <x:c r="G255" s="27" t="e">
        <x:f>IF($A255="","",IF(발령대장_설정!$B$6="","",발령대장_설정!$B$6))</x:f>
        <x:v>#NAME?</x:v>
      </x:c>
      <x:c r="H255" s="27" t="e">
        <x:f>IF($A255="","",IF(발령대장_설정!$B$7="","",발령대장_설정!$B$7))</x:f>
        <x:v>#NAME?</x:v>
      </x:c>
      <x:c r="I255" s="27" t="e">
        <x:f>IF($A255="","",IF(발령대장_설정!$B$8="","",발령대장_설정!$B$8))</x:f>
        <x:v>#NAME?</x:v>
      </x:c>
      <x:c r="J255" s="27" t="e">
        <x:f>IF($A255="","",IF(대장!K127="","",대장!K127))</x:f>
        <x:v>#NAME?</x:v>
      </x:c>
    </x:row>
    <x:row r="256" ht="42" customHeight="1">
      <x:c r="A256" s="47" t="e">
        <x:f>IF(AND(대장!A127&lt;&gt;"",ISNUMBER(대장!F127),ISNUMBER(대장!G127),대장!G127&gt;=대장!F127,대장!H127&lt;&gt;""),대장!G127,"")</x:f>
        <x:v>#NAME?</x:v>
      </x:c>
      <x:c r="B256" s="27" t="e">
        <x:f>IF($A256="","",IF(발령대장_설정!$B$4="","",발령대장_설정!$B$4))</x:f>
        <x:v>#NAME?</x:v>
      </x:c>
      <x:c r="C256" s="27" t="e">
        <x:f>IF($A256="","",대장!D127)</x:f>
        <x:v>#NAME?</x:v>
      </x:c>
      <x:c r="D256" s="27" t="e">
        <x:f>IF($A256="","",대장!A127)</x:f>
        <x:v>#NAME?</x:v>
      </x:c>
      <x:c r="E256" s="27" t="e">
        <x:f>IF($A256="","",IF(OR(ISNUMBER(SEARCH("계약만료",대장!H127&amp;"")),ISNUMBER(SEARCH("기간만료",대장!H127&amp;""))),"계약기간 만료로 퇴직",IF(ISNUMBER(SEARCH("의원면직",대장!H127&amp;"")),"의원면직",IF(ISNUMBER(SEARCH("정년퇴직",대장!H127&amp;"")),"정년퇴직",대장!H127))))</x:f>
        <x:v>#NAME?</x:v>
      </x:c>
      <x:c r="F256" s="27" t="e">
        <x:f>IF($A256="","",IF(발령대장_설정!$B$5="","",발령대장_설정!$B$5))</x:f>
        <x:v>#NAME?</x:v>
      </x:c>
      <x:c r="G256" s="27" t="e">
        <x:f>IF($A256="","",IF(발령대장_설정!$B$6="","",발령대장_설정!$B$6))</x:f>
        <x:v>#NAME?</x:v>
      </x:c>
      <x:c r="H256" s="27" t="e">
        <x:f>IF($A256="","",IF(발령대장_설정!$B$7="","",발령대장_설정!$B$7))</x:f>
        <x:v>#NAME?</x:v>
      </x:c>
      <x:c r="I256" s="27" t="e">
        <x:f>IF($A256="","",IF(발령대장_설정!$B$8="","",발령대장_설정!$B$8))</x:f>
        <x:v>#NAME?</x:v>
      </x:c>
      <x:c r="J256" s="27" t="str">
        <x:f>""</x:f>
      </x:c>
    </x:row>
    <x:row r="257" ht="42" customHeight="1">
      <x:c r="A257" s="47" t="e">
        <x:f>IF(AND(대장!A128&lt;&gt;"",ISNUMBER(대장!F128),OR(대장!G128="",AND(ISNUMBER(대장!G128),대장!G128&gt;=대장!F128))),대장!F128,"")</x:f>
        <x:v>#NAME?</x:v>
      </x:c>
      <x:c r="B257" s="27" t="e">
        <x:f>IF($A257="","",IF(발령대장_설정!$B$4="","",발령대장_설정!$B$4))</x:f>
        <x:v>#NAME?</x:v>
      </x:c>
      <x:c r="C257" s="27" t="e">
        <x:f>IF($A257="","",대장!D128)</x:f>
        <x:v>#NAME?</x:v>
      </x:c>
      <x:c r="D257" s="27" t="e">
        <x:f>IF($A257="","",대장!A128)</x:f>
        <x:v>#NAME?</x:v>
      </x:c>
      <x:c r="E257" s="27" t="e">
        <x:f>IF($A257="","",IF(대장!J128&lt;&gt;"",대장!J128,대장!D128&amp;"에 임함"&amp;IF(대장!E128="","",CHAR(10)&amp;"고용형태: "&amp;대장!E128)&amp;IF(대장!I128="","",CHAR(10)&amp;"소정근로시간: "&amp;대장!I128)&amp;CHAR(10)&amp;"근로기간: "&amp;YEAR(대장!F128)&amp;"."&amp;MONTH(대장!F128)&amp;"."&amp;DAY(대장!F128)&amp;"."&amp;" ~ "&amp;IF(ISNUMBER(대장!G128),YEAR(대장!G128)&amp;"."&amp;MONTH(대장!G128)&amp;"."&amp;DAY(대장!G128)&amp;".","재직 중")))</x:f>
        <x:v>#NAME?</x:v>
      </x:c>
      <x:c r="F257" s="27" t="e">
        <x:f>IF($A257="","",IF(발령대장_설정!$B$5="","",발령대장_설정!$B$5))</x:f>
        <x:v>#NAME?</x:v>
      </x:c>
      <x:c r="G257" s="27" t="e">
        <x:f>IF($A257="","",IF(발령대장_설정!$B$6="","",발령대장_설정!$B$6))</x:f>
        <x:v>#NAME?</x:v>
      </x:c>
      <x:c r="H257" s="27" t="e">
        <x:f>IF($A257="","",IF(발령대장_설정!$B$7="","",발령대장_설정!$B$7))</x:f>
        <x:v>#NAME?</x:v>
      </x:c>
      <x:c r="I257" s="27" t="e">
        <x:f>IF($A257="","",IF(발령대장_설정!$B$8="","",발령대장_설정!$B$8))</x:f>
        <x:v>#NAME?</x:v>
      </x:c>
      <x:c r="J257" s="27" t="e">
        <x:f>IF($A257="","",IF(대장!K128="","",대장!K128))</x:f>
        <x:v>#NAME?</x:v>
      </x:c>
    </x:row>
    <x:row r="258" ht="42" customHeight="1">
      <x:c r="A258" s="47" t="e">
        <x:f>IF(AND(대장!A128&lt;&gt;"",ISNUMBER(대장!F128),ISNUMBER(대장!G128),대장!G128&gt;=대장!F128,대장!H128&lt;&gt;""),대장!G128,"")</x:f>
        <x:v>#NAME?</x:v>
      </x:c>
      <x:c r="B258" s="27" t="e">
        <x:f>IF($A258="","",IF(발령대장_설정!$B$4="","",발령대장_설정!$B$4))</x:f>
        <x:v>#NAME?</x:v>
      </x:c>
      <x:c r="C258" s="27" t="e">
        <x:f>IF($A258="","",대장!D128)</x:f>
        <x:v>#NAME?</x:v>
      </x:c>
      <x:c r="D258" s="27" t="e">
        <x:f>IF($A258="","",대장!A128)</x:f>
        <x:v>#NAME?</x:v>
      </x:c>
      <x:c r="E258" s="27" t="e">
        <x:f>IF($A258="","",IF(OR(ISNUMBER(SEARCH("계약만료",대장!H128&amp;"")),ISNUMBER(SEARCH("기간만료",대장!H128&amp;""))),"계약기간 만료로 퇴직",IF(ISNUMBER(SEARCH("의원면직",대장!H128&amp;"")),"의원면직",IF(ISNUMBER(SEARCH("정년퇴직",대장!H128&amp;"")),"정년퇴직",대장!H128))))</x:f>
        <x:v>#NAME?</x:v>
      </x:c>
      <x:c r="F258" s="27" t="e">
        <x:f>IF($A258="","",IF(발령대장_설정!$B$5="","",발령대장_설정!$B$5))</x:f>
        <x:v>#NAME?</x:v>
      </x:c>
      <x:c r="G258" s="27" t="e">
        <x:f>IF($A258="","",IF(발령대장_설정!$B$6="","",발령대장_설정!$B$6))</x:f>
        <x:v>#NAME?</x:v>
      </x:c>
      <x:c r="H258" s="27" t="e">
        <x:f>IF($A258="","",IF(발령대장_설정!$B$7="","",발령대장_설정!$B$7))</x:f>
        <x:v>#NAME?</x:v>
      </x:c>
      <x:c r="I258" s="27" t="e">
        <x:f>IF($A258="","",IF(발령대장_설정!$B$8="","",발령대장_설정!$B$8))</x:f>
        <x:v>#NAME?</x:v>
      </x:c>
      <x:c r="J258" s="27" t="str">
        <x:f>""</x:f>
      </x:c>
    </x:row>
    <x:row r="259" ht="42" customHeight="1">
      <x:c r="A259" s="47" t="e">
        <x:f>IF(AND(대장!A129&lt;&gt;"",ISNUMBER(대장!F129),OR(대장!G129="",AND(ISNUMBER(대장!G129),대장!G129&gt;=대장!F129))),대장!F129,"")</x:f>
        <x:v>#NAME?</x:v>
      </x:c>
      <x:c r="B259" s="27" t="e">
        <x:f>IF($A259="","",IF(발령대장_설정!$B$4="","",발령대장_설정!$B$4))</x:f>
        <x:v>#NAME?</x:v>
      </x:c>
      <x:c r="C259" s="27" t="e">
        <x:f>IF($A259="","",대장!D129)</x:f>
        <x:v>#NAME?</x:v>
      </x:c>
      <x:c r="D259" s="27" t="e">
        <x:f>IF($A259="","",대장!A129)</x:f>
        <x:v>#NAME?</x:v>
      </x:c>
      <x:c r="E259" s="27" t="e">
        <x:f>IF($A259="","",IF(대장!J129&lt;&gt;"",대장!J129,대장!D129&amp;"에 임함"&amp;IF(대장!E129="","",CHAR(10)&amp;"고용형태: "&amp;대장!E129)&amp;IF(대장!I129="","",CHAR(10)&amp;"소정근로시간: "&amp;대장!I129)&amp;CHAR(10)&amp;"근로기간: "&amp;YEAR(대장!F129)&amp;"."&amp;MONTH(대장!F129)&amp;"."&amp;DAY(대장!F129)&amp;"."&amp;" ~ "&amp;IF(ISNUMBER(대장!G129),YEAR(대장!G129)&amp;"."&amp;MONTH(대장!G129)&amp;"."&amp;DAY(대장!G129)&amp;".","재직 중")))</x:f>
        <x:v>#NAME?</x:v>
      </x:c>
      <x:c r="F259" s="27" t="e">
        <x:f>IF($A259="","",IF(발령대장_설정!$B$5="","",발령대장_설정!$B$5))</x:f>
        <x:v>#NAME?</x:v>
      </x:c>
      <x:c r="G259" s="27" t="e">
        <x:f>IF($A259="","",IF(발령대장_설정!$B$6="","",발령대장_설정!$B$6))</x:f>
        <x:v>#NAME?</x:v>
      </x:c>
      <x:c r="H259" s="27" t="e">
        <x:f>IF($A259="","",IF(발령대장_설정!$B$7="","",발령대장_설정!$B$7))</x:f>
        <x:v>#NAME?</x:v>
      </x:c>
      <x:c r="I259" s="27" t="e">
        <x:f>IF($A259="","",IF(발령대장_설정!$B$8="","",발령대장_설정!$B$8))</x:f>
        <x:v>#NAME?</x:v>
      </x:c>
      <x:c r="J259" s="27" t="e">
        <x:f>IF($A259="","",IF(대장!K129="","",대장!K129))</x:f>
        <x:v>#NAME?</x:v>
      </x:c>
    </x:row>
    <x:row r="260" ht="42" customHeight="1">
      <x:c r="A260" s="47" t="e">
        <x:f>IF(AND(대장!A129&lt;&gt;"",ISNUMBER(대장!F129),ISNUMBER(대장!G129),대장!G129&gt;=대장!F129,대장!H129&lt;&gt;""),대장!G129,"")</x:f>
        <x:v>#NAME?</x:v>
      </x:c>
      <x:c r="B260" s="27" t="e">
        <x:f>IF($A260="","",IF(발령대장_설정!$B$4="","",발령대장_설정!$B$4))</x:f>
        <x:v>#NAME?</x:v>
      </x:c>
      <x:c r="C260" s="27" t="e">
        <x:f>IF($A260="","",대장!D129)</x:f>
        <x:v>#NAME?</x:v>
      </x:c>
      <x:c r="D260" s="27" t="e">
        <x:f>IF($A260="","",대장!A129)</x:f>
        <x:v>#NAME?</x:v>
      </x:c>
      <x:c r="E260" s="27" t="e">
        <x:f>IF($A260="","",IF(OR(ISNUMBER(SEARCH("계약만료",대장!H129&amp;"")),ISNUMBER(SEARCH("기간만료",대장!H129&amp;""))),"계약기간 만료로 퇴직",IF(ISNUMBER(SEARCH("의원면직",대장!H129&amp;"")),"의원면직",IF(ISNUMBER(SEARCH("정년퇴직",대장!H129&amp;"")),"정년퇴직",대장!H129))))</x:f>
        <x:v>#NAME?</x:v>
      </x:c>
      <x:c r="F260" s="27" t="e">
        <x:f>IF($A260="","",IF(발령대장_설정!$B$5="","",발령대장_설정!$B$5))</x:f>
        <x:v>#NAME?</x:v>
      </x:c>
      <x:c r="G260" s="27" t="e">
        <x:f>IF($A260="","",IF(발령대장_설정!$B$6="","",발령대장_설정!$B$6))</x:f>
        <x:v>#NAME?</x:v>
      </x:c>
      <x:c r="H260" s="27" t="e">
        <x:f>IF($A260="","",IF(발령대장_설정!$B$7="","",발령대장_설정!$B$7))</x:f>
        <x:v>#NAME?</x:v>
      </x:c>
      <x:c r="I260" s="27" t="e">
        <x:f>IF($A260="","",IF(발령대장_설정!$B$8="","",발령대장_설정!$B$8))</x:f>
        <x:v>#NAME?</x:v>
      </x:c>
      <x:c r="J260" s="27" t="str">
        <x:f>""</x:f>
      </x:c>
    </x:row>
    <x:row r="261" ht="42" customHeight="1">
      <x:c r="A261" s="47" t="e">
        <x:f>IF(AND(대장!A130&lt;&gt;"",ISNUMBER(대장!F130),OR(대장!G130="",AND(ISNUMBER(대장!G130),대장!G130&gt;=대장!F130))),대장!F130,"")</x:f>
        <x:v>#NAME?</x:v>
      </x:c>
      <x:c r="B261" s="27" t="e">
        <x:f>IF($A261="","",IF(발령대장_설정!$B$4="","",발령대장_설정!$B$4))</x:f>
        <x:v>#NAME?</x:v>
      </x:c>
      <x:c r="C261" s="27" t="e">
        <x:f>IF($A261="","",대장!D130)</x:f>
        <x:v>#NAME?</x:v>
      </x:c>
      <x:c r="D261" s="27" t="e">
        <x:f>IF($A261="","",대장!A130)</x:f>
        <x:v>#NAME?</x:v>
      </x:c>
      <x:c r="E261" s="27" t="e">
        <x:f>IF($A261="","",IF(대장!J130&lt;&gt;"",대장!J130,대장!D130&amp;"에 임함"&amp;IF(대장!E130="","",CHAR(10)&amp;"고용형태: "&amp;대장!E130)&amp;IF(대장!I130="","",CHAR(10)&amp;"소정근로시간: "&amp;대장!I130)&amp;CHAR(10)&amp;"근로기간: "&amp;YEAR(대장!F130)&amp;"."&amp;MONTH(대장!F130)&amp;"."&amp;DAY(대장!F130)&amp;"."&amp;" ~ "&amp;IF(ISNUMBER(대장!G130),YEAR(대장!G130)&amp;"."&amp;MONTH(대장!G130)&amp;"."&amp;DAY(대장!G130)&amp;".","재직 중")))</x:f>
        <x:v>#NAME?</x:v>
      </x:c>
      <x:c r="F261" s="27" t="e">
        <x:f>IF($A261="","",IF(발령대장_설정!$B$5="","",발령대장_설정!$B$5))</x:f>
        <x:v>#NAME?</x:v>
      </x:c>
      <x:c r="G261" s="27" t="e">
        <x:f>IF($A261="","",IF(발령대장_설정!$B$6="","",발령대장_설정!$B$6))</x:f>
        <x:v>#NAME?</x:v>
      </x:c>
      <x:c r="H261" s="27" t="e">
        <x:f>IF($A261="","",IF(발령대장_설정!$B$7="","",발령대장_설정!$B$7))</x:f>
        <x:v>#NAME?</x:v>
      </x:c>
      <x:c r="I261" s="27" t="e">
        <x:f>IF($A261="","",IF(발령대장_설정!$B$8="","",발령대장_설정!$B$8))</x:f>
        <x:v>#NAME?</x:v>
      </x:c>
      <x:c r="J261" s="27" t="e">
        <x:f>IF($A261="","",IF(대장!K130="","",대장!K130))</x:f>
        <x:v>#NAME?</x:v>
      </x:c>
    </x:row>
    <x:row r="262" ht="42" customHeight="1">
      <x:c r="A262" s="47" t="e">
        <x:f>IF(AND(대장!A130&lt;&gt;"",ISNUMBER(대장!F130),ISNUMBER(대장!G130),대장!G130&gt;=대장!F130,대장!H130&lt;&gt;""),대장!G130,"")</x:f>
        <x:v>#NAME?</x:v>
      </x:c>
      <x:c r="B262" s="27" t="e">
        <x:f>IF($A262="","",IF(발령대장_설정!$B$4="","",발령대장_설정!$B$4))</x:f>
        <x:v>#NAME?</x:v>
      </x:c>
      <x:c r="C262" s="27" t="e">
        <x:f>IF($A262="","",대장!D130)</x:f>
        <x:v>#NAME?</x:v>
      </x:c>
      <x:c r="D262" s="27" t="e">
        <x:f>IF($A262="","",대장!A130)</x:f>
        <x:v>#NAME?</x:v>
      </x:c>
      <x:c r="E262" s="27" t="e">
        <x:f>IF($A262="","",IF(OR(ISNUMBER(SEARCH("계약만료",대장!H130&amp;"")),ISNUMBER(SEARCH("기간만료",대장!H130&amp;""))),"계약기간 만료로 퇴직",IF(ISNUMBER(SEARCH("의원면직",대장!H130&amp;"")),"의원면직",IF(ISNUMBER(SEARCH("정년퇴직",대장!H130&amp;"")),"정년퇴직",대장!H130))))</x:f>
        <x:v>#NAME?</x:v>
      </x:c>
      <x:c r="F262" s="27" t="e">
        <x:f>IF($A262="","",IF(발령대장_설정!$B$5="","",발령대장_설정!$B$5))</x:f>
        <x:v>#NAME?</x:v>
      </x:c>
      <x:c r="G262" s="27" t="e">
        <x:f>IF($A262="","",IF(발령대장_설정!$B$6="","",발령대장_설정!$B$6))</x:f>
        <x:v>#NAME?</x:v>
      </x:c>
      <x:c r="H262" s="27" t="e">
        <x:f>IF($A262="","",IF(발령대장_설정!$B$7="","",발령대장_설정!$B$7))</x:f>
        <x:v>#NAME?</x:v>
      </x:c>
      <x:c r="I262" s="27" t="e">
        <x:f>IF($A262="","",IF(발령대장_설정!$B$8="","",발령대장_설정!$B$8))</x:f>
        <x:v>#NAME?</x:v>
      </x:c>
      <x:c r="J262" s="27" t="str">
        <x:f>""</x:f>
      </x:c>
    </x:row>
    <x:row r="263" ht="42" customHeight="1">
      <x:c r="A263" s="47" t="e">
        <x:f>IF(AND(대장!A131&lt;&gt;"",ISNUMBER(대장!F131),OR(대장!G131="",AND(ISNUMBER(대장!G131),대장!G131&gt;=대장!F131))),대장!F131,"")</x:f>
        <x:v>#NAME?</x:v>
      </x:c>
      <x:c r="B263" s="27" t="e">
        <x:f>IF($A263="","",IF(발령대장_설정!$B$4="","",발령대장_설정!$B$4))</x:f>
        <x:v>#NAME?</x:v>
      </x:c>
      <x:c r="C263" s="27" t="e">
        <x:f>IF($A263="","",대장!D131)</x:f>
        <x:v>#NAME?</x:v>
      </x:c>
      <x:c r="D263" s="27" t="e">
        <x:f>IF($A263="","",대장!A131)</x:f>
        <x:v>#NAME?</x:v>
      </x:c>
      <x:c r="E263" s="27" t="e">
        <x:f>IF($A263="","",IF(대장!J131&lt;&gt;"",대장!J131,대장!D131&amp;"에 임함"&amp;IF(대장!E131="","",CHAR(10)&amp;"고용형태: "&amp;대장!E131)&amp;IF(대장!I131="","",CHAR(10)&amp;"소정근로시간: "&amp;대장!I131)&amp;CHAR(10)&amp;"근로기간: "&amp;YEAR(대장!F131)&amp;"."&amp;MONTH(대장!F131)&amp;"."&amp;DAY(대장!F131)&amp;"."&amp;" ~ "&amp;IF(ISNUMBER(대장!G131),YEAR(대장!G131)&amp;"."&amp;MONTH(대장!G131)&amp;"."&amp;DAY(대장!G131)&amp;".","재직 중")))</x:f>
        <x:v>#NAME?</x:v>
      </x:c>
      <x:c r="F263" s="27" t="e">
        <x:f>IF($A263="","",IF(발령대장_설정!$B$5="","",발령대장_설정!$B$5))</x:f>
        <x:v>#NAME?</x:v>
      </x:c>
      <x:c r="G263" s="27" t="e">
        <x:f>IF($A263="","",IF(발령대장_설정!$B$6="","",발령대장_설정!$B$6))</x:f>
        <x:v>#NAME?</x:v>
      </x:c>
      <x:c r="H263" s="27" t="e">
        <x:f>IF($A263="","",IF(발령대장_설정!$B$7="","",발령대장_설정!$B$7))</x:f>
        <x:v>#NAME?</x:v>
      </x:c>
      <x:c r="I263" s="27" t="e">
        <x:f>IF($A263="","",IF(발령대장_설정!$B$8="","",발령대장_설정!$B$8))</x:f>
        <x:v>#NAME?</x:v>
      </x:c>
      <x:c r="J263" s="27" t="e">
        <x:f>IF($A263="","",IF(대장!K131="","",대장!K131))</x:f>
        <x:v>#NAME?</x:v>
      </x:c>
    </x:row>
    <x:row r="264" ht="42" customHeight="1">
      <x:c r="A264" s="47" t="e">
        <x:f>IF(AND(대장!A131&lt;&gt;"",ISNUMBER(대장!F131),ISNUMBER(대장!G131),대장!G131&gt;=대장!F131,대장!H131&lt;&gt;""),대장!G131,"")</x:f>
        <x:v>#NAME?</x:v>
      </x:c>
      <x:c r="B264" s="27" t="e">
        <x:f>IF($A264="","",IF(발령대장_설정!$B$4="","",발령대장_설정!$B$4))</x:f>
        <x:v>#NAME?</x:v>
      </x:c>
      <x:c r="C264" s="27" t="e">
        <x:f>IF($A264="","",대장!D131)</x:f>
        <x:v>#NAME?</x:v>
      </x:c>
      <x:c r="D264" s="27" t="e">
        <x:f>IF($A264="","",대장!A131)</x:f>
        <x:v>#NAME?</x:v>
      </x:c>
      <x:c r="E264" s="27" t="e">
        <x:f>IF($A264="","",IF(OR(ISNUMBER(SEARCH("계약만료",대장!H131&amp;"")),ISNUMBER(SEARCH("기간만료",대장!H131&amp;""))),"계약기간 만료로 퇴직",IF(ISNUMBER(SEARCH("의원면직",대장!H131&amp;"")),"의원면직",IF(ISNUMBER(SEARCH("정년퇴직",대장!H131&amp;"")),"정년퇴직",대장!H131))))</x:f>
        <x:v>#NAME?</x:v>
      </x:c>
      <x:c r="F264" s="27" t="e">
        <x:f>IF($A264="","",IF(발령대장_설정!$B$5="","",발령대장_설정!$B$5))</x:f>
        <x:v>#NAME?</x:v>
      </x:c>
      <x:c r="G264" s="27" t="e">
        <x:f>IF($A264="","",IF(발령대장_설정!$B$6="","",발령대장_설정!$B$6))</x:f>
        <x:v>#NAME?</x:v>
      </x:c>
      <x:c r="H264" s="27" t="e">
        <x:f>IF($A264="","",IF(발령대장_설정!$B$7="","",발령대장_설정!$B$7))</x:f>
        <x:v>#NAME?</x:v>
      </x:c>
      <x:c r="I264" s="27" t="e">
        <x:f>IF($A264="","",IF(발령대장_설정!$B$8="","",발령대장_설정!$B$8))</x:f>
        <x:v>#NAME?</x:v>
      </x:c>
      <x:c r="J264" s="27" t="str">
        <x:f>""</x:f>
      </x:c>
    </x:row>
    <x:row r="265" ht="42" customHeight="1">
      <x:c r="A265" s="47" t="e">
        <x:f>IF(AND(대장!A132&lt;&gt;"",ISNUMBER(대장!F132),OR(대장!G132="",AND(ISNUMBER(대장!G132),대장!G132&gt;=대장!F132))),대장!F132,"")</x:f>
        <x:v>#NAME?</x:v>
      </x:c>
      <x:c r="B265" s="27" t="e">
        <x:f>IF($A265="","",IF(발령대장_설정!$B$4="","",발령대장_설정!$B$4))</x:f>
        <x:v>#NAME?</x:v>
      </x:c>
      <x:c r="C265" s="27" t="e">
        <x:f>IF($A265="","",대장!D132)</x:f>
        <x:v>#NAME?</x:v>
      </x:c>
      <x:c r="D265" s="27" t="e">
        <x:f>IF($A265="","",대장!A132)</x:f>
        <x:v>#NAME?</x:v>
      </x:c>
      <x:c r="E265" s="27" t="e">
        <x:f>IF($A265="","",IF(대장!J132&lt;&gt;"",대장!J132,대장!D132&amp;"에 임함"&amp;IF(대장!E132="","",CHAR(10)&amp;"고용형태: "&amp;대장!E132)&amp;IF(대장!I132="","",CHAR(10)&amp;"소정근로시간: "&amp;대장!I132)&amp;CHAR(10)&amp;"근로기간: "&amp;YEAR(대장!F132)&amp;"."&amp;MONTH(대장!F132)&amp;"."&amp;DAY(대장!F132)&amp;"."&amp;" ~ "&amp;IF(ISNUMBER(대장!G132),YEAR(대장!G132)&amp;"."&amp;MONTH(대장!G132)&amp;"."&amp;DAY(대장!G132)&amp;".","재직 중")))</x:f>
        <x:v>#NAME?</x:v>
      </x:c>
      <x:c r="F265" s="27" t="e">
        <x:f>IF($A265="","",IF(발령대장_설정!$B$5="","",발령대장_설정!$B$5))</x:f>
        <x:v>#NAME?</x:v>
      </x:c>
      <x:c r="G265" s="27" t="e">
        <x:f>IF($A265="","",IF(발령대장_설정!$B$6="","",발령대장_설정!$B$6))</x:f>
        <x:v>#NAME?</x:v>
      </x:c>
      <x:c r="H265" s="27" t="e">
        <x:f>IF($A265="","",IF(발령대장_설정!$B$7="","",발령대장_설정!$B$7))</x:f>
        <x:v>#NAME?</x:v>
      </x:c>
      <x:c r="I265" s="27" t="e">
        <x:f>IF($A265="","",IF(발령대장_설정!$B$8="","",발령대장_설정!$B$8))</x:f>
        <x:v>#NAME?</x:v>
      </x:c>
      <x:c r="J265" s="27" t="e">
        <x:f>IF($A265="","",IF(대장!K132="","",대장!K132))</x:f>
        <x:v>#NAME?</x:v>
      </x:c>
    </x:row>
    <x:row r="266" ht="42" customHeight="1">
      <x:c r="A266" s="47" t="e">
        <x:f>IF(AND(대장!A132&lt;&gt;"",ISNUMBER(대장!F132),ISNUMBER(대장!G132),대장!G132&gt;=대장!F132,대장!H132&lt;&gt;""),대장!G132,"")</x:f>
        <x:v>#NAME?</x:v>
      </x:c>
      <x:c r="B266" s="27" t="e">
        <x:f>IF($A266="","",IF(발령대장_설정!$B$4="","",발령대장_설정!$B$4))</x:f>
        <x:v>#NAME?</x:v>
      </x:c>
      <x:c r="C266" s="27" t="e">
        <x:f>IF($A266="","",대장!D132)</x:f>
        <x:v>#NAME?</x:v>
      </x:c>
      <x:c r="D266" s="27" t="e">
        <x:f>IF($A266="","",대장!A132)</x:f>
        <x:v>#NAME?</x:v>
      </x:c>
      <x:c r="E266" s="27" t="e">
        <x:f>IF($A266="","",IF(OR(ISNUMBER(SEARCH("계약만료",대장!H132&amp;"")),ISNUMBER(SEARCH("기간만료",대장!H132&amp;""))),"계약기간 만료로 퇴직",IF(ISNUMBER(SEARCH("의원면직",대장!H132&amp;"")),"의원면직",IF(ISNUMBER(SEARCH("정년퇴직",대장!H132&amp;"")),"정년퇴직",대장!H132))))</x:f>
        <x:v>#NAME?</x:v>
      </x:c>
      <x:c r="F266" s="27" t="e">
        <x:f>IF($A266="","",IF(발령대장_설정!$B$5="","",발령대장_설정!$B$5))</x:f>
        <x:v>#NAME?</x:v>
      </x:c>
      <x:c r="G266" s="27" t="e">
        <x:f>IF($A266="","",IF(발령대장_설정!$B$6="","",발령대장_설정!$B$6))</x:f>
        <x:v>#NAME?</x:v>
      </x:c>
      <x:c r="H266" s="27" t="e">
        <x:f>IF($A266="","",IF(발령대장_설정!$B$7="","",발령대장_설정!$B$7))</x:f>
        <x:v>#NAME?</x:v>
      </x:c>
      <x:c r="I266" s="27" t="e">
        <x:f>IF($A266="","",IF(발령대장_설정!$B$8="","",발령대장_설정!$B$8))</x:f>
        <x:v>#NAME?</x:v>
      </x:c>
      <x:c r="J266" s="27" t="str">
        <x:f>""</x:f>
      </x:c>
    </x:row>
    <x:row r="267" ht="42" customHeight="1">
      <x:c r="A267" s="47" t="e">
        <x:f>IF(AND(대장!A133&lt;&gt;"",ISNUMBER(대장!F133),OR(대장!G133="",AND(ISNUMBER(대장!G133),대장!G133&gt;=대장!F133))),대장!F133,"")</x:f>
        <x:v>#NAME?</x:v>
      </x:c>
      <x:c r="B267" s="27" t="e">
        <x:f>IF($A267="","",IF(발령대장_설정!$B$4="","",발령대장_설정!$B$4))</x:f>
        <x:v>#NAME?</x:v>
      </x:c>
      <x:c r="C267" s="27" t="e">
        <x:f>IF($A267="","",대장!D133)</x:f>
        <x:v>#NAME?</x:v>
      </x:c>
      <x:c r="D267" s="27" t="e">
        <x:f>IF($A267="","",대장!A133)</x:f>
        <x:v>#NAME?</x:v>
      </x:c>
      <x:c r="E267" s="27" t="e">
        <x:f>IF($A267="","",IF(대장!J133&lt;&gt;"",대장!J133,대장!D133&amp;"에 임함"&amp;IF(대장!E133="","",CHAR(10)&amp;"고용형태: "&amp;대장!E133)&amp;IF(대장!I133="","",CHAR(10)&amp;"소정근로시간: "&amp;대장!I133)&amp;CHAR(10)&amp;"근로기간: "&amp;YEAR(대장!F133)&amp;"."&amp;MONTH(대장!F133)&amp;"."&amp;DAY(대장!F133)&amp;"."&amp;" ~ "&amp;IF(ISNUMBER(대장!G133),YEAR(대장!G133)&amp;"."&amp;MONTH(대장!G133)&amp;"."&amp;DAY(대장!G133)&amp;".","재직 중")))</x:f>
        <x:v>#NAME?</x:v>
      </x:c>
      <x:c r="F267" s="27" t="e">
        <x:f>IF($A267="","",IF(발령대장_설정!$B$5="","",발령대장_설정!$B$5))</x:f>
        <x:v>#NAME?</x:v>
      </x:c>
      <x:c r="G267" s="27" t="e">
        <x:f>IF($A267="","",IF(발령대장_설정!$B$6="","",발령대장_설정!$B$6))</x:f>
        <x:v>#NAME?</x:v>
      </x:c>
      <x:c r="H267" s="27" t="e">
        <x:f>IF($A267="","",IF(발령대장_설정!$B$7="","",발령대장_설정!$B$7))</x:f>
        <x:v>#NAME?</x:v>
      </x:c>
      <x:c r="I267" s="27" t="e">
        <x:f>IF($A267="","",IF(발령대장_설정!$B$8="","",발령대장_설정!$B$8))</x:f>
        <x:v>#NAME?</x:v>
      </x:c>
      <x:c r="J267" s="27" t="e">
        <x:f>IF($A267="","",IF(대장!K133="","",대장!K133))</x:f>
        <x:v>#NAME?</x:v>
      </x:c>
    </x:row>
    <x:row r="268" ht="42" customHeight="1">
      <x:c r="A268" s="47" t="e">
        <x:f>IF(AND(대장!A133&lt;&gt;"",ISNUMBER(대장!F133),ISNUMBER(대장!G133),대장!G133&gt;=대장!F133,대장!H133&lt;&gt;""),대장!G133,"")</x:f>
        <x:v>#NAME?</x:v>
      </x:c>
      <x:c r="B268" s="27" t="e">
        <x:f>IF($A268="","",IF(발령대장_설정!$B$4="","",발령대장_설정!$B$4))</x:f>
        <x:v>#NAME?</x:v>
      </x:c>
      <x:c r="C268" s="27" t="e">
        <x:f>IF($A268="","",대장!D133)</x:f>
        <x:v>#NAME?</x:v>
      </x:c>
      <x:c r="D268" s="27" t="e">
        <x:f>IF($A268="","",대장!A133)</x:f>
        <x:v>#NAME?</x:v>
      </x:c>
      <x:c r="E268" s="27" t="e">
        <x:f>IF($A268="","",IF(OR(ISNUMBER(SEARCH("계약만료",대장!H133&amp;"")),ISNUMBER(SEARCH("기간만료",대장!H133&amp;""))),"계약기간 만료로 퇴직",IF(ISNUMBER(SEARCH("의원면직",대장!H133&amp;"")),"의원면직",IF(ISNUMBER(SEARCH("정년퇴직",대장!H133&amp;"")),"정년퇴직",대장!H133))))</x:f>
        <x:v>#NAME?</x:v>
      </x:c>
      <x:c r="F268" s="27" t="e">
        <x:f>IF($A268="","",IF(발령대장_설정!$B$5="","",발령대장_설정!$B$5))</x:f>
        <x:v>#NAME?</x:v>
      </x:c>
      <x:c r="G268" s="27" t="e">
        <x:f>IF($A268="","",IF(발령대장_설정!$B$6="","",발령대장_설정!$B$6))</x:f>
        <x:v>#NAME?</x:v>
      </x:c>
      <x:c r="H268" s="27" t="e">
        <x:f>IF($A268="","",IF(발령대장_설정!$B$7="","",발령대장_설정!$B$7))</x:f>
        <x:v>#NAME?</x:v>
      </x:c>
      <x:c r="I268" s="27" t="e">
        <x:f>IF($A268="","",IF(발령대장_설정!$B$8="","",발령대장_설정!$B$8))</x:f>
        <x:v>#NAME?</x:v>
      </x:c>
      <x:c r="J268" s="27" t="str">
        <x:f>""</x:f>
      </x:c>
    </x:row>
    <x:row r="269" ht="42" customHeight="1">
      <x:c r="A269" s="47" t="e">
        <x:f>IF(AND(대장!A134&lt;&gt;"",ISNUMBER(대장!F134),OR(대장!G134="",AND(ISNUMBER(대장!G134),대장!G134&gt;=대장!F134))),대장!F134,"")</x:f>
        <x:v>#NAME?</x:v>
      </x:c>
      <x:c r="B269" s="27" t="e">
        <x:f>IF($A269="","",IF(발령대장_설정!$B$4="","",발령대장_설정!$B$4))</x:f>
        <x:v>#NAME?</x:v>
      </x:c>
      <x:c r="C269" s="27" t="e">
        <x:f>IF($A269="","",대장!D134)</x:f>
        <x:v>#NAME?</x:v>
      </x:c>
      <x:c r="D269" s="27" t="e">
        <x:f>IF($A269="","",대장!A134)</x:f>
        <x:v>#NAME?</x:v>
      </x:c>
      <x:c r="E269" s="27" t="e">
        <x:f>IF($A269="","",IF(대장!J134&lt;&gt;"",대장!J134,대장!D134&amp;"에 임함"&amp;IF(대장!E134="","",CHAR(10)&amp;"고용형태: "&amp;대장!E134)&amp;IF(대장!I134="","",CHAR(10)&amp;"소정근로시간: "&amp;대장!I134)&amp;CHAR(10)&amp;"근로기간: "&amp;YEAR(대장!F134)&amp;"."&amp;MONTH(대장!F134)&amp;"."&amp;DAY(대장!F134)&amp;"."&amp;" ~ "&amp;IF(ISNUMBER(대장!G134),YEAR(대장!G134)&amp;"."&amp;MONTH(대장!G134)&amp;"."&amp;DAY(대장!G134)&amp;".","재직 중")))</x:f>
        <x:v>#NAME?</x:v>
      </x:c>
      <x:c r="F269" s="27" t="e">
        <x:f>IF($A269="","",IF(발령대장_설정!$B$5="","",발령대장_설정!$B$5))</x:f>
        <x:v>#NAME?</x:v>
      </x:c>
      <x:c r="G269" s="27" t="e">
        <x:f>IF($A269="","",IF(발령대장_설정!$B$6="","",발령대장_설정!$B$6))</x:f>
        <x:v>#NAME?</x:v>
      </x:c>
      <x:c r="H269" s="27" t="e">
        <x:f>IF($A269="","",IF(발령대장_설정!$B$7="","",발령대장_설정!$B$7))</x:f>
        <x:v>#NAME?</x:v>
      </x:c>
      <x:c r="I269" s="27" t="e">
        <x:f>IF($A269="","",IF(발령대장_설정!$B$8="","",발령대장_설정!$B$8))</x:f>
        <x:v>#NAME?</x:v>
      </x:c>
      <x:c r="J269" s="27" t="e">
        <x:f>IF($A269="","",IF(대장!K134="","",대장!K134))</x:f>
        <x:v>#NAME?</x:v>
      </x:c>
    </x:row>
    <x:row r="270" ht="42" customHeight="1">
      <x:c r="A270" s="47" t="e">
        <x:f>IF(AND(대장!A134&lt;&gt;"",ISNUMBER(대장!F134),ISNUMBER(대장!G134),대장!G134&gt;=대장!F134,대장!H134&lt;&gt;""),대장!G134,"")</x:f>
        <x:v>#NAME?</x:v>
      </x:c>
      <x:c r="B270" s="27" t="e">
        <x:f>IF($A270="","",IF(발령대장_설정!$B$4="","",발령대장_설정!$B$4))</x:f>
        <x:v>#NAME?</x:v>
      </x:c>
      <x:c r="C270" s="27" t="e">
        <x:f>IF($A270="","",대장!D134)</x:f>
        <x:v>#NAME?</x:v>
      </x:c>
      <x:c r="D270" s="27" t="e">
        <x:f>IF($A270="","",대장!A134)</x:f>
        <x:v>#NAME?</x:v>
      </x:c>
      <x:c r="E270" s="27" t="e">
        <x:f>IF($A270="","",IF(OR(ISNUMBER(SEARCH("계약만료",대장!H134&amp;"")),ISNUMBER(SEARCH("기간만료",대장!H134&amp;""))),"계약기간 만료로 퇴직",IF(ISNUMBER(SEARCH("의원면직",대장!H134&amp;"")),"의원면직",IF(ISNUMBER(SEARCH("정년퇴직",대장!H134&amp;"")),"정년퇴직",대장!H134))))</x:f>
        <x:v>#NAME?</x:v>
      </x:c>
      <x:c r="F270" s="27" t="e">
        <x:f>IF($A270="","",IF(발령대장_설정!$B$5="","",발령대장_설정!$B$5))</x:f>
        <x:v>#NAME?</x:v>
      </x:c>
      <x:c r="G270" s="27" t="e">
        <x:f>IF($A270="","",IF(발령대장_설정!$B$6="","",발령대장_설정!$B$6))</x:f>
        <x:v>#NAME?</x:v>
      </x:c>
      <x:c r="H270" s="27" t="e">
        <x:f>IF($A270="","",IF(발령대장_설정!$B$7="","",발령대장_설정!$B$7))</x:f>
        <x:v>#NAME?</x:v>
      </x:c>
      <x:c r="I270" s="27" t="e">
        <x:f>IF($A270="","",IF(발령대장_설정!$B$8="","",발령대장_설정!$B$8))</x:f>
        <x:v>#NAME?</x:v>
      </x:c>
      <x:c r="J270" s="27" t="str">
        <x:f>""</x:f>
      </x:c>
    </x:row>
    <x:row r="271" ht="42" customHeight="1">
      <x:c r="A271" s="47" t="e">
        <x:f>IF(AND(대장!A135&lt;&gt;"",ISNUMBER(대장!F135),OR(대장!G135="",AND(ISNUMBER(대장!G135),대장!G135&gt;=대장!F135))),대장!F135,"")</x:f>
        <x:v>#NAME?</x:v>
      </x:c>
      <x:c r="B271" s="27" t="e">
        <x:f>IF($A271="","",IF(발령대장_설정!$B$4="","",발령대장_설정!$B$4))</x:f>
        <x:v>#NAME?</x:v>
      </x:c>
      <x:c r="C271" s="27" t="e">
        <x:f>IF($A271="","",대장!D135)</x:f>
        <x:v>#NAME?</x:v>
      </x:c>
      <x:c r="D271" s="27" t="e">
        <x:f>IF($A271="","",대장!A135)</x:f>
        <x:v>#NAME?</x:v>
      </x:c>
      <x:c r="E271" s="27" t="e">
        <x:f>IF($A271="","",IF(대장!J135&lt;&gt;"",대장!J135,대장!D135&amp;"에 임함"&amp;IF(대장!E135="","",CHAR(10)&amp;"고용형태: "&amp;대장!E135)&amp;IF(대장!I135="","",CHAR(10)&amp;"소정근로시간: "&amp;대장!I135)&amp;CHAR(10)&amp;"근로기간: "&amp;YEAR(대장!F135)&amp;"."&amp;MONTH(대장!F135)&amp;"."&amp;DAY(대장!F135)&amp;"."&amp;" ~ "&amp;IF(ISNUMBER(대장!G135),YEAR(대장!G135)&amp;"."&amp;MONTH(대장!G135)&amp;"."&amp;DAY(대장!G135)&amp;".","재직 중")))</x:f>
        <x:v>#NAME?</x:v>
      </x:c>
      <x:c r="F271" s="27" t="e">
        <x:f>IF($A271="","",IF(발령대장_설정!$B$5="","",발령대장_설정!$B$5))</x:f>
        <x:v>#NAME?</x:v>
      </x:c>
      <x:c r="G271" s="27" t="e">
        <x:f>IF($A271="","",IF(발령대장_설정!$B$6="","",발령대장_설정!$B$6))</x:f>
        <x:v>#NAME?</x:v>
      </x:c>
      <x:c r="H271" s="27" t="e">
        <x:f>IF($A271="","",IF(발령대장_설정!$B$7="","",발령대장_설정!$B$7))</x:f>
        <x:v>#NAME?</x:v>
      </x:c>
      <x:c r="I271" s="27" t="e">
        <x:f>IF($A271="","",IF(발령대장_설정!$B$8="","",발령대장_설정!$B$8))</x:f>
        <x:v>#NAME?</x:v>
      </x:c>
      <x:c r="J271" s="27" t="e">
        <x:f>IF($A271="","",IF(대장!K135="","",대장!K135))</x:f>
        <x:v>#NAME?</x:v>
      </x:c>
    </x:row>
    <x:row r="272" ht="42" customHeight="1">
      <x:c r="A272" s="47" t="e">
        <x:f>IF(AND(대장!A135&lt;&gt;"",ISNUMBER(대장!F135),ISNUMBER(대장!G135),대장!G135&gt;=대장!F135,대장!H135&lt;&gt;""),대장!G135,"")</x:f>
        <x:v>#NAME?</x:v>
      </x:c>
      <x:c r="B272" s="27" t="e">
        <x:f>IF($A272="","",IF(발령대장_설정!$B$4="","",발령대장_설정!$B$4))</x:f>
        <x:v>#NAME?</x:v>
      </x:c>
      <x:c r="C272" s="27" t="e">
        <x:f>IF($A272="","",대장!D135)</x:f>
        <x:v>#NAME?</x:v>
      </x:c>
      <x:c r="D272" s="27" t="e">
        <x:f>IF($A272="","",대장!A135)</x:f>
        <x:v>#NAME?</x:v>
      </x:c>
      <x:c r="E272" s="27" t="e">
        <x:f>IF($A272="","",IF(OR(ISNUMBER(SEARCH("계약만료",대장!H135&amp;"")),ISNUMBER(SEARCH("기간만료",대장!H135&amp;""))),"계약기간 만료로 퇴직",IF(ISNUMBER(SEARCH("의원면직",대장!H135&amp;"")),"의원면직",IF(ISNUMBER(SEARCH("정년퇴직",대장!H135&amp;"")),"정년퇴직",대장!H135))))</x:f>
        <x:v>#NAME?</x:v>
      </x:c>
      <x:c r="F272" s="27" t="e">
        <x:f>IF($A272="","",IF(발령대장_설정!$B$5="","",발령대장_설정!$B$5))</x:f>
        <x:v>#NAME?</x:v>
      </x:c>
      <x:c r="G272" s="27" t="e">
        <x:f>IF($A272="","",IF(발령대장_설정!$B$6="","",발령대장_설정!$B$6))</x:f>
        <x:v>#NAME?</x:v>
      </x:c>
      <x:c r="H272" s="27" t="e">
        <x:f>IF($A272="","",IF(발령대장_설정!$B$7="","",발령대장_설정!$B$7))</x:f>
        <x:v>#NAME?</x:v>
      </x:c>
      <x:c r="I272" s="27" t="e">
        <x:f>IF($A272="","",IF(발령대장_설정!$B$8="","",발령대장_설정!$B$8))</x:f>
        <x:v>#NAME?</x:v>
      </x:c>
      <x:c r="J272" s="27" t="str">
        <x:f>""</x:f>
      </x:c>
    </x:row>
    <x:row r="273" ht="42" customHeight="1">
      <x:c r="A273" s="47" t="e">
        <x:f>IF(AND(대장!A136&lt;&gt;"",ISNUMBER(대장!F136),OR(대장!G136="",AND(ISNUMBER(대장!G136),대장!G136&gt;=대장!F136))),대장!F136,"")</x:f>
        <x:v>#NAME?</x:v>
      </x:c>
      <x:c r="B273" s="27" t="e">
        <x:f>IF($A273="","",IF(발령대장_설정!$B$4="","",발령대장_설정!$B$4))</x:f>
        <x:v>#NAME?</x:v>
      </x:c>
      <x:c r="C273" s="27" t="e">
        <x:f>IF($A273="","",대장!D136)</x:f>
        <x:v>#NAME?</x:v>
      </x:c>
      <x:c r="D273" s="27" t="e">
        <x:f>IF($A273="","",대장!A136)</x:f>
        <x:v>#NAME?</x:v>
      </x:c>
      <x:c r="E273" s="27" t="e">
        <x:f>IF($A273="","",IF(대장!J136&lt;&gt;"",대장!J136,대장!D136&amp;"에 임함"&amp;IF(대장!E136="","",CHAR(10)&amp;"고용형태: "&amp;대장!E136)&amp;IF(대장!I136="","",CHAR(10)&amp;"소정근로시간: "&amp;대장!I136)&amp;CHAR(10)&amp;"근로기간: "&amp;YEAR(대장!F136)&amp;"."&amp;MONTH(대장!F136)&amp;"."&amp;DAY(대장!F136)&amp;"."&amp;" ~ "&amp;IF(ISNUMBER(대장!G136),YEAR(대장!G136)&amp;"."&amp;MONTH(대장!G136)&amp;"."&amp;DAY(대장!G136)&amp;".","재직 중")))</x:f>
        <x:v>#NAME?</x:v>
      </x:c>
      <x:c r="F273" s="27" t="e">
        <x:f>IF($A273="","",IF(발령대장_설정!$B$5="","",발령대장_설정!$B$5))</x:f>
        <x:v>#NAME?</x:v>
      </x:c>
      <x:c r="G273" s="27" t="e">
        <x:f>IF($A273="","",IF(발령대장_설정!$B$6="","",발령대장_설정!$B$6))</x:f>
        <x:v>#NAME?</x:v>
      </x:c>
      <x:c r="H273" s="27" t="e">
        <x:f>IF($A273="","",IF(발령대장_설정!$B$7="","",발령대장_설정!$B$7))</x:f>
        <x:v>#NAME?</x:v>
      </x:c>
      <x:c r="I273" s="27" t="e">
        <x:f>IF($A273="","",IF(발령대장_설정!$B$8="","",발령대장_설정!$B$8))</x:f>
        <x:v>#NAME?</x:v>
      </x:c>
      <x:c r="J273" s="27" t="e">
        <x:f>IF($A273="","",IF(대장!K136="","",대장!K136))</x:f>
        <x:v>#NAME?</x:v>
      </x:c>
    </x:row>
    <x:row r="274" ht="42" customHeight="1">
      <x:c r="A274" s="47" t="e">
        <x:f>IF(AND(대장!A136&lt;&gt;"",ISNUMBER(대장!F136),ISNUMBER(대장!G136),대장!G136&gt;=대장!F136,대장!H136&lt;&gt;""),대장!G136,"")</x:f>
        <x:v>#NAME?</x:v>
      </x:c>
      <x:c r="B274" s="27" t="e">
        <x:f>IF($A274="","",IF(발령대장_설정!$B$4="","",발령대장_설정!$B$4))</x:f>
        <x:v>#NAME?</x:v>
      </x:c>
      <x:c r="C274" s="27" t="e">
        <x:f>IF($A274="","",대장!D136)</x:f>
        <x:v>#NAME?</x:v>
      </x:c>
      <x:c r="D274" s="27" t="e">
        <x:f>IF($A274="","",대장!A136)</x:f>
        <x:v>#NAME?</x:v>
      </x:c>
      <x:c r="E274" s="27" t="e">
        <x:f>IF($A274="","",IF(OR(ISNUMBER(SEARCH("계약만료",대장!H136&amp;"")),ISNUMBER(SEARCH("기간만료",대장!H136&amp;""))),"계약기간 만료로 퇴직",IF(ISNUMBER(SEARCH("의원면직",대장!H136&amp;"")),"의원면직",IF(ISNUMBER(SEARCH("정년퇴직",대장!H136&amp;"")),"정년퇴직",대장!H136))))</x:f>
        <x:v>#NAME?</x:v>
      </x:c>
      <x:c r="F274" s="27" t="e">
        <x:f>IF($A274="","",IF(발령대장_설정!$B$5="","",발령대장_설정!$B$5))</x:f>
        <x:v>#NAME?</x:v>
      </x:c>
      <x:c r="G274" s="27" t="e">
        <x:f>IF($A274="","",IF(발령대장_설정!$B$6="","",발령대장_설정!$B$6))</x:f>
        <x:v>#NAME?</x:v>
      </x:c>
      <x:c r="H274" s="27" t="e">
        <x:f>IF($A274="","",IF(발령대장_설정!$B$7="","",발령대장_설정!$B$7))</x:f>
        <x:v>#NAME?</x:v>
      </x:c>
      <x:c r="I274" s="27" t="e">
        <x:f>IF($A274="","",IF(발령대장_설정!$B$8="","",발령대장_설정!$B$8))</x:f>
        <x:v>#NAME?</x:v>
      </x:c>
      <x:c r="J274" s="27" t="str">
        <x:f>""</x:f>
      </x:c>
    </x:row>
    <x:row r="275" ht="42" customHeight="1">
      <x:c r="A275" s="47" t="e">
        <x:f>IF(AND(대장!A137&lt;&gt;"",ISNUMBER(대장!F137),OR(대장!G137="",AND(ISNUMBER(대장!G137),대장!G137&gt;=대장!F137))),대장!F137,"")</x:f>
        <x:v>#NAME?</x:v>
      </x:c>
      <x:c r="B275" s="27" t="e">
        <x:f>IF($A275="","",IF(발령대장_설정!$B$4="","",발령대장_설정!$B$4))</x:f>
        <x:v>#NAME?</x:v>
      </x:c>
      <x:c r="C275" s="27" t="e">
        <x:f>IF($A275="","",대장!D137)</x:f>
        <x:v>#NAME?</x:v>
      </x:c>
      <x:c r="D275" s="27" t="e">
        <x:f>IF($A275="","",대장!A137)</x:f>
        <x:v>#NAME?</x:v>
      </x:c>
      <x:c r="E275" s="27" t="e">
        <x:f>IF($A275="","",IF(대장!J137&lt;&gt;"",대장!J137,대장!D137&amp;"에 임함"&amp;IF(대장!E137="","",CHAR(10)&amp;"고용형태: "&amp;대장!E137)&amp;IF(대장!I137="","",CHAR(10)&amp;"소정근로시간: "&amp;대장!I137)&amp;CHAR(10)&amp;"근로기간: "&amp;YEAR(대장!F137)&amp;"."&amp;MONTH(대장!F137)&amp;"."&amp;DAY(대장!F137)&amp;"."&amp;" ~ "&amp;IF(ISNUMBER(대장!G137),YEAR(대장!G137)&amp;"."&amp;MONTH(대장!G137)&amp;"."&amp;DAY(대장!G137)&amp;".","재직 중")))</x:f>
        <x:v>#NAME?</x:v>
      </x:c>
      <x:c r="F275" s="27" t="e">
        <x:f>IF($A275="","",IF(발령대장_설정!$B$5="","",발령대장_설정!$B$5))</x:f>
        <x:v>#NAME?</x:v>
      </x:c>
      <x:c r="G275" s="27" t="e">
        <x:f>IF($A275="","",IF(발령대장_설정!$B$6="","",발령대장_설정!$B$6))</x:f>
        <x:v>#NAME?</x:v>
      </x:c>
      <x:c r="H275" s="27" t="e">
        <x:f>IF($A275="","",IF(발령대장_설정!$B$7="","",발령대장_설정!$B$7))</x:f>
        <x:v>#NAME?</x:v>
      </x:c>
      <x:c r="I275" s="27" t="e">
        <x:f>IF($A275="","",IF(발령대장_설정!$B$8="","",발령대장_설정!$B$8))</x:f>
        <x:v>#NAME?</x:v>
      </x:c>
      <x:c r="J275" s="27" t="e">
        <x:f>IF($A275="","",IF(대장!K137="","",대장!K137))</x:f>
        <x:v>#NAME?</x:v>
      </x:c>
    </x:row>
    <x:row r="276" ht="42" customHeight="1">
      <x:c r="A276" s="47" t="e">
        <x:f>IF(AND(대장!A137&lt;&gt;"",ISNUMBER(대장!F137),ISNUMBER(대장!G137),대장!G137&gt;=대장!F137,대장!H137&lt;&gt;""),대장!G137,"")</x:f>
        <x:v>#NAME?</x:v>
      </x:c>
      <x:c r="B276" s="27" t="e">
        <x:f>IF($A276="","",IF(발령대장_설정!$B$4="","",발령대장_설정!$B$4))</x:f>
        <x:v>#NAME?</x:v>
      </x:c>
      <x:c r="C276" s="27" t="e">
        <x:f>IF($A276="","",대장!D137)</x:f>
        <x:v>#NAME?</x:v>
      </x:c>
      <x:c r="D276" s="27" t="e">
        <x:f>IF($A276="","",대장!A137)</x:f>
        <x:v>#NAME?</x:v>
      </x:c>
      <x:c r="E276" s="27" t="e">
        <x:f>IF($A276="","",IF(OR(ISNUMBER(SEARCH("계약만료",대장!H137&amp;"")),ISNUMBER(SEARCH("기간만료",대장!H137&amp;""))),"계약기간 만료로 퇴직",IF(ISNUMBER(SEARCH("의원면직",대장!H137&amp;"")),"의원면직",IF(ISNUMBER(SEARCH("정년퇴직",대장!H137&amp;"")),"정년퇴직",대장!H137))))</x:f>
        <x:v>#NAME?</x:v>
      </x:c>
      <x:c r="F276" s="27" t="e">
        <x:f>IF($A276="","",IF(발령대장_설정!$B$5="","",발령대장_설정!$B$5))</x:f>
        <x:v>#NAME?</x:v>
      </x:c>
      <x:c r="G276" s="27" t="e">
        <x:f>IF($A276="","",IF(발령대장_설정!$B$6="","",발령대장_설정!$B$6))</x:f>
        <x:v>#NAME?</x:v>
      </x:c>
      <x:c r="H276" s="27" t="e">
        <x:f>IF($A276="","",IF(발령대장_설정!$B$7="","",발령대장_설정!$B$7))</x:f>
        <x:v>#NAME?</x:v>
      </x:c>
      <x:c r="I276" s="27" t="e">
        <x:f>IF($A276="","",IF(발령대장_설정!$B$8="","",발령대장_설정!$B$8))</x:f>
        <x:v>#NAME?</x:v>
      </x:c>
      <x:c r="J276" s="27" t="str">
        <x:f>""</x:f>
      </x:c>
    </x:row>
    <x:row r="277" ht="42" customHeight="1">
      <x:c r="A277" s="47" t="e">
        <x:f>IF(AND(대장!A138&lt;&gt;"",ISNUMBER(대장!F138),OR(대장!G138="",AND(ISNUMBER(대장!G138),대장!G138&gt;=대장!F138))),대장!F138,"")</x:f>
        <x:v>#NAME?</x:v>
      </x:c>
      <x:c r="B277" s="27" t="e">
        <x:f>IF($A277="","",IF(발령대장_설정!$B$4="","",발령대장_설정!$B$4))</x:f>
        <x:v>#NAME?</x:v>
      </x:c>
      <x:c r="C277" s="27" t="e">
        <x:f>IF($A277="","",대장!D138)</x:f>
        <x:v>#NAME?</x:v>
      </x:c>
      <x:c r="D277" s="27" t="e">
        <x:f>IF($A277="","",대장!A138)</x:f>
        <x:v>#NAME?</x:v>
      </x:c>
      <x:c r="E277" s="27" t="e">
        <x:f>IF($A277="","",IF(대장!J138&lt;&gt;"",대장!J138,대장!D138&amp;"에 임함"&amp;IF(대장!E138="","",CHAR(10)&amp;"고용형태: "&amp;대장!E138)&amp;IF(대장!I138="","",CHAR(10)&amp;"소정근로시간: "&amp;대장!I138)&amp;CHAR(10)&amp;"근로기간: "&amp;YEAR(대장!F138)&amp;"."&amp;MONTH(대장!F138)&amp;"."&amp;DAY(대장!F138)&amp;"."&amp;" ~ "&amp;IF(ISNUMBER(대장!G138),YEAR(대장!G138)&amp;"."&amp;MONTH(대장!G138)&amp;"."&amp;DAY(대장!G138)&amp;".","재직 중")))</x:f>
        <x:v>#NAME?</x:v>
      </x:c>
      <x:c r="F277" s="27" t="e">
        <x:f>IF($A277="","",IF(발령대장_설정!$B$5="","",발령대장_설정!$B$5))</x:f>
        <x:v>#NAME?</x:v>
      </x:c>
      <x:c r="G277" s="27" t="e">
        <x:f>IF($A277="","",IF(발령대장_설정!$B$6="","",발령대장_설정!$B$6))</x:f>
        <x:v>#NAME?</x:v>
      </x:c>
      <x:c r="H277" s="27" t="e">
        <x:f>IF($A277="","",IF(발령대장_설정!$B$7="","",발령대장_설정!$B$7))</x:f>
        <x:v>#NAME?</x:v>
      </x:c>
      <x:c r="I277" s="27" t="e">
        <x:f>IF($A277="","",IF(발령대장_설정!$B$8="","",발령대장_설정!$B$8))</x:f>
        <x:v>#NAME?</x:v>
      </x:c>
      <x:c r="J277" s="27" t="e">
        <x:f>IF($A277="","",IF(대장!K138="","",대장!K138))</x:f>
        <x:v>#NAME?</x:v>
      </x:c>
    </x:row>
    <x:row r="278" ht="42" customHeight="1">
      <x:c r="A278" s="47" t="e">
        <x:f>IF(AND(대장!A138&lt;&gt;"",ISNUMBER(대장!F138),ISNUMBER(대장!G138),대장!G138&gt;=대장!F138,대장!H138&lt;&gt;""),대장!G138,"")</x:f>
        <x:v>#NAME?</x:v>
      </x:c>
      <x:c r="B278" s="27" t="e">
        <x:f>IF($A278="","",IF(발령대장_설정!$B$4="","",발령대장_설정!$B$4))</x:f>
        <x:v>#NAME?</x:v>
      </x:c>
      <x:c r="C278" s="27" t="e">
        <x:f>IF($A278="","",대장!D138)</x:f>
        <x:v>#NAME?</x:v>
      </x:c>
      <x:c r="D278" s="27" t="e">
        <x:f>IF($A278="","",대장!A138)</x:f>
        <x:v>#NAME?</x:v>
      </x:c>
      <x:c r="E278" s="27" t="e">
        <x:f>IF($A278="","",IF(OR(ISNUMBER(SEARCH("계약만료",대장!H138&amp;"")),ISNUMBER(SEARCH("기간만료",대장!H138&amp;""))),"계약기간 만료로 퇴직",IF(ISNUMBER(SEARCH("의원면직",대장!H138&amp;"")),"의원면직",IF(ISNUMBER(SEARCH("정년퇴직",대장!H138&amp;"")),"정년퇴직",대장!H138))))</x:f>
        <x:v>#NAME?</x:v>
      </x:c>
      <x:c r="F278" s="27" t="e">
        <x:f>IF($A278="","",IF(발령대장_설정!$B$5="","",발령대장_설정!$B$5))</x:f>
        <x:v>#NAME?</x:v>
      </x:c>
      <x:c r="G278" s="27" t="e">
        <x:f>IF($A278="","",IF(발령대장_설정!$B$6="","",발령대장_설정!$B$6))</x:f>
        <x:v>#NAME?</x:v>
      </x:c>
      <x:c r="H278" s="27" t="e">
        <x:f>IF($A278="","",IF(발령대장_설정!$B$7="","",발령대장_설정!$B$7))</x:f>
        <x:v>#NAME?</x:v>
      </x:c>
      <x:c r="I278" s="27" t="e">
        <x:f>IF($A278="","",IF(발령대장_설정!$B$8="","",발령대장_설정!$B$8))</x:f>
        <x:v>#NAME?</x:v>
      </x:c>
      <x:c r="J278" s="27" t="str">
        <x:f>""</x:f>
      </x:c>
    </x:row>
    <x:row r="279" ht="42" customHeight="1">
      <x:c r="A279" s="47" t="e">
        <x:f>IF(AND(대장!A139&lt;&gt;"",ISNUMBER(대장!F139),OR(대장!G139="",AND(ISNUMBER(대장!G139),대장!G139&gt;=대장!F139))),대장!F139,"")</x:f>
        <x:v>#NAME?</x:v>
      </x:c>
      <x:c r="B279" s="27" t="e">
        <x:f>IF($A279="","",IF(발령대장_설정!$B$4="","",발령대장_설정!$B$4))</x:f>
        <x:v>#NAME?</x:v>
      </x:c>
      <x:c r="C279" s="27" t="e">
        <x:f>IF($A279="","",대장!D139)</x:f>
        <x:v>#NAME?</x:v>
      </x:c>
      <x:c r="D279" s="27" t="e">
        <x:f>IF($A279="","",대장!A139)</x:f>
        <x:v>#NAME?</x:v>
      </x:c>
      <x:c r="E279" s="27" t="e">
        <x:f>IF($A279="","",IF(대장!J139&lt;&gt;"",대장!J139,대장!D139&amp;"에 임함"&amp;IF(대장!E139="","",CHAR(10)&amp;"고용형태: "&amp;대장!E139)&amp;IF(대장!I139="","",CHAR(10)&amp;"소정근로시간: "&amp;대장!I139)&amp;CHAR(10)&amp;"근로기간: "&amp;YEAR(대장!F139)&amp;"."&amp;MONTH(대장!F139)&amp;"."&amp;DAY(대장!F139)&amp;"."&amp;" ~ "&amp;IF(ISNUMBER(대장!G139),YEAR(대장!G139)&amp;"."&amp;MONTH(대장!G139)&amp;"."&amp;DAY(대장!G139)&amp;".","재직 중")))</x:f>
        <x:v>#NAME?</x:v>
      </x:c>
      <x:c r="F279" s="27" t="e">
        <x:f>IF($A279="","",IF(발령대장_설정!$B$5="","",발령대장_설정!$B$5))</x:f>
        <x:v>#NAME?</x:v>
      </x:c>
      <x:c r="G279" s="27" t="e">
        <x:f>IF($A279="","",IF(발령대장_설정!$B$6="","",발령대장_설정!$B$6))</x:f>
        <x:v>#NAME?</x:v>
      </x:c>
      <x:c r="H279" s="27" t="e">
        <x:f>IF($A279="","",IF(발령대장_설정!$B$7="","",발령대장_설정!$B$7))</x:f>
        <x:v>#NAME?</x:v>
      </x:c>
      <x:c r="I279" s="27" t="e">
        <x:f>IF($A279="","",IF(발령대장_설정!$B$8="","",발령대장_설정!$B$8))</x:f>
        <x:v>#NAME?</x:v>
      </x:c>
      <x:c r="J279" s="27" t="e">
        <x:f>IF($A279="","",IF(대장!K139="","",대장!K139))</x:f>
        <x:v>#NAME?</x:v>
      </x:c>
    </x:row>
    <x:row r="280" ht="42" customHeight="1">
      <x:c r="A280" s="47" t="e">
        <x:f>IF(AND(대장!A139&lt;&gt;"",ISNUMBER(대장!F139),ISNUMBER(대장!G139),대장!G139&gt;=대장!F139,대장!H139&lt;&gt;""),대장!G139,"")</x:f>
        <x:v>#NAME?</x:v>
      </x:c>
      <x:c r="B280" s="27" t="e">
        <x:f>IF($A280="","",IF(발령대장_설정!$B$4="","",발령대장_설정!$B$4))</x:f>
        <x:v>#NAME?</x:v>
      </x:c>
      <x:c r="C280" s="27" t="e">
        <x:f>IF($A280="","",대장!D139)</x:f>
        <x:v>#NAME?</x:v>
      </x:c>
      <x:c r="D280" s="27" t="e">
        <x:f>IF($A280="","",대장!A139)</x:f>
        <x:v>#NAME?</x:v>
      </x:c>
      <x:c r="E280" s="27" t="e">
        <x:f>IF($A280="","",IF(OR(ISNUMBER(SEARCH("계약만료",대장!H139&amp;"")),ISNUMBER(SEARCH("기간만료",대장!H139&amp;""))),"계약기간 만료로 퇴직",IF(ISNUMBER(SEARCH("의원면직",대장!H139&amp;"")),"의원면직",IF(ISNUMBER(SEARCH("정년퇴직",대장!H139&amp;"")),"정년퇴직",대장!H139))))</x:f>
        <x:v>#NAME?</x:v>
      </x:c>
      <x:c r="F280" s="27" t="e">
        <x:f>IF($A280="","",IF(발령대장_설정!$B$5="","",발령대장_설정!$B$5))</x:f>
        <x:v>#NAME?</x:v>
      </x:c>
      <x:c r="G280" s="27" t="e">
        <x:f>IF($A280="","",IF(발령대장_설정!$B$6="","",발령대장_설정!$B$6))</x:f>
        <x:v>#NAME?</x:v>
      </x:c>
      <x:c r="H280" s="27" t="e">
        <x:f>IF($A280="","",IF(발령대장_설정!$B$7="","",발령대장_설정!$B$7))</x:f>
        <x:v>#NAME?</x:v>
      </x:c>
      <x:c r="I280" s="27" t="e">
        <x:f>IF($A280="","",IF(발령대장_설정!$B$8="","",발령대장_설정!$B$8))</x:f>
        <x:v>#NAME?</x:v>
      </x:c>
      <x:c r="J280" s="27" t="str">
        <x:f>""</x:f>
      </x:c>
    </x:row>
    <x:row r="281" ht="42" customHeight="1">
      <x:c r="A281" s="47" t="e">
        <x:f>IF(AND(대장!A140&lt;&gt;"",ISNUMBER(대장!F140),OR(대장!G140="",AND(ISNUMBER(대장!G140),대장!G140&gt;=대장!F140))),대장!F140,"")</x:f>
        <x:v>#NAME?</x:v>
      </x:c>
      <x:c r="B281" s="27" t="e">
        <x:f>IF($A281="","",IF(발령대장_설정!$B$4="","",발령대장_설정!$B$4))</x:f>
        <x:v>#NAME?</x:v>
      </x:c>
      <x:c r="C281" s="27" t="e">
        <x:f>IF($A281="","",대장!D140)</x:f>
        <x:v>#NAME?</x:v>
      </x:c>
      <x:c r="D281" s="27" t="e">
        <x:f>IF($A281="","",대장!A140)</x:f>
        <x:v>#NAME?</x:v>
      </x:c>
      <x:c r="E281" s="27" t="e">
        <x:f>IF($A281="","",IF(대장!J140&lt;&gt;"",대장!J140,대장!D140&amp;"에 임함"&amp;IF(대장!E140="","",CHAR(10)&amp;"고용형태: "&amp;대장!E140)&amp;IF(대장!I140="","",CHAR(10)&amp;"소정근로시간: "&amp;대장!I140)&amp;CHAR(10)&amp;"근로기간: "&amp;YEAR(대장!F140)&amp;"."&amp;MONTH(대장!F140)&amp;"."&amp;DAY(대장!F140)&amp;"."&amp;" ~ "&amp;IF(ISNUMBER(대장!G140),YEAR(대장!G140)&amp;"."&amp;MONTH(대장!G140)&amp;"."&amp;DAY(대장!G140)&amp;".","재직 중")))</x:f>
        <x:v>#NAME?</x:v>
      </x:c>
      <x:c r="F281" s="27" t="e">
        <x:f>IF($A281="","",IF(발령대장_설정!$B$5="","",발령대장_설정!$B$5))</x:f>
        <x:v>#NAME?</x:v>
      </x:c>
      <x:c r="G281" s="27" t="e">
        <x:f>IF($A281="","",IF(발령대장_설정!$B$6="","",발령대장_설정!$B$6))</x:f>
        <x:v>#NAME?</x:v>
      </x:c>
      <x:c r="H281" s="27" t="e">
        <x:f>IF($A281="","",IF(발령대장_설정!$B$7="","",발령대장_설정!$B$7))</x:f>
        <x:v>#NAME?</x:v>
      </x:c>
      <x:c r="I281" s="27" t="e">
        <x:f>IF($A281="","",IF(발령대장_설정!$B$8="","",발령대장_설정!$B$8))</x:f>
        <x:v>#NAME?</x:v>
      </x:c>
      <x:c r="J281" s="27" t="e">
        <x:f>IF($A281="","",IF(대장!K140="","",대장!K140))</x:f>
        <x:v>#NAME?</x:v>
      </x:c>
    </x:row>
    <x:row r="282" ht="42" customHeight="1">
      <x:c r="A282" s="47" t="e">
        <x:f>IF(AND(대장!A140&lt;&gt;"",ISNUMBER(대장!F140),ISNUMBER(대장!G140),대장!G140&gt;=대장!F140,대장!H140&lt;&gt;""),대장!G140,"")</x:f>
        <x:v>#NAME?</x:v>
      </x:c>
      <x:c r="B282" s="27" t="e">
        <x:f>IF($A282="","",IF(발령대장_설정!$B$4="","",발령대장_설정!$B$4))</x:f>
        <x:v>#NAME?</x:v>
      </x:c>
      <x:c r="C282" s="27" t="e">
        <x:f>IF($A282="","",대장!D140)</x:f>
        <x:v>#NAME?</x:v>
      </x:c>
      <x:c r="D282" s="27" t="e">
        <x:f>IF($A282="","",대장!A140)</x:f>
        <x:v>#NAME?</x:v>
      </x:c>
      <x:c r="E282" s="27" t="e">
        <x:f>IF($A282="","",IF(OR(ISNUMBER(SEARCH("계약만료",대장!H140&amp;"")),ISNUMBER(SEARCH("기간만료",대장!H140&amp;""))),"계약기간 만료로 퇴직",IF(ISNUMBER(SEARCH("의원면직",대장!H140&amp;"")),"의원면직",IF(ISNUMBER(SEARCH("정년퇴직",대장!H140&amp;"")),"정년퇴직",대장!H140))))</x:f>
        <x:v>#NAME?</x:v>
      </x:c>
      <x:c r="F282" s="27" t="e">
        <x:f>IF($A282="","",IF(발령대장_설정!$B$5="","",발령대장_설정!$B$5))</x:f>
        <x:v>#NAME?</x:v>
      </x:c>
      <x:c r="G282" s="27" t="e">
        <x:f>IF($A282="","",IF(발령대장_설정!$B$6="","",발령대장_설정!$B$6))</x:f>
        <x:v>#NAME?</x:v>
      </x:c>
      <x:c r="H282" s="27" t="e">
        <x:f>IF($A282="","",IF(발령대장_설정!$B$7="","",발령대장_설정!$B$7))</x:f>
        <x:v>#NAME?</x:v>
      </x:c>
      <x:c r="I282" s="27" t="e">
        <x:f>IF($A282="","",IF(발령대장_설정!$B$8="","",발령대장_설정!$B$8))</x:f>
        <x:v>#NAME?</x:v>
      </x:c>
      <x:c r="J282" s="27" t="str">
        <x:f>""</x:f>
      </x:c>
    </x:row>
    <x:row r="283" ht="42" customHeight="1">
      <x:c r="A283" s="47" t="e">
        <x:f>IF(AND(대장!A141&lt;&gt;"",ISNUMBER(대장!F141),OR(대장!G141="",AND(ISNUMBER(대장!G141),대장!G141&gt;=대장!F141))),대장!F141,"")</x:f>
        <x:v>#NAME?</x:v>
      </x:c>
      <x:c r="B283" s="27" t="e">
        <x:f>IF($A283="","",IF(발령대장_설정!$B$4="","",발령대장_설정!$B$4))</x:f>
        <x:v>#NAME?</x:v>
      </x:c>
      <x:c r="C283" s="27" t="e">
        <x:f>IF($A283="","",대장!D141)</x:f>
        <x:v>#NAME?</x:v>
      </x:c>
      <x:c r="D283" s="27" t="e">
        <x:f>IF($A283="","",대장!A141)</x:f>
        <x:v>#NAME?</x:v>
      </x:c>
      <x:c r="E283" s="27" t="e">
        <x:f>IF($A283="","",IF(대장!J141&lt;&gt;"",대장!J141,대장!D141&amp;"에 임함"&amp;IF(대장!E141="","",CHAR(10)&amp;"고용형태: "&amp;대장!E141)&amp;IF(대장!I141="","",CHAR(10)&amp;"소정근로시간: "&amp;대장!I141)&amp;CHAR(10)&amp;"근로기간: "&amp;YEAR(대장!F141)&amp;"."&amp;MONTH(대장!F141)&amp;"."&amp;DAY(대장!F141)&amp;"."&amp;" ~ "&amp;IF(ISNUMBER(대장!G141),YEAR(대장!G141)&amp;"."&amp;MONTH(대장!G141)&amp;"."&amp;DAY(대장!G141)&amp;".","재직 중")))</x:f>
        <x:v>#NAME?</x:v>
      </x:c>
      <x:c r="F283" s="27" t="e">
        <x:f>IF($A283="","",IF(발령대장_설정!$B$5="","",발령대장_설정!$B$5))</x:f>
        <x:v>#NAME?</x:v>
      </x:c>
      <x:c r="G283" s="27" t="e">
        <x:f>IF($A283="","",IF(발령대장_설정!$B$6="","",발령대장_설정!$B$6))</x:f>
        <x:v>#NAME?</x:v>
      </x:c>
      <x:c r="H283" s="27" t="e">
        <x:f>IF($A283="","",IF(발령대장_설정!$B$7="","",발령대장_설정!$B$7))</x:f>
        <x:v>#NAME?</x:v>
      </x:c>
      <x:c r="I283" s="27" t="e">
        <x:f>IF($A283="","",IF(발령대장_설정!$B$8="","",발령대장_설정!$B$8))</x:f>
        <x:v>#NAME?</x:v>
      </x:c>
      <x:c r="J283" s="27" t="e">
        <x:f>IF($A283="","",IF(대장!K141="","",대장!K141))</x:f>
        <x:v>#NAME?</x:v>
      </x:c>
    </x:row>
    <x:row r="284" ht="42" customHeight="1">
      <x:c r="A284" s="47" t="e">
        <x:f>IF(AND(대장!A141&lt;&gt;"",ISNUMBER(대장!F141),ISNUMBER(대장!G141),대장!G141&gt;=대장!F141,대장!H141&lt;&gt;""),대장!G141,"")</x:f>
        <x:v>#NAME?</x:v>
      </x:c>
      <x:c r="B284" s="27" t="e">
        <x:f>IF($A284="","",IF(발령대장_설정!$B$4="","",발령대장_설정!$B$4))</x:f>
        <x:v>#NAME?</x:v>
      </x:c>
      <x:c r="C284" s="27" t="e">
        <x:f>IF($A284="","",대장!D141)</x:f>
        <x:v>#NAME?</x:v>
      </x:c>
      <x:c r="D284" s="27" t="e">
        <x:f>IF($A284="","",대장!A141)</x:f>
        <x:v>#NAME?</x:v>
      </x:c>
      <x:c r="E284" s="27" t="e">
        <x:f>IF($A284="","",IF(OR(ISNUMBER(SEARCH("계약만료",대장!H141&amp;"")),ISNUMBER(SEARCH("기간만료",대장!H141&amp;""))),"계약기간 만료로 퇴직",IF(ISNUMBER(SEARCH("의원면직",대장!H141&amp;"")),"의원면직",IF(ISNUMBER(SEARCH("정년퇴직",대장!H141&amp;"")),"정년퇴직",대장!H141))))</x:f>
        <x:v>#NAME?</x:v>
      </x:c>
      <x:c r="F284" s="27" t="e">
        <x:f>IF($A284="","",IF(발령대장_설정!$B$5="","",발령대장_설정!$B$5))</x:f>
        <x:v>#NAME?</x:v>
      </x:c>
      <x:c r="G284" s="27" t="e">
        <x:f>IF($A284="","",IF(발령대장_설정!$B$6="","",발령대장_설정!$B$6))</x:f>
        <x:v>#NAME?</x:v>
      </x:c>
      <x:c r="H284" s="27" t="e">
        <x:f>IF($A284="","",IF(발령대장_설정!$B$7="","",발령대장_설정!$B$7))</x:f>
        <x:v>#NAME?</x:v>
      </x:c>
      <x:c r="I284" s="27" t="e">
        <x:f>IF($A284="","",IF(발령대장_설정!$B$8="","",발령대장_설정!$B$8))</x:f>
        <x:v>#NAME?</x:v>
      </x:c>
      <x:c r="J284" s="27" t="str">
        <x:f>""</x:f>
      </x:c>
    </x:row>
    <x:row r="285" ht="42" customHeight="1">
      <x:c r="A285" s="47" t="e">
        <x:f>IF(AND(대장!A142&lt;&gt;"",ISNUMBER(대장!F142),OR(대장!G142="",AND(ISNUMBER(대장!G142),대장!G142&gt;=대장!F142))),대장!F142,"")</x:f>
        <x:v>#NAME?</x:v>
      </x:c>
      <x:c r="B285" s="27" t="e">
        <x:f>IF($A285="","",IF(발령대장_설정!$B$4="","",발령대장_설정!$B$4))</x:f>
        <x:v>#NAME?</x:v>
      </x:c>
      <x:c r="C285" s="27" t="e">
        <x:f>IF($A285="","",대장!D142)</x:f>
        <x:v>#NAME?</x:v>
      </x:c>
      <x:c r="D285" s="27" t="e">
        <x:f>IF($A285="","",대장!A142)</x:f>
        <x:v>#NAME?</x:v>
      </x:c>
      <x:c r="E285" s="27" t="e">
        <x:f>IF($A285="","",IF(대장!J142&lt;&gt;"",대장!J142,대장!D142&amp;"에 임함"&amp;IF(대장!E142="","",CHAR(10)&amp;"고용형태: "&amp;대장!E142)&amp;IF(대장!I142="","",CHAR(10)&amp;"소정근로시간: "&amp;대장!I142)&amp;CHAR(10)&amp;"근로기간: "&amp;YEAR(대장!F142)&amp;"."&amp;MONTH(대장!F142)&amp;"."&amp;DAY(대장!F142)&amp;"."&amp;" ~ "&amp;IF(ISNUMBER(대장!G142),YEAR(대장!G142)&amp;"."&amp;MONTH(대장!G142)&amp;"."&amp;DAY(대장!G142)&amp;".","재직 중")))</x:f>
        <x:v>#NAME?</x:v>
      </x:c>
      <x:c r="F285" s="27" t="e">
        <x:f>IF($A285="","",IF(발령대장_설정!$B$5="","",발령대장_설정!$B$5))</x:f>
        <x:v>#NAME?</x:v>
      </x:c>
      <x:c r="G285" s="27" t="e">
        <x:f>IF($A285="","",IF(발령대장_설정!$B$6="","",발령대장_설정!$B$6))</x:f>
        <x:v>#NAME?</x:v>
      </x:c>
      <x:c r="H285" s="27" t="e">
        <x:f>IF($A285="","",IF(발령대장_설정!$B$7="","",발령대장_설정!$B$7))</x:f>
        <x:v>#NAME?</x:v>
      </x:c>
      <x:c r="I285" s="27" t="e">
        <x:f>IF($A285="","",IF(발령대장_설정!$B$8="","",발령대장_설정!$B$8))</x:f>
        <x:v>#NAME?</x:v>
      </x:c>
      <x:c r="J285" s="27" t="e">
        <x:f>IF($A285="","",IF(대장!K142="","",대장!K142))</x:f>
        <x:v>#NAME?</x:v>
      </x:c>
    </x:row>
    <x:row r="286" ht="42" customHeight="1">
      <x:c r="A286" s="47" t="e">
        <x:f>IF(AND(대장!A142&lt;&gt;"",ISNUMBER(대장!F142),ISNUMBER(대장!G142),대장!G142&gt;=대장!F142,대장!H142&lt;&gt;""),대장!G142,"")</x:f>
        <x:v>#NAME?</x:v>
      </x:c>
      <x:c r="B286" s="27" t="e">
        <x:f>IF($A286="","",IF(발령대장_설정!$B$4="","",발령대장_설정!$B$4))</x:f>
        <x:v>#NAME?</x:v>
      </x:c>
      <x:c r="C286" s="27" t="e">
        <x:f>IF($A286="","",대장!D142)</x:f>
        <x:v>#NAME?</x:v>
      </x:c>
      <x:c r="D286" s="27" t="e">
        <x:f>IF($A286="","",대장!A142)</x:f>
        <x:v>#NAME?</x:v>
      </x:c>
      <x:c r="E286" s="27" t="e">
        <x:f>IF($A286="","",IF(OR(ISNUMBER(SEARCH("계약만료",대장!H142&amp;"")),ISNUMBER(SEARCH("기간만료",대장!H142&amp;""))),"계약기간 만료로 퇴직",IF(ISNUMBER(SEARCH("의원면직",대장!H142&amp;"")),"의원면직",IF(ISNUMBER(SEARCH("정년퇴직",대장!H142&amp;"")),"정년퇴직",대장!H142))))</x:f>
        <x:v>#NAME?</x:v>
      </x:c>
      <x:c r="F286" s="27" t="e">
        <x:f>IF($A286="","",IF(발령대장_설정!$B$5="","",발령대장_설정!$B$5))</x:f>
        <x:v>#NAME?</x:v>
      </x:c>
      <x:c r="G286" s="27" t="e">
        <x:f>IF($A286="","",IF(발령대장_설정!$B$6="","",발령대장_설정!$B$6))</x:f>
        <x:v>#NAME?</x:v>
      </x:c>
      <x:c r="H286" s="27" t="e">
        <x:f>IF($A286="","",IF(발령대장_설정!$B$7="","",발령대장_설정!$B$7))</x:f>
        <x:v>#NAME?</x:v>
      </x:c>
      <x:c r="I286" s="27" t="e">
        <x:f>IF($A286="","",IF(발령대장_설정!$B$8="","",발령대장_설정!$B$8))</x:f>
        <x:v>#NAME?</x:v>
      </x:c>
      <x:c r="J286" s="27" t="str">
        <x:f>""</x:f>
      </x:c>
    </x:row>
    <x:row r="287" ht="42" customHeight="1">
      <x:c r="A287" s="47" t="e">
        <x:f>IF(AND(대장!A143&lt;&gt;"",ISNUMBER(대장!F143),OR(대장!G143="",AND(ISNUMBER(대장!G143),대장!G143&gt;=대장!F143))),대장!F143,"")</x:f>
        <x:v>#NAME?</x:v>
      </x:c>
      <x:c r="B287" s="27" t="e">
        <x:f>IF($A287="","",IF(발령대장_설정!$B$4="","",발령대장_설정!$B$4))</x:f>
        <x:v>#NAME?</x:v>
      </x:c>
      <x:c r="C287" s="27" t="e">
        <x:f>IF($A287="","",대장!D143)</x:f>
        <x:v>#NAME?</x:v>
      </x:c>
      <x:c r="D287" s="27" t="e">
        <x:f>IF($A287="","",대장!A143)</x:f>
        <x:v>#NAME?</x:v>
      </x:c>
      <x:c r="E287" s="27" t="e">
        <x:f>IF($A287="","",IF(대장!J143&lt;&gt;"",대장!J143,대장!D143&amp;"에 임함"&amp;IF(대장!E143="","",CHAR(10)&amp;"고용형태: "&amp;대장!E143)&amp;IF(대장!I143="","",CHAR(10)&amp;"소정근로시간: "&amp;대장!I143)&amp;CHAR(10)&amp;"근로기간: "&amp;YEAR(대장!F143)&amp;"."&amp;MONTH(대장!F143)&amp;"."&amp;DAY(대장!F143)&amp;"."&amp;" ~ "&amp;IF(ISNUMBER(대장!G143),YEAR(대장!G143)&amp;"."&amp;MONTH(대장!G143)&amp;"."&amp;DAY(대장!G143)&amp;".","재직 중")))</x:f>
        <x:v>#NAME?</x:v>
      </x:c>
      <x:c r="F287" s="27" t="e">
        <x:f>IF($A287="","",IF(발령대장_설정!$B$5="","",발령대장_설정!$B$5))</x:f>
        <x:v>#NAME?</x:v>
      </x:c>
      <x:c r="G287" s="27" t="e">
        <x:f>IF($A287="","",IF(발령대장_설정!$B$6="","",발령대장_설정!$B$6))</x:f>
        <x:v>#NAME?</x:v>
      </x:c>
      <x:c r="H287" s="27" t="e">
        <x:f>IF($A287="","",IF(발령대장_설정!$B$7="","",발령대장_설정!$B$7))</x:f>
        <x:v>#NAME?</x:v>
      </x:c>
      <x:c r="I287" s="27" t="e">
        <x:f>IF($A287="","",IF(발령대장_설정!$B$8="","",발령대장_설정!$B$8))</x:f>
        <x:v>#NAME?</x:v>
      </x:c>
      <x:c r="J287" s="27" t="e">
        <x:f>IF($A287="","",IF(대장!K143="","",대장!K143))</x:f>
        <x:v>#NAME?</x:v>
      </x:c>
    </x:row>
    <x:row r="288" ht="42" customHeight="1">
      <x:c r="A288" s="47" t="e">
        <x:f>IF(AND(대장!A143&lt;&gt;"",ISNUMBER(대장!F143),ISNUMBER(대장!G143),대장!G143&gt;=대장!F143,대장!H143&lt;&gt;""),대장!G143,"")</x:f>
        <x:v>#NAME?</x:v>
      </x:c>
      <x:c r="B288" s="27" t="e">
        <x:f>IF($A288="","",IF(발령대장_설정!$B$4="","",발령대장_설정!$B$4))</x:f>
        <x:v>#NAME?</x:v>
      </x:c>
      <x:c r="C288" s="27" t="e">
        <x:f>IF($A288="","",대장!D143)</x:f>
        <x:v>#NAME?</x:v>
      </x:c>
      <x:c r="D288" s="27" t="e">
        <x:f>IF($A288="","",대장!A143)</x:f>
        <x:v>#NAME?</x:v>
      </x:c>
      <x:c r="E288" s="27" t="e">
        <x:f>IF($A288="","",IF(OR(ISNUMBER(SEARCH("계약만료",대장!H143&amp;"")),ISNUMBER(SEARCH("기간만료",대장!H143&amp;""))),"계약기간 만료로 퇴직",IF(ISNUMBER(SEARCH("의원면직",대장!H143&amp;"")),"의원면직",IF(ISNUMBER(SEARCH("정년퇴직",대장!H143&amp;"")),"정년퇴직",대장!H143))))</x:f>
        <x:v>#NAME?</x:v>
      </x:c>
      <x:c r="F288" s="27" t="e">
        <x:f>IF($A288="","",IF(발령대장_설정!$B$5="","",발령대장_설정!$B$5))</x:f>
        <x:v>#NAME?</x:v>
      </x:c>
      <x:c r="G288" s="27" t="e">
        <x:f>IF($A288="","",IF(발령대장_설정!$B$6="","",발령대장_설정!$B$6))</x:f>
        <x:v>#NAME?</x:v>
      </x:c>
      <x:c r="H288" s="27" t="e">
        <x:f>IF($A288="","",IF(발령대장_설정!$B$7="","",발령대장_설정!$B$7))</x:f>
        <x:v>#NAME?</x:v>
      </x:c>
      <x:c r="I288" s="27" t="e">
        <x:f>IF($A288="","",IF(발령대장_설정!$B$8="","",발령대장_설정!$B$8))</x:f>
        <x:v>#NAME?</x:v>
      </x:c>
      <x:c r="J288" s="27" t="str">
        <x:f>""</x:f>
      </x:c>
    </x:row>
    <x:row r="289" ht="42" customHeight="1">
      <x:c r="A289" s="47" t="e">
        <x:f>IF(AND(대장!A144&lt;&gt;"",ISNUMBER(대장!F144),OR(대장!G144="",AND(ISNUMBER(대장!G144),대장!G144&gt;=대장!F144))),대장!F144,"")</x:f>
        <x:v>#NAME?</x:v>
      </x:c>
      <x:c r="B289" s="27" t="e">
        <x:f>IF($A289="","",IF(발령대장_설정!$B$4="","",발령대장_설정!$B$4))</x:f>
        <x:v>#NAME?</x:v>
      </x:c>
      <x:c r="C289" s="27" t="e">
        <x:f>IF($A289="","",대장!D144)</x:f>
        <x:v>#NAME?</x:v>
      </x:c>
      <x:c r="D289" s="27" t="e">
        <x:f>IF($A289="","",대장!A144)</x:f>
        <x:v>#NAME?</x:v>
      </x:c>
      <x:c r="E289" s="27" t="e">
        <x:f>IF($A289="","",IF(대장!J144&lt;&gt;"",대장!J144,대장!D144&amp;"에 임함"&amp;IF(대장!E144="","",CHAR(10)&amp;"고용형태: "&amp;대장!E144)&amp;IF(대장!I144="","",CHAR(10)&amp;"소정근로시간: "&amp;대장!I144)&amp;CHAR(10)&amp;"근로기간: "&amp;YEAR(대장!F144)&amp;"."&amp;MONTH(대장!F144)&amp;"."&amp;DAY(대장!F144)&amp;"."&amp;" ~ "&amp;IF(ISNUMBER(대장!G144),YEAR(대장!G144)&amp;"."&amp;MONTH(대장!G144)&amp;"."&amp;DAY(대장!G144)&amp;".","재직 중")))</x:f>
        <x:v>#NAME?</x:v>
      </x:c>
      <x:c r="F289" s="27" t="e">
        <x:f>IF($A289="","",IF(발령대장_설정!$B$5="","",발령대장_설정!$B$5))</x:f>
        <x:v>#NAME?</x:v>
      </x:c>
      <x:c r="G289" s="27" t="e">
        <x:f>IF($A289="","",IF(발령대장_설정!$B$6="","",발령대장_설정!$B$6))</x:f>
        <x:v>#NAME?</x:v>
      </x:c>
      <x:c r="H289" s="27" t="e">
        <x:f>IF($A289="","",IF(발령대장_설정!$B$7="","",발령대장_설정!$B$7))</x:f>
        <x:v>#NAME?</x:v>
      </x:c>
      <x:c r="I289" s="27" t="e">
        <x:f>IF($A289="","",IF(발령대장_설정!$B$8="","",발령대장_설정!$B$8))</x:f>
        <x:v>#NAME?</x:v>
      </x:c>
      <x:c r="J289" s="27" t="e">
        <x:f>IF($A289="","",IF(대장!K144="","",대장!K144))</x:f>
        <x:v>#NAME?</x:v>
      </x:c>
    </x:row>
    <x:row r="290" ht="42" customHeight="1">
      <x:c r="A290" s="47" t="e">
        <x:f>IF(AND(대장!A144&lt;&gt;"",ISNUMBER(대장!F144),ISNUMBER(대장!G144),대장!G144&gt;=대장!F144,대장!H144&lt;&gt;""),대장!G144,"")</x:f>
        <x:v>#NAME?</x:v>
      </x:c>
      <x:c r="B290" s="27" t="e">
        <x:f>IF($A290="","",IF(발령대장_설정!$B$4="","",발령대장_설정!$B$4))</x:f>
        <x:v>#NAME?</x:v>
      </x:c>
      <x:c r="C290" s="27" t="e">
        <x:f>IF($A290="","",대장!D144)</x:f>
        <x:v>#NAME?</x:v>
      </x:c>
      <x:c r="D290" s="27" t="e">
        <x:f>IF($A290="","",대장!A144)</x:f>
        <x:v>#NAME?</x:v>
      </x:c>
      <x:c r="E290" s="27" t="e">
        <x:f>IF($A290="","",IF(OR(ISNUMBER(SEARCH("계약만료",대장!H144&amp;"")),ISNUMBER(SEARCH("기간만료",대장!H144&amp;""))),"계약기간 만료로 퇴직",IF(ISNUMBER(SEARCH("의원면직",대장!H144&amp;"")),"의원면직",IF(ISNUMBER(SEARCH("정년퇴직",대장!H144&amp;"")),"정년퇴직",대장!H144))))</x:f>
        <x:v>#NAME?</x:v>
      </x:c>
      <x:c r="F290" s="27" t="e">
        <x:f>IF($A290="","",IF(발령대장_설정!$B$5="","",발령대장_설정!$B$5))</x:f>
        <x:v>#NAME?</x:v>
      </x:c>
      <x:c r="G290" s="27" t="e">
        <x:f>IF($A290="","",IF(발령대장_설정!$B$6="","",발령대장_설정!$B$6))</x:f>
        <x:v>#NAME?</x:v>
      </x:c>
      <x:c r="H290" s="27" t="e">
        <x:f>IF($A290="","",IF(발령대장_설정!$B$7="","",발령대장_설정!$B$7))</x:f>
        <x:v>#NAME?</x:v>
      </x:c>
      <x:c r="I290" s="27" t="e">
        <x:f>IF($A290="","",IF(발령대장_설정!$B$8="","",발령대장_설정!$B$8))</x:f>
        <x:v>#NAME?</x:v>
      </x:c>
      <x:c r="J290" s="27" t="str">
        <x:f>""</x:f>
      </x:c>
    </x:row>
    <x:row r="291" ht="42" customHeight="1">
      <x:c r="A291" s="47" t="e">
        <x:f>IF(AND(대장!A145&lt;&gt;"",ISNUMBER(대장!F145),OR(대장!G145="",AND(ISNUMBER(대장!G145),대장!G145&gt;=대장!F145))),대장!F145,"")</x:f>
        <x:v>#NAME?</x:v>
      </x:c>
      <x:c r="B291" s="27" t="e">
        <x:f>IF($A291="","",IF(발령대장_설정!$B$4="","",발령대장_설정!$B$4))</x:f>
        <x:v>#NAME?</x:v>
      </x:c>
      <x:c r="C291" s="27" t="e">
        <x:f>IF($A291="","",대장!D145)</x:f>
        <x:v>#NAME?</x:v>
      </x:c>
      <x:c r="D291" s="27" t="e">
        <x:f>IF($A291="","",대장!A145)</x:f>
        <x:v>#NAME?</x:v>
      </x:c>
      <x:c r="E291" s="27" t="e">
        <x:f>IF($A291="","",IF(대장!J145&lt;&gt;"",대장!J145,대장!D145&amp;"에 임함"&amp;IF(대장!E145="","",CHAR(10)&amp;"고용형태: "&amp;대장!E145)&amp;IF(대장!I145="","",CHAR(10)&amp;"소정근로시간: "&amp;대장!I145)&amp;CHAR(10)&amp;"근로기간: "&amp;YEAR(대장!F145)&amp;"."&amp;MONTH(대장!F145)&amp;"."&amp;DAY(대장!F145)&amp;"."&amp;" ~ "&amp;IF(ISNUMBER(대장!G145),YEAR(대장!G145)&amp;"."&amp;MONTH(대장!G145)&amp;"."&amp;DAY(대장!G145)&amp;".","재직 중")))</x:f>
        <x:v>#NAME?</x:v>
      </x:c>
      <x:c r="F291" s="27" t="e">
        <x:f>IF($A291="","",IF(발령대장_설정!$B$5="","",발령대장_설정!$B$5))</x:f>
        <x:v>#NAME?</x:v>
      </x:c>
      <x:c r="G291" s="27" t="e">
        <x:f>IF($A291="","",IF(발령대장_설정!$B$6="","",발령대장_설정!$B$6))</x:f>
        <x:v>#NAME?</x:v>
      </x:c>
      <x:c r="H291" s="27" t="e">
        <x:f>IF($A291="","",IF(발령대장_설정!$B$7="","",발령대장_설정!$B$7))</x:f>
        <x:v>#NAME?</x:v>
      </x:c>
      <x:c r="I291" s="27" t="e">
        <x:f>IF($A291="","",IF(발령대장_설정!$B$8="","",발령대장_설정!$B$8))</x:f>
        <x:v>#NAME?</x:v>
      </x:c>
      <x:c r="J291" s="27" t="e">
        <x:f>IF($A291="","",IF(대장!K145="","",대장!K145))</x:f>
        <x:v>#NAME?</x:v>
      </x:c>
    </x:row>
    <x:row r="292" ht="42" customHeight="1">
      <x:c r="A292" s="47" t="e">
        <x:f>IF(AND(대장!A145&lt;&gt;"",ISNUMBER(대장!F145),ISNUMBER(대장!G145),대장!G145&gt;=대장!F145,대장!H145&lt;&gt;""),대장!G145,"")</x:f>
        <x:v>#NAME?</x:v>
      </x:c>
      <x:c r="B292" s="27" t="e">
        <x:f>IF($A292="","",IF(발령대장_설정!$B$4="","",발령대장_설정!$B$4))</x:f>
        <x:v>#NAME?</x:v>
      </x:c>
      <x:c r="C292" s="27" t="e">
        <x:f>IF($A292="","",대장!D145)</x:f>
        <x:v>#NAME?</x:v>
      </x:c>
      <x:c r="D292" s="27" t="e">
        <x:f>IF($A292="","",대장!A145)</x:f>
        <x:v>#NAME?</x:v>
      </x:c>
      <x:c r="E292" s="27" t="e">
        <x:f>IF($A292="","",IF(OR(ISNUMBER(SEARCH("계약만료",대장!H145&amp;"")),ISNUMBER(SEARCH("기간만료",대장!H145&amp;""))),"계약기간 만료로 퇴직",IF(ISNUMBER(SEARCH("의원면직",대장!H145&amp;"")),"의원면직",IF(ISNUMBER(SEARCH("정년퇴직",대장!H145&amp;"")),"정년퇴직",대장!H145))))</x:f>
        <x:v>#NAME?</x:v>
      </x:c>
      <x:c r="F292" s="27" t="e">
        <x:f>IF($A292="","",IF(발령대장_설정!$B$5="","",발령대장_설정!$B$5))</x:f>
        <x:v>#NAME?</x:v>
      </x:c>
      <x:c r="G292" s="27" t="e">
        <x:f>IF($A292="","",IF(발령대장_설정!$B$6="","",발령대장_설정!$B$6))</x:f>
        <x:v>#NAME?</x:v>
      </x:c>
      <x:c r="H292" s="27" t="e">
        <x:f>IF($A292="","",IF(발령대장_설정!$B$7="","",발령대장_설정!$B$7))</x:f>
        <x:v>#NAME?</x:v>
      </x:c>
      <x:c r="I292" s="27" t="e">
        <x:f>IF($A292="","",IF(발령대장_설정!$B$8="","",발령대장_설정!$B$8))</x:f>
        <x:v>#NAME?</x:v>
      </x:c>
      <x:c r="J292" s="27" t="str">
        <x:f>""</x:f>
      </x:c>
    </x:row>
    <x:row r="293" ht="42" customHeight="1">
      <x:c r="A293" s="47" t="e">
        <x:f>IF(AND(대장!A146&lt;&gt;"",ISNUMBER(대장!F146),OR(대장!G146="",AND(ISNUMBER(대장!G146),대장!G146&gt;=대장!F146))),대장!F146,"")</x:f>
        <x:v>#NAME?</x:v>
      </x:c>
      <x:c r="B293" s="27" t="e">
        <x:f>IF($A293="","",IF(발령대장_설정!$B$4="","",발령대장_설정!$B$4))</x:f>
        <x:v>#NAME?</x:v>
      </x:c>
      <x:c r="C293" s="27" t="e">
        <x:f>IF($A293="","",대장!D146)</x:f>
        <x:v>#NAME?</x:v>
      </x:c>
      <x:c r="D293" s="27" t="e">
        <x:f>IF($A293="","",대장!A146)</x:f>
        <x:v>#NAME?</x:v>
      </x:c>
      <x:c r="E293" s="27" t="e">
        <x:f>IF($A293="","",IF(대장!J146&lt;&gt;"",대장!J146,대장!D146&amp;"에 임함"&amp;IF(대장!E146="","",CHAR(10)&amp;"고용형태: "&amp;대장!E146)&amp;IF(대장!I146="","",CHAR(10)&amp;"소정근로시간: "&amp;대장!I146)&amp;CHAR(10)&amp;"근로기간: "&amp;YEAR(대장!F146)&amp;"."&amp;MONTH(대장!F146)&amp;"."&amp;DAY(대장!F146)&amp;"."&amp;" ~ "&amp;IF(ISNUMBER(대장!G146),YEAR(대장!G146)&amp;"."&amp;MONTH(대장!G146)&amp;"."&amp;DAY(대장!G146)&amp;".","재직 중")))</x:f>
        <x:v>#NAME?</x:v>
      </x:c>
      <x:c r="F293" s="27" t="e">
        <x:f>IF($A293="","",IF(발령대장_설정!$B$5="","",발령대장_설정!$B$5))</x:f>
        <x:v>#NAME?</x:v>
      </x:c>
      <x:c r="G293" s="27" t="e">
        <x:f>IF($A293="","",IF(발령대장_설정!$B$6="","",발령대장_설정!$B$6))</x:f>
        <x:v>#NAME?</x:v>
      </x:c>
      <x:c r="H293" s="27" t="e">
        <x:f>IF($A293="","",IF(발령대장_설정!$B$7="","",발령대장_설정!$B$7))</x:f>
        <x:v>#NAME?</x:v>
      </x:c>
      <x:c r="I293" s="27" t="e">
        <x:f>IF($A293="","",IF(발령대장_설정!$B$8="","",발령대장_설정!$B$8))</x:f>
        <x:v>#NAME?</x:v>
      </x:c>
      <x:c r="J293" s="27" t="e">
        <x:f>IF($A293="","",IF(대장!K146="","",대장!K146))</x:f>
        <x:v>#NAME?</x:v>
      </x:c>
    </x:row>
    <x:row r="294" ht="42" customHeight="1">
      <x:c r="A294" s="47" t="e">
        <x:f>IF(AND(대장!A146&lt;&gt;"",ISNUMBER(대장!F146),ISNUMBER(대장!G146),대장!G146&gt;=대장!F146,대장!H146&lt;&gt;""),대장!G146,"")</x:f>
        <x:v>#NAME?</x:v>
      </x:c>
      <x:c r="B294" s="27" t="e">
        <x:f>IF($A294="","",IF(발령대장_설정!$B$4="","",발령대장_설정!$B$4))</x:f>
        <x:v>#NAME?</x:v>
      </x:c>
      <x:c r="C294" s="27" t="e">
        <x:f>IF($A294="","",대장!D146)</x:f>
        <x:v>#NAME?</x:v>
      </x:c>
      <x:c r="D294" s="27" t="e">
        <x:f>IF($A294="","",대장!A146)</x:f>
        <x:v>#NAME?</x:v>
      </x:c>
      <x:c r="E294" s="27" t="e">
        <x:f>IF($A294="","",IF(OR(ISNUMBER(SEARCH("계약만료",대장!H146&amp;"")),ISNUMBER(SEARCH("기간만료",대장!H146&amp;""))),"계약기간 만료로 퇴직",IF(ISNUMBER(SEARCH("의원면직",대장!H146&amp;"")),"의원면직",IF(ISNUMBER(SEARCH("정년퇴직",대장!H146&amp;"")),"정년퇴직",대장!H146))))</x:f>
        <x:v>#NAME?</x:v>
      </x:c>
      <x:c r="F294" s="27" t="e">
        <x:f>IF($A294="","",IF(발령대장_설정!$B$5="","",발령대장_설정!$B$5))</x:f>
        <x:v>#NAME?</x:v>
      </x:c>
      <x:c r="G294" s="27" t="e">
        <x:f>IF($A294="","",IF(발령대장_설정!$B$6="","",발령대장_설정!$B$6))</x:f>
        <x:v>#NAME?</x:v>
      </x:c>
      <x:c r="H294" s="27" t="e">
        <x:f>IF($A294="","",IF(발령대장_설정!$B$7="","",발령대장_설정!$B$7))</x:f>
        <x:v>#NAME?</x:v>
      </x:c>
      <x:c r="I294" s="27" t="e">
        <x:f>IF($A294="","",IF(발령대장_설정!$B$8="","",발령대장_설정!$B$8))</x:f>
        <x:v>#NAME?</x:v>
      </x:c>
      <x:c r="J294" s="27" t="str">
        <x:f>""</x:f>
      </x:c>
    </x:row>
    <x:row r="295" ht="42" customHeight="1">
      <x:c r="A295" s="47" t="e">
        <x:f>IF(AND(대장!A147&lt;&gt;"",ISNUMBER(대장!F147),OR(대장!G147="",AND(ISNUMBER(대장!G147),대장!G147&gt;=대장!F147))),대장!F147,"")</x:f>
        <x:v>#NAME?</x:v>
      </x:c>
      <x:c r="B295" s="27" t="e">
        <x:f>IF($A295="","",IF(발령대장_설정!$B$4="","",발령대장_설정!$B$4))</x:f>
        <x:v>#NAME?</x:v>
      </x:c>
      <x:c r="C295" s="27" t="e">
        <x:f>IF($A295="","",대장!D147)</x:f>
        <x:v>#NAME?</x:v>
      </x:c>
      <x:c r="D295" s="27" t="e">
        <x:f>IF($A295="","",대장!A147)</x:f>
        <x:v>#NAME?</x:v>
      </x:c>
      <x:c r="E295" s="27" t="e">
        <x:f>IF($A295="","",IF(대장!J147&lt;&gt;"",대장!J147,대장!D147&amp;"에 임함"&amp;IF(대장!E147="","",CHAR(10)&amp;"고용형태: "&amp;대장!E147)&amp;IF(대장!I147="","",CHAR(10)&amp;"소정근로시간: "&amp;대장!I147)&amp;CHAR(10)&amp;"근로기간: "&amp;YEAR(대장!F147)&amp;"."&amp;MONTH(대장!F147)&amp;"."&amp;DAY(대장!F147)&amp;"."&amp;" ~ "&amp;IF(ISNUMBER(대장!G147),YEAR(대장!G147)&amp;"."&amp;MONTH(대장!G147)&amp;"."&amp;DAY(대장!G147)&amp;".","재직 중")))</x:f>
        <x:v>#NAME?</x:v>
      </x:c>
      <x:c r="F295" s="27" t="e">
        <x:f>IF($A295="","",IF(발령대장_설정!$B$5="","",발령대장_설정!$B$5))</x:f>
        <x:v>#NAME?</x:v>
      </x:c>
      <x:c r="G295" s="27" t="e">
        <x:f>IF($A295="","",IF(발령대장_설정!$B$6="","",발령대장_설정!$B$6))</x:f>
        <x:v>#NAME?</x:v>
      </x:c>
      <x:c r="H295" s="27" t="e">
        <x:f>IF($A295="","",IF(발령대장_설정!$B$7="","",발령대장_설정!$B$7))</x:f>
        <x:v>#NAME?</x:v>
      </x:c>
      <x:c r="I295" s="27" t="e">
        <x:f>IF($A295="","",IF(발령대장_설정!$B$8="","",발령대장_설정!$B$8))</x:f>
        <x:v>#NAME?</x:v>
      </x:c>
      <x:c r="J295" s="27" t="e">
        <x:f>IF($A295="","",IF(대장!K147="","",대장!K147))</x:f>
        <x:v>#NAME?</x:v>
      </x:c>
    </x:row>
    <x:row r="296" ht="42" customHeight="1">
      <x:c r="A296" s="47" t="e">
        <x:f>IF(AND(대장!A147&lt;&gt;"",ISNUMBER(대장!F147),ISNUMBER(대장!G147),대장!G147&gt;=대장!F147,대장!H147&lt;&gt;""),대장!G147,"")</x:f>
        <x:v>#NAME?</x:v>
      </x:c>
      <x:c r="B296" s="27" t="e">
        <x:f>IF($A296="","",IF(발령대장_설정!$B$4="","",발령대장_설정!$B$4))</x:f>
        <x:v>#NAME?</x:v>
      </x:c>
      <x:c r="C296" s="27" t="e">
        <x:f>IF($A296="","",대장!D147)</x:f>
        <x:v>#NAME?</x:v>
      </x:c>
      <x:c r="D296" s="27" t="e">
        <x:f>IF($A296="","",대장!A147)</x:f>
        <x:v>#NAME?</x:v>
      </x:c>
      <x:c r="E296" s="27" t="e">
        <x:f>IF($A296="","",IF(OR(ISNUMBER(SEARCH("계약만료",대장!H147&amp;"")),ISNUMBER(SEARCH("기간만료",대장!H147&amp;""))),"계약기간 만료로 퇴직",IF(ISNUMBER(SEARCH("의원면직",대장!H147&amp;"")),"의원면직",IF(ISNUMBER(SEARCH("정년퇴직",대장!H147&amp;"")),"정년퇴직",대장!H147))))</x:f>
        <x:v>#NAME?</x:v>
      </x:c>
      <x:c r="F296" s="27" t="e">
        <x:f>IF($A296="","",IF(발령대장_설정!$B$5="","",발령대장_설정!$B$5))</x:f>
        <x:v>#NAME?</x:v>
      </x:c>
      <x:c r="G296" s="27" t="e">
        <x:f>IF($A296="","",IF(발령대장_설정!$B$6="","",발령대장_설정!$B$6))</x:f>
        <x:v>#NAME?</x:v>
      </x:c>
      <x:c r="H296" s="27" t="e">
        <x:f>IF($A296="","",IF(발령대장_설정!$B$7="","",발령대장_설정!$B$7))</x:f>
        <x:v>#NAME?</x:v>
      </x:c>
      <x:c r="I296" s="27" t="e">
        <x:f>IF($A296="","",IF(발령대장_설정!$B$8="","",발령대장_설정!$B$8))</x:f>
        <x:v>#NAME?</x:v>
      </x:c>
      <x:c r="J296" s="27" t="str">
        <x:f>""</x:f>
      </x:c>
    </x:row>
    <x:row r="297" ht="42" customHeight="1">
      <x:c r="A297" s="47" t="e">
        <x:f>IF(AND(대장!A148&lt;&gt;"",ISNUMBER(대장!F148),OR(대장!G148="",AND(ISNUMBER(대장!G148),대장!G148&gt;=대장!F148))),대장!F148,"")</x:f>
        <x:v>#NAME?</x:v>
      </x:c>
      <x:c r="B297" s="27" t="e">
        <x:f>IF($A297="","",IF(발령대장_설정!$B$4="","",발령대장_설정!$B$4))</x:f>
        <x:v>#NAME?</x:v>
      </x:c>
      <x:c r="C297" s="27" t="e">
        <x:f>IF($A297="","",대장!D148)</x:f>
        <x:v>#NAME?</x:v>
      </x:c>
      <x:c r="D297" s="27" t="e">
        <x:f>IF($A297="","",대장!A148)</x:f>
        <x:v>#NAME?</x:v>
      </x:c>
      <x:c r="E297" s="27" t="e">
        <x:f>IF($A297="","",IF(대장!J148&lt;&gt;"",대장!J148,대장!D148&amp;"에 임함"&amp;IF(대장!E148="","",CHAR(10)&amp;"고용형태: "&amp;대장!E148)&amp;IF(대장!I148="","",CHAR(10)&amp;"소정근로시간: "&amp;대장!I148)&amp;CHAR(10)&amp;"근로기간: "&amp;YEAR(대장!F148)&amp;"."&amp;MONTH(대장!F148)&amp;"."&amp;DAY(대장!F148)&amp;"."&amp;" ~ "&amp;IF(ISNUMBER(대장!G148),YEAR(대장!G148)&amp;"."&amp;MONTH(대장!G148)&amp;"."&amp;DAY(대장!G148)&amp;".","재직 중")))</x:f>
        <x:v>#NAME?</x:v>
      </x:c>
      <x:c r="F297" s="27" t="e">
        <x:f>IF($A297="","",IF(발령대장_설정!$B$5="","",발령대장_설정!$B$5))</x:f>
        <x:v>#NAME?</x:v>
      </x:c>
      <x:c r="G297" s="27" t="e">
        <x:f>IF($A297="","",IF(발령대장_설정!$B$6="","",발령대장_설정!$B$6))</x:f>
        <x:v>#NAME?</x:v>
      </x:c>
      <x:c r="H297" s="27" t="e">
        <x:f>IF($A297="","",IF(발령대장_설정!$B$7="","",발령대장_설정!$B$7))</x:f>
        <x:v>#NAME?</x:v>
      </x:c>
      <x:c r="I297" s="27" t="e">
        <x:f>IF($A297="","",IF(발령대장_설정!$B$8="","",발령대장_설정!$B$8))</x:f>
        <x:v>#NAME?</x:v>
      </x:c>
      <x:c r="J297" s="27" t="e">
        <x:f>IF($A297="","",IF(대장!K148="","",대장!K148))</x:f>
        <x:v>#NAME?</x:v>
      </x:c>
    </x:row>
    <x:row r="298" ht="42" customHeight="1">
      <x:c r="A298" s="47" t="e">
        <x:f>IF(AND(대장!A148&lt;&gt;"",ISNUMBER(대장!F148),ISNUMBER(대장!G148),대장!G148&gt;=대장!F148,대장!H148&lt;&gt;""),대장!G148,"")</x:f>
        <x:v>#NAME?</x:v>
      </x:c>
      <x:c r="B298" s="27" t="e">
        <x:f>IF($A298="","",IF(발령대장_설정!$B$4="","",발령대장_설정!$B$4))</x:f>
        <x:v>#NAME?</x:v>
      </x:c>
      <x:c r="C298" s="27" t="e">
        <x:f>IF($A298="","",대장!D148)</x:f>
        <x:v>#NAME?</x:v>
      </x:c>
      <x:c r="D298" s="27" t="e">
        <x:f>IF($A298="","",대장!A148)</x:f>
        <x:v>#NAME?</x:v>
      </x:c>
      <x:c r="E298" s="27" t="e">
        <x:f>IF($A298="","",IF(OR(ISNUMBER(SEARCH("계약만료",대장!H148&amp;"")),ISNUMBER(SEARCH("기간만료",대장!H148&amp;""))),"계약기간 만료로 퇴직",IF(ISNUMBER(SEARCH("의원면직",대장!H148&amp;"")),"의원면직",IF(ISNUMBER(SEARCH("정년퇴직",대장!H148&amp;"")),"정년퇴직",대장!H148))))</x:f>
        <x:v>#NAME?</x:v>
      </x:c>
      <x:c r="F298" s="27" t="e">
        <x:f>IF($A298="","",IF(발령대장_설정!$B$5="","",발령대장_설정!$B$5))</x:f>
        <x:v>#NAME?</x:v>
      </x:c>
      <x:c r="G298" s="27" t="e">
        <x:f>IF($A298="","",IF(발령대장_설정!$B$6="","",발령대장_설정!$B$6))</x:f>
        <x:v>#NAME?</x:v>
      </x:c>
      <x:c r="H298" s="27" t="e">
        <x:f>IF($A298="","",IF(발령대장_설정!$B$7="","",발령대장_설정!$B$7))</x:f>
        <x:v>#NAME?</x:v>
      </x:c>
      <x:c r="I298" s="27" t="e">
        <x:f>IF($A298="","",IF(발령대장_설정!$B$8="","",발령대장_설정!$B$8))</x:f>
        <x:v>#NAME?</x:v>
      </x:c>
      <x:c r="J298" s="27" t="str">
        <x:f>""</x:f>
      </x:c>
    </x:row>
    <x:row r="299" ht="42" customHeight="1">
      <x:c r="A299" s="47" t="e">
        <x:f>IF(AND(대장!A149&lt;&gt;"",ISNUMBER(대장!F149),OR(대장!G149="",AND(ISNUMBER(대장!G149),대장!G149&gt;=대장!F149))),대장!F149,"")</x:f>
        <x:v>#NAME?</x:v>
      </x:c>
      <x:c r="B299" s="27" t="e">
        <x:f>IF($A299="","",IF(발령대장_설정!$B$4="","",발령대장_설정!$B$4))</x:f>
        <x:v>#NAME?</x:v>
      </x:c>
      <x:c r="C299" s="27" t="e">
        <x:f>IF($A299="","",대장!D149)</x:f>
        <x:v>#NAME?</x:v>
      </x:c>
      <x:c r="D299" s="27" t="e">
        <x:f>IF($A299="","",대장!A149)</x:f>
        <x:v>#NAME?</x:v>
      </x:c>
      <x:c r="E299" s="27" t="e">
        <x:f>IF($A299="","",IF(대장!J149&lt;&gt;"",대장!J149,대장!D149&amp;"에 임함"&amp;IF(대장!E149="","",CHAR(10)&amp;"고용형태: "&amp;대장!E149)&amp;IF(대장!I149="","",CHAR(10)&amp;"소정근로시간: "&amp;대장!I149)&amp;CHAR(10)&amp;"근로기간: "&amp;YEAR(대장!F149)&amp;"."&amp;MONTH(대장!F149)&amp;"."&amp;DAY(대장!F149)&amp;"."&amp;" ~ "&amp;IF(ISNUMBER(대장!G149),YEAR(대장!G149)&amp;"."&amp;MONTH(대장!G149)&amp;"."&amp;DAY(대장!G149)&amp;".","재직 중")))</x:f>
        <x:v>#NAME?</x:v>
      </x:c>
      <x:c r="F299" s="27" t="e">
        <x:f>IF($A299="","",IF(발령대장_설정!$B$5="","",발령대장_설정!$B$5))</x:f>
        <x:v>#NAME?</x:v>
      </x:c>
      <x:c r="G299" s="27" t="e">
        <x:f>IF($A299="","",IF(발령대장_설정!$B$6="","",발령대장_설정!$B$6))</x:f>
        <x:v>#NAME?</x:v>
      </x:c>
      <x:c r="H299" s="27" t="e">
        <x:f>IF($A299="","",IF(발령대장_설정!$B$7="","",발령대장_설정!$B$7))</x:f>
        <x:v>#NAME?</x:v>
      </x:c>
      <x:c r="I299" s="27" t="e">
        <x:f>IF($A299="","",IF(발령대장_설정!$B$8="","",발령대장_설정!$B$8))</x:f>
        <x:v>#NAME?</x:v>
      </x:c>
      <x:c r="J299" s="27" t="e">
        <x:f>IF($A299="","",IF(대장!K149="","",대장!K149))</x:f>
        <x:v>#NAME?</x:v>
      </x:c>
    </x:row>
    <x:row r="300" ht="42" customHeight="1">
      <x:c r="A300" s="47" t="e">
        <x:f>IF(AND(대장!A149&lt;&gt;"",ISNUMBER(대장!F149),ISNUMBER(대장!G149),대장!G149&gt;=대장!F149,대장!H149&lt;&gt;""),대장!G149,"")</x:f>
        <x:v>#NAME?</x:v>
      </x:c>
      <x:c r="B300" s="27" t="e">
        <x:f>IF($A300="","",IF(발령대장_설정!$B$4="","",발령대장_설정!$B$4))</x:f>
        <x:v>#NAME?</x:v>
      </x:c>
      <x:c r="C300" s="27" t="e">
        <x:f>IF($A300="","",대장!D149)</x:f>
        <x:v>#NAME?</x:v>
      </x:c>
      <x:c r="D300" s="27" t="e">
        <x:f>IF($A300="","",대장!A149)</x:f>
        <x:v>#NAME?</x:v>
      </x:c>
      <x:c r="E300" s="27" t="e">
        <x:f>IF($A300="","",IF(OR(ISNUMBER(SEARCH("계약만료",대장!H149&amp;"")),ISNUMBER(SEARCH("기간만료",대장!H149&amp;""))),"계약기간 만료로 퇴직",IF(ISNUMBER(SEARCH("의원면직",대장!H149&amp;"")),"의원면직",IF(ISNUMBER(SEARCH("정년퇴직",대장!H149&amp;"")),"정년퇴직",대장!H149))))</x:f>
        <x:v>#NAME?</x:v>
      </x:c>
      <x:c r="F300" s="27" t="e">
        <x:f>IF($A300="","",IF(발령대장_설정!$B$5="","",발령대장_설정!$B$5))</x:f>
        <x:v>#NAME?</x:v>
      </x:c>
      <x:c r="G300" s="27" t="e">
        <x:f>IF($A300="","",IF(발령대장_설정!$B$6="","",발령대장_설정!$B$6))</x:f>
        <x:v>#NAME?</x:v>
      </x:c>
      <x:c r="H300" s="27" t="e">
        <x:f>IF($A300="","",IF(발령대장_설정!$B$7="","",발령대장_설정!$B$7))</x:f>
        <x:v>#NAME?</x:v>
      </x:c>
      <x:c r="I300" s="27" t="e">
        <x:f>IF($A300="","",IF(발령대장_설정!$B$8="","",발령대장_설정!$B$8))</x:f>
        <x:v>#NAME?</x:v>
      </x:c>
      <x:c r="J300" s="27" t="str">
        <x:f>""</x:f>
      </x:c>
    </x:row>
    <x:row r="301" ht="42" customHeight="1">
      <x:c r="A301" s="47" t="e">
        <x:f>IF(AND(대장!A150&lt;&gt;"",ISNUMBER(대장!F150),OR(대장!G150="",AND(ISNUMBER(대장!G150),대장!G150&gt;=대장!F150))),대장!F150,"")</x:f>
        <x:v>#NAME?</x:v>
      </x:c>
      <x:c r="B301" s="27" t="e">
        <x:f>IF($A301="","",IF(발령대장_설정!$B$4="","",발령대장_설정!$B$4))</x:f>
        <x:v>#NAME?</x:v>
      </x:c>
      <x:c r="C301" s="27" t="e">
        <x:f>IF($A301="","",대장!D150)</x:f>
        <x:v>#NAME?</x:v>
      </x:c>
      <x:c r="D301" s="27" t="e">
        <x:f>IF($A301="","",대장!A150)</x:f>
        <x:v>#NAME?</x:v>
      </x:c>
      <x:c r="E301" s="27" t="e">
        <x:f>IF($A301="","",IF(대장!J150&lt;&gt;"",대장!J150,대장!D150&amp;"에 임함"&amp;IF(대장!E150="","",CHAR(10)&amp;"고용형태: "&amp;대장!E150)&amp;IF(대장!I150="","",CHAR(10)&amp;"소정근로시간: "&amp;대장!I150)&amp;CHAR(10)&amp;"근로기간: "&amp;YEAR(대장!F150)&amp;"."&amp;MONTH(대장!F150)&amp;"."&amp;DAY(대장!F150)&amp;"."&amp;" ~ "&amp;IF(ISNUMBER(대장!G150),YEAR(대장!G150)&amp;"."&amp;MONTH(대장!G150)&amp;"."&amp;DAY(대장!G150)&amp;".","재직 중")))</x:f>
        <x:v>#NAME?</x:v>
      </x:c>
      <x:c r="F301" s="27" t="e">
        <x:f>IF($A301="","",IF(발령대장_설정!$B$5="","",발령대장_설정!$B$5))</x:f>
        <x:v>#NAME?</x:v>
      </x:c>
      <x:c r="G301" s="27" t="e">
        <x:f>IF($A301="","",IF(발령대장_설정!$B$6="","",발령대장_설정!$B$6))</x:f>
        <x:v>#NAME?</x:v>
      </x:c>
      <x:c r="H301" s="27" t="e">
        <x:f>IF($A301="","",IF(발령대장_설정!$B$7="","",발령대장_설정!$B$7))</x:f>
        <x:v>#NAME?</x:v>
      </x:c>
      <x:c r="I301" s="27" t="e">
        <x:f>IF($A301="","",IF(발령대장_설정!$B$8="","",발령대장_설정!$B$8))</x:f>
        <x:v>#NAME?</x:v>
      </x:c>
      <x:c r="J301" s="27" t="e">
        <x:f>IF($A301="","",IF(대장!K150="","",대장!K150))</x:f>
        <x:v>#NAME?</x:v>
      </x:c>
    </x:row>
    <x:row r="302" ht="42" customHeight="1">
      <x:c r="A302" s="47" t="e">
        <x:f>IF(AND(대장!A150&lt;&gt;"",ISNUMBER(대장!F150),ISNUMBER(대장!G150),대장!G150&gt;=대장!F150,대장!H150&lt;&gt;""),대장!G150,"")</x:f>
        <x:v>#NAME?</x:v>
      </x:c>
      <x:c r="B302" s="27" t="e">
        <x:f>IF($A302="","",IF(발령대장_설정!$B$4="","",발령대장_설정!$B$4))</x:f>
        <x:v>#NAME?</x:v>
      </x:c>
      <x:c r="C302" s="27" t="e">
        <x:f>IF($A302="","",대장!D150)</x:f>
        <x:v>#NAME?</x:v>
      </x:c>
      <x:c r="D302" s="27" t="e">
        <x:f>IF($A302="","",대장!A150)</x:f>
        <x:v>#NAME?</x:v>
      </x:c>
      <x:c r="E302" s="27" t="e">
        <x:f>IF($A302="","",IF(OR(ISNUMBER(SEARCH("계약만료",대장!H150&amp;"")),ISNUMBER(SEARCH("기간만료",대장!H150&amp;""))),"계약기간 만료로 퇴직",IF(ISNUMBER(SEARCH("의원면직",대장!H150&amp;"")),"의원면직",IF(ISNUMBER(SEARCH("정년퇴직",대장!H150&amp;"")),"정년퇴직",대장!H150))))</x:f>
        <x:v>#NAME?</x:v>
      </x:c>
      <x:c r="F302" s="27" t="e">
        <x:f>IF($A302="","",IF(발령대장_설정!$B$5="","",발령대장_설정!$B$5))</x:f>
        <x:v>#NAME?</x:v>
      </x:c>
      <x:c r="G302" s="27" t="e">
        <x:f>IF($A302="","",IF(발령대장_설정!$B$6="","",발령대장_설정!$B$6))</x:f>
        <x:v>#NAME?</x:v>
      </x:c>
      <x:c r="H302" s="27" t="e">
        <x:f>IF($A302="","",IF(발령대장_설정!$B$7="","",발령대장_설정!$B$7))</x:f>
        <x:v>#NAME?</x:v>
      </x:c>
      <x:c r="I302" s="27" t="e">
        <x:f>IF($A302="","",IF(발령대장_설정!$B$8="","",발령대장_설정!$B$8))</x:f>
        <x:v>#NAME?</x:v>
      </x:c>
      <x:c r="J302" s="27" t="str">
        <x:f>""</x:f>
      </x:c>
    </x:row>
    <x:row r="303" ht="42" customHeight="1">
      <x:c r="A303" s="47" t="e">
        <x:f>IF(AND(대장!A151&lt;&gt;"",ISNUMBER(대장!F151),OR(대장!G151="",AND(ISNUMBER(대장!G151),대장!G151&gt;=대장!F151))),대장!F151,"")</x:f>
        <x:v>#NAME?</x:v>
      </x:c>
      <x:c r="B303" s="27" t="e">
        <x:f>IF($A303="","",IF(발령대장_설정!$B$4="","",발령대장_설정!$B$4))</x:f>
        <x:v>#NAME?</x:v>
      </x:c>
      <x:c r="C303" s="27" t="e">
        <x:f>IF($A303="","",대장!D151)</x:f>
        <x:v>#NAME?</x:v>
      </x:c>
      <x:c r="D303" s="27" t="e">
        <x:f>IF($A303="","",대장!A151)</x:f>
        <x:v>#NAME?</x:v>
      </x:c>
      <x:c r="E303" s="27" t="e">
        <x:f>IF($A303="","",IF(대장!J151&lt;&gt;"",대장!J151,대장!D151&amp;"에 임함"&amp;IF(대장!E151="","",CHAR(10)&amp;"고용형태: "&amp;대장!E151)&amp;IF(대장!I151="","",CHAR(10)&amp;"소정근로시간: "&amp;대장!I151)&amp;CHAR(10)&amp;"근로기간: "&amp;YEAR(대장!F151)&amp;"."&amp;MONTH(대장!F151)&amp;"."&amp;DAY(대장!F151)&amp;"."&amp;" ~ "&amp;IF(ISNUMBER(대장!G151),YEAR(대장!G151)&amp;"."&amp;MONTH(대장!G151)&amp;"."&amp;DAY(대장!G151)&amp;".","재직 중")))</x:f>
        <x:v>#NAME?</x:v>
      </x:c>
      <x:c r="F303" s="27" t="e">
        <x:f>IF($A303="","",IF(발령대장_설정!$B$5="","",발령대장_설정!$B$5))</x:f>
        <x:v>#NAME?</x:v>
      </x:c>
      <x:c r="G303" s="27" t="e">
        <x:f>IF($A303="","",IF(발령대장_설정!$B$6="","",발령대장_설정!$B$6))</x:f>
        <x:v>#NAME?</x:v>
      </x:c>
      <x:c r="H303" s="27" t="e">
        <x:f>IF($A303="","",IF(발령대장_설정!$B$7="","",발령대장_설정!$B$7))</x:f>
        <x:v>#NAME?</x:v>
      </x:c>
      <x:c r="I303" s="27" t="e">
        <x:f>IF($A303="","",IF(발령대장_설정!$B$8="","",발령대장_설정!$B$8))</x:f>
        <x:v>#NAME?</x:v>
      </x:c>
      <x:c r="J303" s="27" t="e">
        <x:f>IF($A303="","",IF(대장!K151="","",대장!K151))</x:f>
        <x:v>#NAME?</x:v>
      </x:c>
    </x:row>
    <x:row r="304" ht="42" customHeight="1">
      <x:c r="A304" s="47" t="e">
        <x:f>IF(AND(대장!A151&lt;&gt;"",ISNUMBER(대장!F151),ISNUMBER(대장!G151),대장!G151&gt;=대장!F151,대장!H151&lt;&gt;""),대장!G151,"")</x:f>
        <x:v>#NAME?</x:v>
      </x:c>
      <x:c r="B304" s="27" t="e">
        <x:f>IF($A304="","",IF(발령대장_설정!$B$4="","",발령대장_설정!$B$4))</x:f>
        <x:v>#NAME?</x:v>
      </x:c>
      <x:c r="C304" s="27" t="e">
        <x:f>IF($A304="","",대장!D151)</x:f>
        <x:v>#NAME?</x:v>
      </x:c>
      <x:c r="D304" s="27" t="e">
        <x:f>IF($A304="","",대장!A151)</x:f>
        <x:v>#NAME?</x:v>
      </x:c>
      <x:c r="E304" s="27" t="e">
        <x:f>IF($A304="","",IF(OR(ISNUMBER(SEARCH("계약만료",대장!H151&amp;"")),ISNUMBER(SEARCH("기간만료",대장!H151&amp;""))),"계약기간 만료로 퇴직",IF(ISNUMBER(SEARCH("의원면직",대장!H151&amp;"")),"의원면직",IF(ISNUMBER(SEARCH("정년퇴직",대장!H151&amp;"")),"정년퇴직",대장!H151))))</x:f>
        <x:v>#NAME?</x:v>
      </x:c>
      <x:c r="F304" s="27" t="e">
        <x:f>IF($A304="","",IF(발령대장_설정!$B$5="","",발령대장_설정!$B$5))</x:f>
        <x:v>#NAME?</x:v>
      </x:c>
      <x:c r="G304" s="27" t="e">
        <x:f>IF($A304="","",IF(발령대장_설정!$B$6="","",발령대장_설정!$B$6))</x:f>
        <x:v>#NAME?</x:v>
      </x:c>
      <x:c r="H304" s="27" t="e">
        <x:f>IF($A304="","",IF(발령대장_설정!$B$7="","",발령대장_설정!$B$7))</x:f>
        <x:v>#NAME?</x:v>
      </x:c>
      <x:c r="I304" s="27" t="e">
        <x:f>IF($A304="","",IF(발령대장_설정!$B$8="","",발령대장_설정!$B$8))</x:f>
        <x:v>#NAME?</x:v>
      </x:c>
      <x:c r="J304" s="27" t="str">
        <x:f>""</x:f>
      </x:c>
    </x:row>
    <x:row r="305" ht="42" customHeight="1">
      <x:c r="A305" s="47" t="e">
        <x:f>IF(AND(대장!A152&lt;&gt;"",ISNUMBER(대장!F152),OR(대장!G152="",AND(ISNUMBER(대장!G152),대장!G152&gt;=대장!F152))),대장!F152,"")</x:f>
        <x:v>#NAME?</x:v>
      </x:c>
      <x:c r="B305" s="27" t="e">
        <x:f>IF($A305="","",IF(발령대장_설정!$B$4="","",발령대장_설정!$B$4))</x:f>
        <x:v>#NAME?</x:v>
      </x:c>
      <x:c r="C305" s="27" t="e">
        <x:f>IF($A305="","",대장!D152)</x:f>
        <x:v>#NAME?</x:v>
      </x:c>
      <x:c r="D305" s="27" t="e">
        <x:f>IF($A305="","",대장!A152)</x:f>
        <x:v>#NAME?</x:v>
      </x:c>
      <x:c r="E305" s="27" t="e">
        <x:f>IF($A305="","",IF(대장!J152&lt;&gt;"",대장!J152,대장!D152&amp;"에 임함"&amp;IF(대장!E152="","",CHAR(10)&amp;"고용형태: "&amp;대장!E152)&amp;IF(대장!I152="","",CHAR(10)&amp;"소정근로시간: "&amp;대장!I152)&amp;CHAR(10)&amp;"근로기간: "&amp;YEAR(대장!F152)&amp;"."&amp;MONTH(대장!F152)&amp;"."&amp;DAY(대장!F152)&amp;"."&amp;" ~ "&amp;IF(ISNUMBER(대장!G152),YEAR(대장!G152)&amp;"."&amp;MONTH(대장!G152)&amp;"."&amp;DAY(대장!G152)&amp;".","재직 중")))</x:f>
        <x:v>#NAME?</x:v>
      </x:c>
      <x:c r="F305" s="27" t="e">
        <x:f>IF($A305="","",IF(발령대장_설정!$B$5="","",발령대장_설정!$B$5))</x:f>
        <x:v>#NAME?</x:v>
      </x:c>
      <x:c r="G305" s="27" t="e">
        <x:f>IF($A305="","",IF(발령대장_설정!$B$6="","",발령대장_설정!$B$6))</x:f>
        <x:v>#NAME?</x:v>
      </x:c>
      <x:c r="H305" s="27" t="e">
        <x:f>IF($A305="","",IF(발령대장_설정!$B$7="","",발령대장_설정!$B$7))</x:f>
        <x:v>#NAME?</x:v>
      </x:c>
      <x:c r="I305" s="27" t="e">
        <x:f>IF($A305="","",IF(발령대장_설정!$B$8="","",발령대장_설정!$B$8))</x:f>
        <x:v>#NAME?</x:v>
      </x:c>
      <x:c r="J305" s="27" t="e">
        <x:f>IF($A305="","",IF(대장!K152="","",대장!K152))</x:f>
        <x:v>#NAME?</x:v>
      </x:c>
    </x:row>
    <x:row r="306" ht="42" customHeight="1">
      <x:c r="A306" s="47" t="e">
        <x:f>IF(AND(대장!A152&lt;&gt;"",ISNUMBER(대장!F152),ISNUMBER(대장!G152),대장!G152&gt;=대장!F152,대장!H152&lt;&gt;""),대장!G152,"")</x:f>
        <x:v>#NAME?</x:v>
      </x:c>
      <x:c r="B306" s="27" t="e">
        <x:f>IF($A306="","",IF(발령대장_설정!$B$4="","",발령대장_설정!$B$4))</x:f>
        <x:v>#NAME?</x:v>
      </x:c>
      <x:c r="C306" s="27" t="e">
        <x:f>IF($A306="","",대장!D152)</x:f>
        <x:v>#NAME?</x:v>
      </x:c>
      <x:c r="D306" s="27" t="e">
        <x:f>IF($A306="","",대장!A152)</x:f>
        <x:v>#NAME?</x:v>
      </x:c>
      <x:c r="E306" s="27" t="e">
        <x:f>IF($A306="","",IF(OR(ISNUMBER(SEARCH("계약만료",대장!H152&amp;"")),ISNUMBER(SEARCH("기간만료",대장!H152&amp;""))),"계약기간 만료로 퇴직",IF(ISNUMBER(SEARCH("의원면직",대장!H152&amp;"")),"의원면직",IF(ISNUMBER(SEARCH("정년퇴직",대장!H152&amp;"")),"정년퇴직",대장!H152))))</x:f>
        <x:v>#NAME?</x:v>
      </x:c>
      <x:c r="F306" s="27" t="e">
        <x:f>IF($A306="","",IF(발령대장_설정!$B$5="","",발령대장_설정!$B$5))</x:f>
        <x:v>#NAME?</x:v>
      </x:c>
      <x:c r="G306" s="27" t="e">
        <x:f>IF($A306="","",IF(발령대장_설정!$B$6="","",발령대장_설정!$B$6))</x:f>
        <x:v>#NAME?</x:v>
      </x:c>
      <x:c r="H306" s="27" t="e">
        <x:f>IF($A306="","",IF(발령대장_설정!$B$7="","",발령대장_설정!$B$7))</x:f>
        <x:v>#NAME?</x:v>
      </x:c>
      <x:c r="I306" s="27" t="e">
        <x:f>IF($A306="","",IF(발령대장_설정!$B$8="","",발령대장_설정!$B$8))</x:f>
        <x:v>#NAME?</x:v>
      </x:c>
      <x:c r="J306" s="27" t="str">
        <x:f>""</x:f>
      </x:c>
    </x:row>
    <x:row r="307" ht="42" customHeight="1">
      <x:c r="A307" s="47" t="e">
        <x:f>IF(AND(대장!A153&lt;&gt;"",ISNUMBER(대장!F153),OR(대장!G153="",AND(ISNUMBER(대장!G153),대장!G153&gt;=대장!F153))),대장!F153,"")</x:f>
        <x:v>#NAME?</x:v>
      </x:c>
      <x:c r="B307" s="27" t="e">
        <x:f>IF($A307="","",IF(발령대장_설정!$B$4="","",발령대장_설정!$B$4))</x:f>
        <x:v>#NAME?</x:v>
      </x:c>
      <x:c r="C307" s="27" t="e">
        <x:f>IF($A307="","",대장!D153)</x:f>
        <x:v>#NAME?</x:v>
      </x:c>
      <x:c r="D307" s="27" t="e">
        <x:f>IF($A307="","",대장!A153)</x:f>
        <x:v>#NAME?</x:v>
      </x:c>
      <x:c r="E307" s="27" t="e">
        <x:f>IF($A307="","",IF(대장!J153&lt;&gt;"",대장!J153,대장!D153&amp;"에 임함"&amp;IF(대장!E153="","",CHAR(10)&amp;"고용형태: "&amp;대장!E153)&amp;IF(대장!I153="","",CHAR(10)&amp;"소정근로시간: "&amp;대장!I153)&amp;CHAR(10)&amp;"근로기간: "&amp;YEAR(대장!F153)&amp;"."&amp;MONTH(대장!F153)&amp;"."&amp;DAY(대장!F153)&amp;"."&amp;" ~ "&amp;IF(ISNUMBER(대장!G153),YEAR(대장!G153)&amp;"."&amp;MONTH(대장!G153)&amp;"."&amp;DAY(대장!G153)&amp;".","재직 중")))</x:f>
        <x:v>#NAME?</x:v>
      </x:c>
      <x:c r="F307" s="27" t="e">
        <x:f>IF($A307="","",IF(발령대장_설정!$B$5="","",발령대장_설정!$B$5))</x:f>
        <x:v>#NAME?</x:v>
      </x:c>
      <x:c r="G307" s="27" t="e">
        <x:f>IF($A307="","",IF(발령대장_설정!$B$6="","",발령대장_설정!$B$6))</x:f>
        <x:v>#NAME?</x:v>
      </x:c>
      <x:c r="H307" s="27" t="e">
        <x:f>IF($A307="","",IF(발령대장_설정!$B$7="","",발령대장_설정!$B$7))</x:f>
        <x:v>#NAME?</x:v>
      </x:c>
      <x:c r="I307" s="27" t="e">
        <x:f>IF($A307="","",IF(발령대장_설정!$B$8="","",발령대장_설정!$B$8))</x:f>
        <x:v>#NAME?</x:v>
      </x:c>
      <x:c r="J307" s="27" t="e">
        <x:f>IF($A307="","",IF(대장!K153="","",대장!K153))</x:f>
        <x:v>#NAME?</x:v>
      </x:c>
    </x:row>
    <x:row r="308" ht="42" customHeight="1">
      <x:c r="A308" s="47" t="e">
        <x:f>IF(AND(대장!A153&lt;&gt;"",ISNUMBER(대장!F153),ISNUMBER(대장!G153),대장!G153&gt;=대장!F153,대장!H153&lt;&gt;""),대장!G153,"")</x:f>
        <x:v>#NAME?</x:v>
      </x:c>
      <x:c r="B308" s="27" t="e">
        <x:f>IF($A308="","",IF(발령대장_설정!$B$4="","",발령대장_설정!$B$4))</x:f>
        <x:v>#NAME?</x:v>
      </x:c>
      <x:c r="C308" s="27" t="e">
        <x:f>IF($A308="","",대장!D153)</x:f>
        <x:v>#NAME?</x:v>
      </x:c>
      <x:c r="D308" s="27" t="e">
        <x:f>IF($A308="","",대장!A153)</x:f>
        <x:v>#NAME?</x:v>
      </x:c>
      <x:c r="E308" s="27" t="e">
        <x:f>IF($A308="","",IF(OR(ISNUMBER(SEARCH("계약만료",대장!H153&amp;"")),ISNUMBER(SEARCH("기간만료",대장!H153&amp;""))),"계약기간 만료로 퇴직",IF(ISNUMBER(SEARCH("의원면직",대장!H153&amp;"")),"의원면직",IF(ISNUMBER(SEARCH("정년퇴직",대장!H153&amp;"")),"정년퇴직",대장!H153))))</x:f>
        <x:v>#NAME?</x:v>
      </x:c>
      <x:c r="F308" s="27" t="e">
        <x:f>IF($A308="","",IF(발령대장_설정!$B$5="","",발령대장_설정!$B$5))</x:f>
        <x:v>#NAME?</x:v>
      </x:c>
      <x:c r="G308" s="27" t="e">
        <x:f>IF($A308="","",IF(발령대장_설정!$B$6="","",발령대장_설정!$B$6))</x:f>
        <x:v>#NAME?</x:v>
      </x:c>
      <x:c r="H308" s="27" t="e">
        <x:f>IF($A308="","",IF(발령대장_설정!$B$7="","",발령대장_설정!$B$7))</x:f>
        <x:v>#NAME?</x:v>
      </x:c>
      <x:c r="I308" s="27" t="e">
        <x:f>IF($A308="","",IF(발령대장_설정!$B$8="","",발령대장_설정!$B$8))</x:f>
        <x:v>#NAME?</x:v>
      </x:c>
      <x:c r="J308" s="27" t="str">
        <x:f>""</x:f>
      </x:c>
    </x:row>
    <x:row r="309" ht="42" customHeight="1">
      <x:c r="A309" s="47" t="e">
        <x:f>IF(AND(대장!A154&lt;&gt;"",ISNUMBER(대장!F154),OR(대장!G154="",AND(ISNUMBER(대장!G154),대장!G154&gt;=대장!F154))),대장!F154,"")</x:f>
        <x:v>#NAME?</x:v>
      </x:c>
      <x:c r="B309" s="27" t="e">
        <x:f>IF($A309="","",IF(발령대장_설정!$B$4="","",발령대장_설정!$B$4))</x:f>
        <x:v>#NAME?</x:v>
      </x:c>
      <x:c r="C309" s="27" t="e">
        <x:f>IF($A309="","",대장!D154)</x:f>
        <x:v>#NAME?</x:v>
      </x:c>
      <x:c r="D309" s="27" t="e">
        <x:f>IF($A309="","",대장!A154)</x:f>
        <x:v>#NAME?</x:v>
      </x:c>
      <x:c r="E309" s="27" t="e">
        <x:f>IF($A309="","",IF(대장!J154&lt;&gt;"",대장!J154,대장!D154&amp;"에 임함"&amp;IF(대장!E154="","",CHAR(10)&amp;"고용형태: "&amp;대장!E154)&amp;IF(대장!I154="","",CHAR(10)&amp;"소정근로시간: "&amp;대장!I154)&amp;CHAR(10)&amp;"근로기간: "&amp;YEAR(대장!F154)&amp;"."&amp;MONTH(대장!F154)&amp;"."&amp;DAY(대장!F154)&amp;"."&amp;" ~ "&amp;IF(ISNUMBER(대장!G154),YEAR(대장!G154)&amp;"."&amp;MONTH(대장!G154)&amp;"."&amp;DAY(대장!G154)&amp;".","재직 중")))</x:f>
        <x:v>#NAME?</x:v>
      </x:c>
      <x:c r="F309" s="27" t="e">
        <x:f>IF($A309="","",IF(발령대장_설정!$B$5="","",발령대장_설정!$B$5))</x:f>
        <x:v>#NAME?</x:v>
      </x:c>
      <x:c r="G309" s="27" t="e">
        <x:f>IF($A309="","",IF(발령대장_설정!$B$6="","",발령대장_설정!$B$6))</x:f>
        <x:v>#NAME?</x:v>
      </x:c>
      <x:c r="H309" s="27" t="e">
        <x:f>IF($A309="","",IF(발령대장_설정!$B$7="","",발령대장_설정!$B$7))</x:f>
        <x:v>#NAME?</x:v>
      </x:c>
      <x:c r="I309" s="27" t="e">
        <x:f>IF($A309="","",IF(발령대장_설정!$B$8="","",발령대장_설정!$B$8))</x:f>
        <x:v>#NAME?</x:v>
      </x:c>
      <x:c r="J309" s="27" t="e">
        <x:f>IF($A309="","",IF(대장!K154="","",대장!K154))</x:f>
        <x:v>#NAME?</x:v>
      </x:c>
    </x:row>
    <x:row r="310" ht="42" customHeight="1">
      <x:c r="A310" s="47" t="e">
        <x:f>IF(AND(대장!A154&lt;&gt;"",ISNUMBER(대장!F154),ISNUMBER(대장!G154),대장!G154&gt;=대장!F154,대장!H154&lt;&gt;""),대장!G154,"")</x:f>
        <x:v>#NAME?</x:v>
      </x:c>
      <x:c r="B310" s="27" t="e">
        <x:f>IF($A310="","",IF(발령대장_설정!$B$4="","",발령대장_설정!$B$4))</x:f>
        <x:v>#NAME?</x:v>
      </x:c>
      <x:c r="C310" s="27" t="e">
        <x:f>IF($A310="","",대장!D154)</x:f>
        <x:v>#NAME?</x:v>
      </x:c>
      <x:c r="D310" s="27" t="e">
        <x:f>IF($A310="","",대장!A154)</x:f>
        <x:v>#NAME?</x:v>
      </x:c>
      <x:c r="E310" s="27" t="e">
        <x:f>IF($A310="","",IF(OR(ISNUMBER(SEARCH("계약만료",대장!H154&amp;"")),ISNUMBER(SEARCH("기간만료",대장!H154&amp;""))),"계약기간 만료로 퇴직",IF(ISNUMBER(SEARCH("의원면직",대장!H154&amp;"")),"의원면직",IF(ISNUMBER(SEARCH("정년퇴직",대장!H154&amp;"")),"정년퇴직",대장!H154))))</x:f>
        <x:v>#NAME?</x:v>
      </x:c>
      <x:c r="F310" s="27" t="e">
        <x:f>IF($A310="","",IF(발령대장_설정!$B$5="","",발령대장_설정!$B$5))</x:f>
        <x:v>#NAME?</x:v>
      </x:c>
      <x:c r="G310" s="27" t="e">
        <x:f>IF($A310="","",IF(발령대장_설정!$B$6="","",발령대장_설정!$B$6))</x:f>
        <x:v>#NAME?</x:v>
      </x:c>
      <x:c r="H310" s="27" t="e">
        <x:f>IF($A310="","",IF(발령대장_설정!$B$7="","",발령대장_설정!$B$7))</x:f>
        <x:v>#NAME?</x:v>
      </x:c>
      <x:c r="I310" s="27" t="e">
        <x:f>IF($A310="","",IF(발령대장_설정!$B$8="","",발령대장_설정!$B$8))</x:f>
        <x:v>#NAME?</x:v>
      </x:c>
      <x:c r="J310" s="27" t="str">
        <x:f>""</x:f>
      </x:c>
    </x:row>
    <x:row r="311" ht="42" customHeight="1">
      <x:c r="A311" s="47" t="e">
        <x:f>IF(AND(대장!A155&lt;&gt;"",ISNUMBER(대장!F155),OR(대장!G155="",AND(ISNUMBER(대장!G155),대장!G155&gt;=대장!F155))),대장!F155,"")</x:f>
        <x:v>#NAME?</x:v>
      </x:c>
      <x:c r="B311" s="27" t="e">
        <x:f>IF($A311="","",IF(발령대장_설정!$B$4="","",발령대장_설정!$B$4))</x:f>
        <x:v>#NAME?</x:v>
      </x:c>
      <x:c r="C311" s="27" t="e">
        <x:f>IF($A311="","",대장!D155)</x:f>
        <x:v>#NAME?</x:v>
      </x:c>
      <x:c r="D311" s="27" t="e">
        <x:f>IF($A311="","",대장!A155)</x:f>
        <x:v>#NAME?</x:v>
      </x:c>
      <x:c r="E311" s="27" t="e">
        <x:f>IF($A311="","",IF(대장!J155&lt;&gt;"",대장!J155,대장!D155&amp;"에 임함"&amp;IF(대장!E155="","",CHAR(10)&amp;"고용형태: "&amp;대장!E155)&amp;IF(대장!I155="","",CHAR(10)&amp;"소정근로시간: "&amp;대장!I155)&amp;CHAR(10)&amp;"근로기간: "&amp;YEAR(대장!F155)&amp;"."&amp;MONTH(대장!F155)&amp;"."&amp;DAY(대장!F155)&amp;"."&amp;" ~ "&amp;IF(ISNUMBER(대장!G155),YEAR(대장!G155)&amp;"."&amp;MONTH(대장!G155)&amp;"."&amp;DAY(대장!G155)&amp;".","재직 중")))</x:f>
        <x:v>#NAME?</x:v>
      </x:c>
      <x:c r="F311" s="27" t="e">
        <x:f>IF($A311="","",IF(발령대장_설정!$B$5="","",발령대장_설정!$B$5))</x:f>
        <x:v>#NAME?</x:v>
      </x:c>
      <x:c r="G311" s="27" t="e">
        <x:f>IF($A311="","",IF(발령대장_설정!$B$6="","",발령대장_설정!$B$6))</x:f>
        <x:v>#NAME?</x:v>
      </x:c>
      <x:c r="H311" s="27" t="e">
        <x:f>IF($A311="","",IF(발령대장_설정!$B$7="","",발령대장_설정!$B$7))</x:f>
        <x:v>#NAME?</x:v>
      </x:c>
      <x:c r="I311" s="27" t="e">
        <x:f>IF($A311="","",IF(발령대장_설정!$B$8="","",발령대장_설정!$B$8))</x:f>
        <x:v>#NAME?</x:v>
      </x:c>
      <x:c r="J311" s="27" t="e">
        <x:f>IF($A311="","",IF(대장!K155="","",대장!K155))</x:f>
        <x:v>#NAME?</x:v>
      </x:c>
    </x:row>
    <x:row r="312" ht="42" customHeight="1">
      <x:c r="A312" s="47" t="e">
        <x:f>IF(AND(대장!A155&lt;&gt;"",ISNUMBER(대장!F155),ISNUMBER(대장!G155),대장!G155&gt;=대장!F155,대장!H155&lt;&gt;""),대장!G155,"")</x:f>
        <x:v>#NAME?</x:v>
      </x:c>
      <x:c r="B312" s="27" t="e">
        <x:f>IF($A312="","",IF(발령대장_설정!$B$4="","",발령대장_설정!$B$4))</x:f>
        <x:v>#NAME?</x:v>
      </x:c>
      <x:c r="C312" s="27" t="e">
        <x:f>IF($A312="","",대장!D155)</x:f>
        <x:v>#NAME?</x:v>
      </x:c>
      <x:c r="D312" s="27" t="e">
        <x:f>IF($A312="","",대장!A155)</x:f>
        <x:v>#NAME?</x:v>
      </x:c>
      <x:c r="E312" s="27" t="e">
        <x:f>IF($A312="","",IF(OR(ISNUMBER(SEARCH("계약만료",대장!H155&amp;"")),ISNUMBER(SEARCH("기간만료",대장!H155&amp;""))),"계약기간 만료로 퇴직",IF(ISNUMBER(SEARCH("의원면직",대장!H155&amp;"")),"의원면직",IF(ISNUMBER(SEARCH("정년퇴직",대장!H155&amp;"")),"정년퇴직",대장!H155))))</x:f>
        <x:v>#NAME?</x:v>
      </x:c>
      <x:c r="F312" s="27" t="e">
        <x:f>IF($A312="","",IF(발령대장_설정!$B$5="","",발령대장_설정!$B$5))</x:f>
        <x:v>#NAME?</x:v>
      </x:c>
      <x:c r="G312" s="27" t="e">
        <x:f>IF($A312="","",IF(발령대장_설정!$B$6="","",발령대장_설정!$B$6))</x:f>
        <x:v>#NAME?</x:v>
      </x:c>
      <x:c r="H312" s="27" t="e">
        <x:f>IF($A312="","",IF(발령대장_설정!$B$7="","",발령대장_설정!$B$7))</x:f>
        <x:v>#NAME?</x:v>
      </x:c>
      <x:c r="I312" s="27" t="e">
        <x:f>IF($A312="","",IF(발령대장_설정!$B$8="","",발령대장_설정!$B$8))</x:f>
        <x:v>#NAME?</x:v>
      </x:c>
      <x:c r="J312" s="27" t="str">
        <x:f>""</x:f>
      </x:c>
    </x:row>
    <x:row r="313" ht="42" customHeight="1">
      <x:c r="A313" s="47" t="e">
        <x:f>IF(AND(대장!A156&lt;&gt;"",ISNUMBER(대장!F156),OR(대장!G156="",AND(ISNUMBER(대장!G156),대장!G156&gt;=대장!F156))),대장!F156,"")</x:f>
        <x:v>#NAME?</x:v>
      </x:c>
      <x:c r="B313" s="27" t="e">
        <x:f>IF($A313="","",IF(발령대장_설정!$B$4="","",발령대장_설정!$B$4))</x:f>
        <x:v>#NAME?</x:v>
      </x:c>
      <x:c r="C313" s="27" t="e">
        <x:f>IF($A313="","",대장!D156)</x:f>
        <x:v>#NAME?</x:v>
      </x:c>
      <x:c r="D313" s="27" t="e">
        <x:f>IF($A313="","",대장!A156)</x:f>
        <x:v>#NAME?</x:v>
      </x:c>
      <x:c r="E313" s="27" t="e">
        <x:f>IF($A313="","",IF(대장!J156&lt;&gt;"",대장!J156,대장!D156&amp;"에 임함"&amp;IF(대장!E156="","",CHAR(10)&amp;"고용형태: "&amp;대장!E156)&amp;IF(대장!I156="","",CHAR(10)&amp;"소정근로시간: "&amp;대장!I156)&amp;CHAR(10)&amp;"근로기간: "&amp;YEAR(대장!F156)&amp;"."&amp;MONTH(대장!F156)&amp;"."&amp;DAY(대장!F156)&amp;"."&amp;" ~ "&amp;IF(ISNUMBER(대장!G156),YEAR(대장!G156)&amp;"."&amp;MONTH(대장!G156)&amp;"."&amp;DAY(대장!G156)&amp;".","재직 중")))</x:f>
        <x:v>#NAME?</x:v>
      </x:c>
      <x:c r="F313" s="27" t="e">
        <x:f>IF($A313="","",IF(발령대장_설정!$B$5="","",발령대장_설정!$B$5))</x:f>
        <x:v>#NAME?</x:v>
      </x:c>
      <x:c r="G313" s="27" t="e">
        <x:f>IF($A313="","",IF(발령대장_설정!$B$6="","",발령대장_설정!$B$6))</x:f>
        <x:v>#NAME?</x:v>
      </x:c>
      <x:c r="H313" s="27" t="e">
        <x:f>IF($A313="","",IF(발령대장_설정!$B$7="","",발령대장_설정!$B$7))</x:f>
        <x:v>#NAME?</x:v>
      </x:c>
      <x:c r="I313" s="27" t="e">
        <x:f>IF($A313="","",IF(발령대장_설정!$B$8="","",발령대장_설정!$B$8))</x:f>
        <x:v>#NAME?</x:v>
      </x:c>
      <x:c r="J313" s="27" t="e">
        <x:f>IF($A313="","",IF(대장!K156="","",대장!K156))</x:f>
        <x:v>#NAME?</x:v>
      </x:c>
    </x:row>
    <x:row r="314" ht="42" customHeight="1">
      <x:c r="A314" s="47" t="e">
        <x:f>IF(AND(대장!A156&lt;&gt;"",ISNUMBER(대장!F156),ISNUMBER(대장!G156),대장!G156&gt;=대장!F156,대장!H156&lt;&gt;""),대장!G156,"")</x:f>
        <x:v>#NAME?</x:v>
      </x:c>
      <x:c r="B314" s="27" t="e">
        <x:f>IF($A314="","",IF(발령대장_설정!$B$4="","",발령대장_설정!$B$4))</x:f>
        <x:v>#NAME?</x:v>
      </x:c>
      <x:c r="C314" s="27" t="e">
        <x:f>IF($A314="","",대장!D156)</x:f>
        <x:v>#NAME?</x:v>
      </x:c>
      <x:c r="D314" s="27" t="e">
        <x:f>IF($A314="","",대장!A156)</x:f>
        <x:v>#NAME?</x:v>
      </x:c>
      <x:c r="E314" s="27" t="e">
        <x:f>IF($A314="","",IF(OR(ISNUMBER(SEARCH("계약만료",대장!H156&amp;"")),ISNUMBER(SEARCH("기간만료",대장!H156&amp;""))),"계약기간 만료로 퇴직",IF(ISNUMBER(SEARCH("의원면직",대장!H156&amp;"")),"의원면직",IF(ISNUMBER(SEARCH("정년퇴직",대장!H156&amp;"")),"정년퇴직",대장!H156))))</x:f>
        <x:v>#NAME?</x:v>
      </x:c>
      <x:c r="F314" s="27" t="e">
        <x:f>IF($A314="","",IF(발령대장_설정!$B$5="","",발령대장_설정!$B$5))</x:f>
        <x:v>#NAME?</x:v>
      </x:c>
      <x:c r="G314" s="27" t="e">
        <x:f>IF($A314="","",IF(발령대장_설정!$B$6="","",발령대장_설정!$B$6))</x:f>
        <x:v>#NAME?</x:v>
      </x:c>
      <x:c r="H314" s="27" t="e">
        <x:f>IF($A314="","",IF(발령대장_설정!$B$7="","",발령대장_설정!$B$7))</x:f>
        <x:v>#NAME?</x:v>
      </x:c>
      <x:c r="I314" s="27" t="e">
        <x:f>IF($A314="","",IF(발령대장_설정!$B$8="","",발령대장_설정!$B$8))</x:f>
        <x:v>#NAME?</x:v>
      </x:c>
      <x:c r="J314" s="27" t="str">
        <x:f>""</x:f>
      </x:c>
    </x:row>
    <x:row r="315" ht="42" customHeight="1">
      <x:c r="A315" s="47" t="e">
        <x:f>IF(AND(대장!A157&lt;&gt;"",ISNUMBER(대장!F157),OR(대장!G157="",AND(ISNUMBER(대장!G157),대장!G157&gt;=대장!F157))),대장!F157,"")</x:f>
        <x:v>#NAME?</x:v>
      </x:c>
      <x:c r="B315" s="27" t="e">
        <x:f>IF($A315="","",IF(발령대장_설정!$B$4="","",발령대장_설정!$B$4))</x:f>
        <x:v>#NAME?</x:v>
      </x:c>
      <x:c r="C315" s="27" t="e">
        <x:f>IF($A315="","",대장!D157)</x:f>
        <x:v>#NAME?</x:v>
      </x:c>
      <x:c r="D315" s="27" t="e">
        <x:f>IF($A315="","",대장!A157)</x:f>
        <x:v>#NAME?</x:v>
      </x:c>
      <x:c r="E315" s="27" t="e">
        <x:f>IF($A315="","",IF(대장!J157&lt;&gt;"",대장!J157,대장!D157&amp;"에 임함"&amp;IF(대장!E157="","",CHAR(10)&amp;"고용형태: "&amp;대장!E157)&amp;IF(대장!I157="","",CHAR(10)&amp;"소정근로시간: "&amp;대장!I157)&amp;CHAR(10)&amp;"근로기간: "&amp;YEAR(대장!F157)&amp;"."&amp;MONTH(대장!F157)&amp;"."&amp;DAY(대장!F157)&amp;"."&amp;" ~ "&amp;IF(ISNUMBER(대장!G157),YEAR(대장!G157)&amp;"."&amp;MONTH(대장!G157)&amp;"."&amp;DAY(대장!G157)&amp;".","재직 중")))</x:f>
        <x:v>#NAME?</x:v>
      </x:c>
      <x:c r="F315" s="27" t="e">
        <x:f>IF($A315="","",IF(발령대장_설정!$B$5="","",발령대장_설정!$B$5))</x:f>
        <x:v>#NAME?</x:v>
      </x:c>
      <x:c r="G315" s="27" t="e">
        <x:f>IF($A315="","",IF(발령대장_설정!$B$6="","",발령대장_설정!$B$6))</x:f>
        <x:v>#NAME?</x:v>
      </x:c>
      <x:c r="H315" s="27" t="e">
        <x:f>IF($A315="","",IF(발령대장_설정!$B$7="","",발령대장_설정!$B$7))</x:f>
        <x:v>#NAME?</x:v>
      </x:c>
      <x:c r="I315" s="27" t="e">
        <x:f>IF($A315="","",IF(발령대장_설정!$B$8="","",발령대장_설정!$B$8))</x:f>
        <x:v>#NAME?</x:v>
      </x:c>
      <x:c r="J315" s="27" t="e">
        <x:f>IF($A315="","",IF(대장!K157="","",대장!K157))</x:f>
        <x:v>#NAME?</x:v>
      </x:c>
    </x:row>
    <x:row r="316" ht="42" customHeight="1">
      <x:c r="A316" s="47" t="e">
        <x:f>IF(AND(대장!A157&lt;&gt;"",ISNUMBER(대장!F157),ISNUMBER(대장!G157),대장!G157&gt;=대장!F157,대장!H157&lt;&gt;""),대장!G157,"")</x:f>
        <x:v>#NAME?</x:v>
      </x:c>
      <x:c r="B316" s="27" t="e">
        <x:f>IF($A316="","",IF(발령대장_설정!$B$4="","",발령대장_설정!$B$4))</x:f>
        <x:v>#NAME?</x:v>
      </x:c>
      <x:c r="C316" s="27" t="e">
        <x:f>IF($A316="","",대장!D157)</x:f>
        <x:v>#NAME?</x:v>
      </x:c>
      <x:c r="D316" s="27" t="e">
        <x:f>IF($A316="","",대장!A157)</x:f>
        <x:v>#NAME?</x:v>
      </x:c>
      <x:c r="E316" s="27" t="e">
        <x:f>IF($A316="","",IF(OR(ISNUMBER(SEARCH("계약만료",대장!H157&amp;"")),ISNUMBER(SEARCH("기간만료",대장!H157&amp;""))),"계약기간 만료로 퇴직",IF(ISNUMBER(SEARCH("의원면직",대장!H157&amp;"")),"의원면직",IF(ISNUMBER(SEARCH("정년퇴직",대장!H157&amp;"")),"정년퇴직",대장!H157))))</x:f>
        <x:v>#NAME?</x:v>
      </x:c>
      <x:c r="F316" s="27" t="e">
        <x:f>IF($A316="","",IF(발령대장_설정!$B$5="","",발령대장_설정!$B$5))</x:f>
        <x:v>#NAME?</x:v>
      </x:c>
      <x:c r="G316" s="27" t="e">
        <x:f>IF($A316="","",IF(발령대장_설정!$B$6="","",발령대장_설정!$B$6))</x:f>
        <x:v>#NAME?</x:v>
      </x:c>
      <x:c r="H316" s="27" t="e">
        <x:f>IF($A316="","",IF(발령대장_설정!$B$7="","",발령대장_설정!$B$7))</x:f>
        <x:v>#NAME?</x:v>
      </x:c>
      <x:c r="I316" s="27" t="e">
        <x:f>IF($A316="","",IF(발령대장_설정!$B$8="","",발령대장_설정!$B$8))</x:f>
        <x:v>#NAME?</x:v>
      </x:c>
      <x:c r="J316" s="27" t="str">
        <x:f>""</x:f>
      </x:c>
    </x:row>
    <x:row r="317" ht="42" customHeight="1">
      <x:c r="A317" s="47" t="e">
        <x:f>IF(AND(대장!A158&lt;&gt;"",ISNUMBER(대장!F158),OR(대장!G158="",AND(ISNUMBER(대장!G158),대장!G158&gt;=대장!F158))),대장!F158,"")</x:f>
        <x:v>#NAME?</x:v>
      </x:c>
      <x:c r="B317" s="27" t="e">
        <x:f>IF($A317="","",IF(발령대장_설정!$B$4="","",발령대장_설정!$B$4))</x:f>
        <x:v>#NAME?</x:v>
      </x:c>
      <x:c r="C317" s="27" t="e">
        <x:f>IF($A317="","",대장!D158)</x:f>
        <x:v>#NAME?</x:v>
      </x:c>
      <x:c r="D317" s="27" t="e">
        <x:f>IF($A317="","",대장!A158)</x:f>
        <x:v>#NAME?</x:v>
      </x:c>
      <x:c r="E317" s="27" t="e">
        <x:f>IF($A317="","",IF(대장!J158&lt;&gt;"",대장!J158,대장!D158&amp;"에 임함"&amp;IF(대장!E158="","",CHAR(10)&amp;"고용형태: "&amp;대장!E158)&amp;IF(대장!I158="","",CHAR(10)&amp;"소정근로시간: "&amp;대장!I158)&amp;CHAR(10)&amp;"근로기간: "&amp;YEAR(대장!F158)&amp;"."&amp;MONTH(대장!F158)&amp;"."&amp;DAY(대장!F158)&amp;"."&amp;" ~ "&amp;IF(ISNUMBER(대장!G158),YEAR(대장!G158)&amp;"."&amp;MONTH(대장!G158)&amp;"."&amp;DAY(대장!G158)&amp;".","재직 중")))</x:f>
        <x:v>#NAME?</x:v>
      </x:c>
      <x:c r="F317" s="27" t="e">
        <x:f>IF($A317="","",IF(발령대장_설정!$B$5="","",발령대장_설정!$B$5))</x:f>
        <x:v>#NAME?</x:v>
      </x:c>
      <x:c r="G317" s="27" t="e">
        <x:f>IF($A317="","",IF(발령대장_설정!$B$6="","",발령대장_설정!$B$6))</x:f>
        <x:v>#NAME?</x:v>
      </x:c>
      <x:c r="H317" s="27" t="e">
        <x:f>IF($A317="","",IF(발령대장_설정!$B$7="","",발령대장_설정!$B$7))</x:f>
        <x:v>#NAME?</x:v>
      </x:c>
      <x:c r="I317" s="27" t="e">
        <x:f>IF($A317="","",IF(발령대장_설정!$B$8="","",발령대장_설정!$B$8))</x:f>
        <x:v>#NAME?</x:v>
      </x:c>
      <x:c r="J317" s="27" t="e">
        <x:f>IF($A317="","",IF(대장!K158="","",대장!K158))</x:f>
        <x:v>#NAME?</x:v>
      </x:c>
    </x:row>
    <x:row r="318" ht="42" customHeight="1">
      <x:c r="A318" s="47" t="e">
        <x:f>IF(AND(대장!A158&lt;&gt;"",ISNUMBER(대장!F158),ISNUMBER(대장!G158),대장!G158&gt;=대장!F158,대장!H158&lt;&gt;""),대장!G158,"")</x:f>
        <x:v>#NAME?</x:v>
      </x:c>
      <x:c r="B318" s="27" t="e">
        <x:f>IF($A318="","",IF(발령대장_설정!$B$4="","",발령대장_설정!$B$4))</x:f>
        <x:v>#NAME?</x:v>
      </x:c>
      <x:c r="C318" s="27" t="e">
        <x:f>IF($A318="","",대장!D158)</x:f>
        <x:v>#NAME?</x:v>
      </x:c>
      <x:c r="D318" s="27" t="e">
        <x:f>IF($A318="","",대장!A158)</x:f>
        <x:v>#NAME?</x:v>
      </x:c>
      <x:c r="E318" s="27" t="e">
        <x:f>IF($A318="","",IF(OR(ISNUMBER(SEARCH("계약만료",대장!H158&amp;"")),ISNUMBER(SEARCH("기간만료",대장!H158&amp;""))),"계약기간 만료로 퇴직",IF(ISNUMBER(SEARCH("의원면직",대장!H158&amp;"")),"의원면직",IF(ISNUMBER(SEARCH("정년퇴직",대장!H158&amp;"")),"정년퇴직",대장!H158))))</x:f>
        <x:v>#NAME?</x:v>
      </x:c>
      <x:c r="F318" s="27" t="e">
        <x:f>IF($A318="","",IF(발령대장_설정!$B$5="","",발령대장_설정!$B$5))</x:f>
        <x:v>#NAME?</x:v>
      </x:c>
      <x:c r="G318" s="27" t="e">
        <x:f>IF($A318="","",IF(발령대장_설정!$B$6="","",발령대장_설정!$B$6))</x:f>
        <x:v>#NAME?</x:v>
      </x:c>
      <x:c r="H318" s="27" t="e">
        <x:f>IF($A318="","",IF(발령대장_설정!$B$7="","",발령대장_설정!$B$7))</x:f>
        <x:v>#NAME?</x:v>
      </x:c>
      <x:c r="I318" s="27" t="e">
        <x:f>IF($A318="","",IF(발령대장_설정!$B$8="","",발령대장_설정!$B$8))</x:f>
        <x:v>#NAME?</x:v>
      </x:c>
      <x:c r="J318" s="27" t="str">
        <x:f>""</x:f>
      </x:c>
    </x:row>
    <x:row r="319" ht="42" customHeight="1">
      <x:c r="A319" s="47" t="e">
        <x:f>IF(AND(대장!A159&lt;&gt;"",ISNUMBER(대장!F159),OR(대장!G159="",AND(ISNUMBER(대장!G159),대장!G159&gt;=대장!F159))),대장!F159,"")</x:f>
        <x:v>#NAME?</x:v>
      </x:c>
      <x:c r="B319" s="27" t="e">
        <x:f>IF($A319="","",IF(발령대장_설정!$B$4="","",발령대장_설정!$B$4))</x:f>
        <x:v>#NAME?</x:v>
      </x:c>
      <x:c r="C319" s="27" t="e">
        <x:f>IF($A319="","",대장!D159)</x:f>
        <x:v>#NAME?</x:v>
      </x:c>
      <x:c r="D319" s="27" t="e">
        <x:f>IF($A319="","",대장!A159)</x:f>
        <x:v>#NAME?</x:v>
      </x:c>
      <x:c r="E319" s="27" t="e">
        <x:f>IF($A319="","",IF(대장!J159&lt;&gt;"",대장!J159,대장!D159&amp;"에 임함"&amp;IF(대장!E159="","",CHAR(10)&amp;"고용형태: "&amp;대장!E159)&amp;IF(대장!I159="","",CHAR(10)&amp;"소정근로시간: "&amp;대장!I159)&amp;CHAR(10)&amp;"근로기간: "&amp;YEAR(대장!F159)&amp;"."&amp;MONTH(대장!F159)&amp;"."&amp;DAY(대장!F159)&amp;"."&amp;" ~ "&amp;IF(ISNUMBER(대장!G159),YEAR(대장!G159)&amp;"."&amp;MONTH(대장!G159)&amp;"."&amp;DAY(대장!G159)&amp;".","재직 중")))</x:f>
        <x:v>#NAME?</x:v>
      </x:c>
      <x:c r="F319" s="27" t="e">
        <x:f>IF($A319="","",IF(발령대장_설정!$B$5="","",발령대장_설정!$B$5))</x:f>
        <x:v>#NAME?</x:v>
      </x:c>
      <x:c r="G319" s="27" t="e">
        <x:f>IF($A319="","",IF(발령대장_설정!$B$6="","",발령대장_설정!$B$6))</x:f>
        <x:v>#NAME?</x:v>
      </x:c>
      <x:c r="H319" s="27" t="e">
        <x:f>IF($A319="","",IF(발령대장_설정!$B$7="","",발령대장_설정!$B$7))</x:f>
        <x:v>#NAME?</x:v>
      </x:c>
      <x:c r="I319" s="27" t="e">
        <x:f>IF($A319="","",IF(발령대장_설정!$B$8="","",발령대장_설정!$B$8))</x:f>
        <x:v>#NAME?</x:v>
      </x:c>
      <x:c r="J319" s="27" t="e">
        <x:f>IF($A319="","",IF(대장!K159="","",대장!K159))</x:f>
        <x:v>#NAME?</x:v>
      </x:c>
    </x:row>
    <x:row r="320" ht="42" customHeight="1">
      <x:c r="A320" s="47" t="e">
        <x:f>IF(AND(대장!A159&lt;&gt;"",ISNUMBER(대장!F159),ISNUMBER(대장!G159),대장!G159&gt;=대장!F159,대장!H159&lt;&gt;""),대장!G159,"")</x:f>
        <x:v>#NAME?</x:v>
      </x:c>
      <x:c r="B320" s="27" t="e">
        <x:f>IF($A320="","",IF(발령대장_설정!$B$4="","",발령대장_설정!$B$4))</x:f>
        <x:v>#NAME?</x:v>
      </x:c>
      <x:c r="C320" s="27" t="e">
        <x:f>IF($A320="","",대장!D159)</x:f>
        <x:v>#NAME?</x:v>
      </x:c>
      <x:c r="D320" s="27" t="e">
        <x:f>IF($A320="","",대장!A159)</x:f>
        <x:v>#NAME?</x:v>
      </x:c>
      <x:c r="E320" s="27" t="e">
        <x:f>IF($A320="","",IF(OR(ISNUMBER(SEARCH("계약만료",대장!H159&amp;"")),ISNUMBER(SEARCH("기간만료",대장!H159&amp;""))),"계약기간 만료로 퇴직",IF(ISNUMBER(SEARCH("의원면직",대장!H159&amp;"")),"의원면직",IF(ISNUMBER(SEARCH("정년퇴직",대장!H159&amp;"")),"정년퇴직",대장!H159))))</x:f>
        <x:v>#NAME?</x:v>
      </x:c>
      <x:c r="F320" s="27" t="e">
        <x:f>IF($A320="","",IF(발령대장_설정!$B$5="","",발령대장_설정!$B$5))</x:f>
        <x:v>#NAME?</x:v>
      </x:c>
      <x:c r="G320" s="27" t="e">
        <x:f>IF($A320="","",IF(발령대장_설정!$B$6="","",발령대장_설정!$B$6))</x:f>
        <x:v>#NAME?</x:v>
      </x:c>
      <x:c r="H320" s="27" t="e">
        <x:f>IF($A320="","",IF(발령대장_설정!$B$7="","",발령대장_설정!$B$7))</x:f>
        <x:v>#NAME?</x:v>
      </x:c>
      <x:c r="I320" s="27" t="e">
        <x:f>IF($A320="","",IF(발령대장_설정!$B$8="","",발령대장_설정!$B$8))</x:f>
        <x:v>#NAME?</x:v>
      </x:c>
      <x:c r="J320" s="27" t="str">
        <x:f>""</x:f>
      </x:c>
    </x:row>
    <x:row r="321" ht="42" customHeight="1">
      <x:c r="A321" s="47" t="e">
        <x:f>IF(AND(대장!A160&lt;&gt;"",ISNUMBER(대장!F160),OR(대장!G160="",AND(ISNUMBER(대장!G160),대장!G160&gt;=대장!F160))),대장!F160,"")</x:f>
        <x:v>#NAME?</x:v>
      </x:c>
      <x:c r="B321" s="27" t="e">
        <x:f>IF($A321="","",IF(발령대장_설정!$B$4="","",발령대장_설정!$B$4))</x:f>
        <x:v>#NAME?</x:v>
      </x:c>
      <x:c r="C321" s="27" t="e">
        <x:f>IF($A321="","",대장!D160)</x:f>
        <x:v>#NAME?</x:v>
      </x:c>
      <x:c r="D321" s="27" t="e">
        <x:f>IF($A321="","",대장!A160)</x:f>
        <x:v>#NAME?</x:v>
      </x:c>
      <x:c r="E321" s="27" t="e">
        <x:f>IF($A321="","",IF(대장!J160&lt;&gt;"",대장!J160,대장!D160&amp;"에 임함"&amp;IF(대장!E160="","",CHAR(10)&amp;"고용형태: "&amp;대장!E160)&amp;IF(대장!I160="","",CHAR(10)&amp;"소정근로시간: "&amp;대장!I160)&amp;CHAR(10)&amp;"근로기간: "&amp;YEAR(대장!F160)&amp;"."&amp;MONTH(대장!F160)&amp;"."&amp;DAY(대장!F160)&amp;"."&amp;" ~ "&amp;IF(ISNUMBER(대장!G160),YEAR(대장!G160)&amp;"."&amp;MONTH(대장!G160)&amp;"."&amp;DAY(대장!G160)&amp;".","재직 중")))</x:f>
        <x:v>#NAME?</x:v>
      </x:c>
      <x:c r="F321" s="27" t="e">
        <x:f>IF($A321="","",IF(발령대장_설정!$B$5="","",발령대장_설정!$B$5))</x:f>
        <x:v>#NAME?</x:v>
      </x:c>
      <x:c r="G321" s="27" t="e">
        <x:f>IF($A321="","",IF(발령대장_설정!$B$6="","",발령대장_설정!$B$6))</x:f>
        <x:v>#NAME?</x:v>
      </x:c>
      <x:c r="H321" s="27" t="e">
        <x:f>IF($A321="","",IF(발령대장_설정!$B$7="","",발령대장_설정!$B$7))</x:f>
        <x:v>#NAME?</x:v>
      </x:c>
      <x:c r="I321" s="27" t="e">
        <x:f>IF($A321="","",IF(발령대장_설정!$B$8="","",발령대장_설정!$B$8))</x:f>
        <x:v>#NAME?</x:v>
      </x:c>
      <x:c r="J321" s="27" t="e">
        <x:f>IF($A321="","",IF(대장!K160="","",대장!K160))</x:f>
        <x:v>#NAME?</x:v>
      </x:c>
    </x:row>
    <x:row r="322" ht="42" customHeight="1">
      <x:c r="A322" s="47" t="e">
        <x:f>IF(AND(대장!A160&lt;&gt;"",ISNUMBER(대장!F160),ISNUMBER(대장!G160),대장!G160&gt;=대장!F160,대장!H160&lt;&gt;""),대장!G160,"")</x:f>
        <x:v>#NAME?</x:v>
      </x:c>
      <x:c r="B322" s="27" t="e">
        <x:f>IF($A322="","",IF(발령대장_설정!$B$4="","",발령대장_설정!$B$4))</x:f>
        <x:v>#NAME?</x:v>
      </x:c>
      <x:c r="C322" s="27" t="e">
        <x:f>IF($A322="","",대장!D160)</x:f>
        <x:v>#NAME?</x:v>
      </x:c>
      <x:c r="D322" s="27" t="e">
        <x:f>IF($A322="","",대장!A160)</x:f>
        <x:v>#NAME?</x:v>
      </x:c>
      <x:c r="E322" s="27" t="e">
        <x:f>IF($A322="","",IF(OR(ISNUMBER(SEARCH("계약만료",대장!H160&amp;"")),ISNUMBER(SEARCH("기간만료",대장!H160&amp;""))),"계약기간 만료로 퇴직",IF(ISNUMBER(SEARCH("의원면직",대장!H160&amp;"")),"의원면직",IF(ISNUMBER(SEARCH("정년퇴직",대장!H160&amp;"")),"정년퇴직",대장!H160))))</x:f>
        <x:v>#NAME?</x:v>
      </x:c>
      <x:c r="F322" s="27" t="e">
        <x:f>IF($A322="","",IF(발령대장_설정!$B$5="","",발령대장_설정!$B$5))</x:f>
        <x:v>#NAME?</x:v>
      </x:c>
      <x:c r="G322" s="27" t="e">
        <x:f>IF($A322="","",IF(발령대장_설정!$B$6="","",발령대장_설정!$B$6))</x:f>
        <x:v>#NAME?</x:v>
      </x:c>
      <x:c r="H322" s="27" t="e">
        <x:f>IF($A322="","",IF(발령대장_설정!$B$7="","",발령대장_설정!$B$7))</x:f>
        <x:v>#NAME?</x:v>
      </x:c>
      <x:c r="I322" s="27" t="e">
        <x:f>IF($A322="","",IF(발령대장_설정!$B$8="","",발령대장_설정!$B$8))</x:f>
        <x:v>#NAME?</x:v>
      </x:c>
      <x:c r="J322" s="27" t="str">
        <x:f>""</x:f>
      </x:c>
    </x:row>
    <x:row r="323" ht="42" customHeight="1">
      <x:c r="A323" s="47" t="e">
        <x:f>IF(AND(대장!A161&lt;&gt;"",ISNUMBER(대장!F161),OR(대장!G161="",AND(ISNUMBER(대장!G161),대장!G161&gt;=대장!F161))),대장!F161,"")</x:f>
        <x:v>#NAME?</x:v>
      </x:c>
      <x:c r="B323" s="27" t="e">
        <x:f>IF($A323="","",IF(발령대장_설정!$B$4="","",발령대장_설정!$B$4))</x:f>
        <x:v>#NAME?</x:v>
      </x:c>
      <x:c r="C323" s="27" t="e">
        <x:f>IF($A323="","",대장!D161)</x:f>
        <x:v>#NAME?</x:v>
      </x:c>
      <x:c r="D323" s="27" t="e">
        <x:f>IF($A323="","",대장!A161)</x:f>
        <x:v>#NAME?</x:v>
      </x:c>
      <x:c r="E323" s="27" t="e">
        <x:f>IF($A323="","",IF(대장!J161&lt;&gt;"",대장!J161,대장!D161&amp;"에 임함"&amp;IF(대장!E161="","",CHAR(10)&amp;"고용형태: "&amp;대장!E161)&amp;IF(대장!I161="","",CHAR(10)&amp;"소정근로시간: "&amp;대장!I161)&amp;CHAR(10)&amp;"근로기간: "&amp;YEAR(대장!F161)&amp;"."&amp;MONTH(대장!F161)&amp;"."&amp;DAY(대장!F161)&amp;"."&amp;" ~ "&amp;IF(ISNUMBER(대장!G161),YEAR(대장!G161)&amp;"."&amp;MONTH(대장!G161)&amp;"."&amp;DAY(대장!G161)&amp;".","재직 중")))</x:f>
        <x:v>#NAME?</x:v>
      </x:c>
      <x:c r="F323" s="27" t="e">
        <x:f>IF($A323="","",IF(발령대장_설정!$B$5="","",발령대장_설정!$B$5))</x:f>
        <x:v>#NAME?</x:v>
      </x:c>
      <x:c r="G323" s="27" t="e">
        <x:f>IF($A323="","",IF(발령대장_설정!$B$6="","",발령대장_설정!$B$6))</x:f>
        <x:v>#NAME?</x:v>
      </x:c>
      <x:c r="H323" s="27" t="e">
        <x:f>IF($A323="","",IF(발령대장_설정!$B$7="","",발령대장_설정!$B$7))</x:f>
        <x:v>#NAME?</x:v>
      </x:c>
      <x:c r="I323" s="27" t="e">
        <x:f>IF($A323="","",IF(발령대장_설정!$B$8="","",발령대장_설정!$B$8))</x:f>
        <x:v>#NAME?</x:v>
      </x:c>
      <x:c r="J323" s="27" t="e">
        <x:f>IF($A323="","",IF(대장!K161="","",대장!K161))</x:f>
        <x:v>#NAME?</x:v>
      </x:c>
    </x:row>
    <x:row r="324" ht="42" customHeight="1">
      <x:c r="A324" s="47" t="e">
        <x:f>IF(AND(대장!A161&lt;&gt;"",ISNUMBER(대장!F161),ISNUMBER(대장!G161),대장!G161&gt;=대장!F161,대장!H161&lt;&gt;""),대장!G161,"")</x:f>
        <x:v>#NAME?</x:v>
      </x:c>
      <x:c r="B324" s="27" t="e">
        <x:f>IF($A324="","",IF(발령대장_설정!$B$4="","",발령대장_설정!$B$4))</x:f>
        <x:v>#NAME?</x:v>
      </x:c>
      <x:c r="C324" s="27" t="e">
        <x:f>IF($A324="","",대장!D161)</x:f>
        <x:v>#NAME?</x:v>
      </x:c>
      <x:c r="D324" s="27" t="e">
        <x:f>IF($A324="","",대장!A161)</x:f>
        <x:v>#NAME?</x:v>
      </x:c>
      <x:c r="E324" s="27" t="e">
        <x:f>IF($A324="","",IF(OR(ISNUMBER(SEARCH("계약만료",대장!H161&amp;"")),ISNUMBER(SEARCH("기간만료",대장!H161&amp;""))),"계약기간 만료로 퇴직",IF(ISNUMBER(SEARCH("의원면직",대장!H161&amp;"")),"의원면직",IF(ISNUMBER(SEARCH("정년퇴직",대장!H161&amp;"")),"정년퇴직",대장!H161))))</x:f>
        <x:v>#NAME?</x:v>
      </x:c>
      <x:c r="F324" s="27" t="e">
        <x:f>IF($A324="","",IF(발령대장_설정!$B$5="","",발령대장_설정!$B$5))</x:f>
        <x:v>#NAME?</x:v>
      </x:c>
      <x:c r="G324" s="27" t="e">
        <x:f>IF($A324="","",IF(발령대장_설정!$B$6="","",발령대장_설정!$B$6))</x:f>
        <x:v>#NAME?</x:v>
      </x:c>
      <x:c r="H324" s="27" t="e">
        <x:f>IF($A324="","",IF(발령대장_설정!$B$7="","",발령대장_설정!$B$7))</x:f>
        <x:v>#NAME?</x:v>
      </x:c>
      <x:c r="I324" s="27" t="e">
        <x:f>IF($A324="","",IF(발령대장_설정!$B$8="","",발령대장_설정!$B$8))</x:f>
        <x:v>#NAME?</x:v>
      </x:c>
      <x:c r="J324" s="27" t="str">
        <x:f>""</x:f>
      </x:c>
    </x:row>
    <x:row r="325" ht="42" customHeight="1">
      <x:c r="A325" s="47" t="e">
        <x:f>IF(AND(대장!A162&lt;&gt;"",ISNUMBER(대장!F162),OR(대장!G162="",AND(ISNUMBER(대장!G162),대장!G162&gt;=대장!F162))),대장!F162,"")</x:f>
        <x:v>#NAME?</x:v>
      </x:c>
      <x:c r="B325" s="27" t="e">
        <x:f>IF($A325="","",IF(발령대장_설정!$B$4="","",발령대장_설정!$B$4))</x:f>
        <x:v>#NAME?</x:v>
      </x:c>
      <x:c r="C325" s="27" t="e">
        <x:f>IF($A325="","",대장!D162)</x:f>
        <x:v>#NAME?</x:v>
      </x:c>
      <x:c r="D325" s="27" t="e">
        <x:f>IF($A325="","",대장!A162)</x:f>
        <x:v>#NAME?</x:v>
      </x:c>
      <x:c r="E325" s="27" t="e">
        <x:f>IF($A325="","",IF(대장!J162&lt;&gt;"",대장!J162,대장!D162&amp;"에 임함"&amp;IF(대장!E162="","",CHAR(10)&amp;"고용형태: "&amp;대장!E162)&amp;IF(대장!I162="","",CHAR(10)&amp;"소정근로시간: "&amp;대장!I162)&amp;CHAR(10)&amp;"근로기간: "&amp;YEAR(대장!F162)&amp;"."&amp;MONTH(대장!F162)&amp;"."&amp;DAY(대장!F162)&amp;"."&amp;" ~ "&amp;IF(ISNUMBER(대장!G162),YEAR(대장!G162)&amp;"."&amp;MONTH(대장!G162)&amp;"."&amp;DAY(대장!G162)&amp;".","재직 중")))</x:f>
        <x:v>#NAME?</x:v>
      </x:c>
      <x:c r="F325" s="27" t="e">
        <x:f>IF($A325="","",IF(발령대장_설정!$B$5="","",발령대장_설정!$B$5))</x:f>
        <x:v>#NAME?</x:v>
      </x:c>
      <x:c r="G325" s="27" t="e">
        <x:f>IF($A325="","",IF(발령대장_설정!$B$6="","",발령대장_설정!$B$6))</x:f>
        <x:v>#NAME?</x:v>
      </x:c>
      <x:c r="H325" s="27" t="e">
        <x:f>IF($A325="","",IF(발령대장_설정!$B$7="","",발령대장_설정!$B$7))</x:f>
        <x:v>#NAME?</x:v>
      </x:c>
      <x:c r="I325" s="27" t="e">
        <x:f>IF($A325="","",IF(발령대장_설정!$B$8="","",발령대장_설정!$B$8))</x:f>
        <x:v>#NAME?</x:v>
      </x:c>
      <x:c r="J325" s="27" t="e">
        <x:f>IF($A325="","",IF(대장!K162="","",대장!K162))</x:f>
        <x:v>#NAME?</x:v>
      </x:c>
    </x:row>
    <x:row r="326" ht="42" customHeight="1">
      <x:c r="A326" s="47" t="e">
        <x:f>IF(AND(대장!A162&lt;&gt;"",ISNUMBER(대장!F162),ISNUMBER(대장!G162),대장!G162&gt;=대장!F162,대장!H162&lt;&gt;""),대장!G162,"")</x:f>
        <x:v>#NAME?</x:v>
      </x:c>
      <x:c r="B326" s="27" t="e">
        <x:f>IF($A326="","",IF(발령대장_설정!$B$4="","",발령대장_설정!$B$4))</x:f>
        <x:v>#NAME?</x:v>
      </x:c>
      <x:c r="C326" s="27" t="e">
        <x:f>IF($A326="","",대장!D162)</x:f>
        <x:v>#NAME?</x:v>
      </x:c>
      <x:c r="D326" s="27" t="e">
        <x:f>IF($A326="","",대장!A162)</x:f>
        <x:v>#NAME?</x:v>
      </x:c>
      <x:c r="E326" s="27" t="e">
        <x:f>IF($A326="","",IF(OR(ISNUMBER(SEARCH("계약만료",대장!H162&amp;"")),ISNUMBER(SEARCH("기간만료",대장!H162&amp;""))),"계약기간 만료로 퇴직",IF(ISNUMBER(SEARCH("의원면직",대장!H162&amp;"")),"의원면직",IF(ISNUMBER(SEARCH("정년퇴직",대장!H162&amp;"")),"정년퇴직",대장!H162))))</x:f>
        <x:v>#NAME?</x:v>
      </x:c>
      <x:c r="F326" s="27" t="e">
        <x:f>IF($A326="","",IF(발령대장_설정!$B$5="","",발령대장_설정!$B$5))</x:f>
        <x:v>#NAME?</x:v>
      </x:c>
      <x:c r="G326" s="27" t="e">
        <x:f>IF($A326="","",IF(발령대장_설정!$B$6="","",발령대장_설정!$B$6))</x:f>
        <x:v>#NAME?</x:v>
      </x:c>
      <x:c r="H326" s="27" t="e">
        <x:f>IF($A326="","",IF(발령대장_설정!$B$7="","",발령대장_설정!$B$7))</x:f>
        <x:v>#NAME?</x:v>
      </x:c>
      <x:c r="I326" s="27" t="e">
        <x:f>IF($A326="","",IF(발령대장_설정!$B$8="","",발령대장_설정!$B$8))</x:f>
        <x:v>#NAME?</x:v>
      </x:c>
      <x:c r="J326" s="27" t="str">
        <x:f>""</x:f>
      </x:c>
    </x:row>
    <x:row r="327" ht="42" customHeight="1">
      <x:c r="A327" s="47" t="e">
        <x:f>IF(AND(대장!A163&lt;&gt;"",ISNUMBER(대장!F163),OR(대장!G163="",AND(ISNUMBER(대장!G163),대장!G163&gt;=대장!F163))),대장!F163,"")</x:f>
        <x:v>#NAME?</x:v>
      </x:c>
      <x:c r="B327" s="27" t="e">
        <x:f>IF($A327="","",IF(발령대장_설정!$B$4="","",발령대장_설정!$B$4))</x:f>
        <x:v>#NAME?</x:v>
      </x:c>
      <x:c r="C327" s="27" t="e">
        <x:f>IF($A327="","",대장!D163)</x:f>
        <x:v>#NAME?</x:v>
      </x:c>
      <x:c r="D327" s="27" t="e">
        <x:f>IF($A327="","",대장!A163)</x:f>
        <x:v>#NAME?</x:v>
      </x:c>
      <x:c r="E327" s="27" t="e">
        <x:f>IF($A327="","",IF(대장!J163&lt;&gt;"",대장!J163,대장!D163&amp;"에 임함"&amp;IF(대장!E163="","",CHAR(10)&amp;"고용형태: "&amp;대장!E163)&amp;IF(대장!I163="","",CHAR(10)&amp;"소정근로시간: "&amp;대장!I163)&amp;CHAR(10)&amp;"근로기간: "&amp;YEAR(대장!F163)&amp;"."&amp;MONTH(대장!F163)&amp;"."&amp;DAY(대장!F163)&amp;"."&amp;" ~ "&amp;IF(ISNUMBER(대장!G163),YEAR(대장!G163)&amp;"."&amp;MONTH(대장!G163)&amp;"."&amp;DAY(대장!G163)&amp;".","재직 중")))</x:f>
        <x:v>#NAME?</x:v>
      </x:c>
      <x:c r="F327" s="27" t="e">
        <x:f>IF($A327="","",IF(발령대장_설정!$B$5="","",발령대장_설정!$B$5))</x:f>
        <x:v>#NAME?</x:v>
      </x:c>
      <x:c r="G327" s="27" t="e">
        <x:f>IF($A327="","",IF(발령대장_설정!$B$6="","",발령대장_설정!$B$6))</x:f>
        <x:v>#NAME?</x:v>
      </x:c>
      <x:c r="H327" s="27" t="e">
        <x:f>IF($A327="","",IF(발령대장_설정!$B$7="","",발령대장_설정!$B$7))</x:f>
        <x:v>#NAME?</x:v>
      </x:c>
      <x:c r="I327" s="27" t="e">
        <x:f>IF($A327="","",IF(발령대장_설정!$B$8="","",발령대장_설정!$B$8))</x:f>
        <x:v>#NAME?</x:v>
      </x:c>
      <x:c r="J327" s="27" t="e">
        <x:f>IF($A327="","",IF(대장!K163="","",대장!K163))</x:f>
        <x:v>#NAME?</x:v>
      </x:c>
    </x:row>
    <x:row r="328" ht="42" customHeight="1">
      <x:c r="A328" s="47" t="e">
        <x:f>IF(AND(대장!A163&lt;&gt;"",ISNUMBER(대장!F163),ISNUMBER(대장!G163),대장!G163&gt;=대장!F163,대장!H163&lt;&gt;""),대장!G163,"")</x:f>
        <x:v>#NAME?</x:v>
      </x:c>
      <x:c r="B328" s="27" t="e">
        <x:f>IF($A328="","",IF(발령대장_설정!$B$4="","",발령대장_설정!$B$4))</x:f>
        <x:v>#NAME?</x:v>
      </x:c>
      <x:c r="C328" s="27" t="e">
        <x:f>IF($A328="","",대장!D163)</x:f>
        <x:v>#NAME?</x:v>
      </x:c>
      <x:c r="D328" s="27" t="e">
        <x:f>IF($A328="","",대장!A163)</x:f>
        <x:v>#NAME?</x:v>
      </x:c>
      <x:c r="E328" s="27" t="e">
        <x:f>IF($A328="","",IF(OR(ISNUMBER(SEARCH("계약만료",대장!H163&amp;"")),ISNUMBER(SEARCH("기간만료",대장!H163&amp;""))),"계약기간 만료로 퇴직",IF(ISNUMBER(SEARCH("의원면직",대장!H163&amp;"")),"의원면직",IF(ISNUMBER(SEARCH("정년퇴직",대장!H163&amp;"")),"정년퇴직",대장!H163))))</x:f>
        <x:v>#NAME?</x:v>
      </x:c>
      <x:c r="F328" s="27" t="e">
        <x:f>IF($A328="","",IF(발령대장_설정!$B$5="","",발령대장_설정!$B$5))</x:f>
        <x:v>#NAME?</x:v>
      </x:c>
      <x:c r="G328" s="27" t="e">
        <x:f>IF($A328="","",IF(발령대장_설정!$B$6="","",발령대장_설정!$B$6))</x:f>
        <x:v>#NAME?</x:v>
      </x:c>
      <x:c r="H328" s="27" t="e">
        <x:f>IF($A328="","",IF(발령대장_설정!$B$7="","",발령대장_설정!$B$7))</x:f>
        <x:v>#NAME?</x:v>
      </x:c>
      <x:c r="I328" s="27" t="e">
        <x:f>IF($A328="","",IF(발령대장_설정!$B$8="","",발령대장_설정!$B$8))</x:f>
        <x:v>#NAME?</x:v>
      </x:c>
      <x:c r="J328" s="27" t="str">
        <x:f>""</x:f>
      </x:c>
    </x:row>
    <x:row r="329" ht="42" customHeight="1">
      <x:c r="A329" s="47" t="e">
        <x:f>IF(AND(대장!A164&lt;&gt;"",ISNUMBER(대장!F164),OR(대장!G164="",AND(ISNUMBER(대장!G164),대장!G164&gt;=대장!F164))),대장!F164,"")</x:f>
        <x:v>#NAME?</x:v>
      </x:c>
      <x:c r="B329" s="27" t="e">
        <x:f>IF($A329="","",IF(발령대장_설정!$B$4="","",발령대장_설정!$B$4))</x:f>
        <x:v>#NAME?</x:v>
      </x:c>
      <x:c r="C329" s="27" t="e">
        <x:f>IF($A329="","",대장!D164)</x:f>
        <x:v>#NAME?</x:v>
      </x:c>
      <x:c r="D329" s="27" t="e">
        <x:f>IF($A329="","",대장!A164)</x:f>
        <x:v>#NAME?</x:v>
      </x:c>
      <x:c r="E329" s="27" t="e">
        <x:f>IF($A329="","",IF(대장!J164&lt;&gt;"",대장!J164,대장!D164&amp;"에 임함"&amp;IF(대장!E164="","",CHAR(10)&amp;"고용형태: "&amp;대장!E164)&amp;IF(대장!I164="","",CHAR(10)&amp;"소정근로시간: "&amp;대장!I164)&amp;CHAR(10)&amp;"근로기간: "&amp;YEAR(대장!F164)&amp;"."&amp;MONTH(대장!F164)&amp;"."&amp;DAY(대장!F164)&amp;"."&amp;" ~ "&amp;IF(ISNUMBER(대장!G164),YEAR(대장!G164)&amp;"."&amp;MONTH(대장!G164)&amp;"."&amp;DAY(대장!G164)&amp;".","재직 중")))</x:f>
        <x:v>#NAME?</x:v>
      </x:c>
      <x:c r="F329" s="27" t="e">
        <x:f>IF($A329="","",IF(발령대장_설정!$B$5="","",발령대장_설정!$B$5))</x:f>
        <x:v>#NAME?</x:v>
      </x:c>
      <x:c r="G329" s="27" t="e">
        <x:f>IF($A329="","",IF(발령대장_설정!$B$6="","",발령대장_설정!$B$6))</x:f>
        <x:v>#NAME?</x:v>
      </x:c>
      <x:c r="H329" s="27" t="e">
        <x:f>IF($A329="","",IF(발령대장_설정!$B$7="","",발령대장_설정!$B$7))</x:f>
        <x:v>#NAME?</x:v>
      </x:c>
      <x:c r="I329" s="27" t="e">
        <x:f>IF($A329="","",IF(발령대장_설정!$B$8="","",발령대장_설정!$B$8))</x:f>
        <x:v>#NAME?</x:v>
      </x:c>
      <x:c r="J329" s="27" t="e">
        <x:f>IF($A329="","",IF(대장!K164="","",대장!K164))</x:f>
        <x:v>#NAME?</x:v>
      </x:c>
    </x:row>
    <x:row r="330" ht="42" customHeight="1">
      <x:c r="A330" s="47" t="e">
        <x:f>IF(AND(대장!A164&lt;&gt;"",ISNUMBER(대장!F164),ISNUMBER(대장!G164),대장!G164&gt;=대장!F164,대장!H164&lt;&gt;""),대장!G164,"")</x:f>
        <x:v>#NAME?</x:v>
      </x:c>
      <x:c r="B330" s="27" t="e">
        <x:f>IF($A330="","",IF(발령대장_설정!$B$4="","",발령대장_설정!$B$4))</x:f>
        <x:v>#NAME?</x:v>
      </x:c>
      <x:c r="C330" s="27" t="e">
        <x:f>IF($A330="","",대장!D164)</x:f>
        <x:v>#NAME?</x:v>
      </x:c>
      <x:c r="D330" s="27" t="e">
        <x:f>IF($A330="","",대장!A164)</x:f>
        <x:v>#NAME?</x:v>
      </x:c>
      <x:c r="E330" s="27" t="e">
        <x:f>IF($A330="","",IF(OR(ISNUMBER(SEARCH("계약만료",대장!H164&amp;"")),ISNUMBER(SEARCH("기간만료",대장!H164&amp;""))),"계약기간 만료로 퇴직",IF(ISNUMBER(SEARCH("의원면직",대장!H164&amp;"")),"의원면직",IF(ISNUMBER(SEARCH("정년퇴직",대장!H164&amp;"")),"정년퇴직",대장!H164))))</x:f>
        <x:v>#NAME?</x:v>
      </x:c>
      <x:c r="F330" s="27" t="e">
        <x:f>IF($A330="","",IF(발령대장_설정!$B$5="","",발령대장_설정!$B$5))</x:f>
        <x:v>#NAME?</x:v>
      </x:c>
      <x:c r="G330" s="27" t="e">
        <x:f>IF($A330="","",IF(발령대장_설정!$B$6="","",발령대장_설정!$B$6))</x:f>
        <x:v>#NAME?</x:v>
      </x:c>
      <x:c r="H330" s="27" t="e">
        <x:f>IF($A330="","",IF(발령대장_설정!$B$7="","",발령대장_설정!$B$7))</x:f>
        <x:v>#NAME?</x:v>
      </x:c>
      <x:c r="I330" s="27" t="e">
        <x:f>IF($A330="","",IF(발령대장_설정!$B$8="","",발령대장_설정!$B$8))</x:f>
        <x:v>#NAME?</x:v>
      </x:c>
      <x:c r="J330" s="27" t="str">
        <x:f>""</x:f>
      </x:c>
    </x:row>
    <x:row r="331" ht="42" customHeight="1">
      <x:c r="A331" s="47" t="e">
        <x:f>IF(AND(대장!A165&lt;&gt;"",ISNUMBER(대장!F165),OR(대장!G165="",AND(ISNUMBER(대장!G165),대장!G165&gt;=대장!F165))),대장!F165,"")</x:f>
        <x:v>#NAME?</x:v>
      </x:c>
      <x:c r="B331" s="27" t="e">
        <x:f>IF($A331="","",IF(발령대장_설정!$B$4="","",발령대장_설정!$B$4))</x:f>
        <x:v>#NAME?</x:v>
      </x:c>
      <x:c r="C331" s="27" t="e">
        <x:f>IF($A331="","",대장!D165)</x:f>
        <x:v>#NAME?</x:v>
      </x:c>
      <x:c r="D331" s="27" t="e">
        <x:f>IF($A331="","",대장!A165)</x:f>
        <x:v>#NAME?</x:v>
      </x:c>
      <x:c r="E331" s="27" t="e">
        <x:f>IF($A331="","",IF(대장!J165&lt;&gt;"",대장!J165,대장!D165&amp;"에 임함"&amp;IF(대장!E165="","",CHAR(10)&amp;"고용형태: "&amp;대장!E165)&amp;IF(대장!I165="","",CHAR(10)&amp;"소정근로시간: "&amp;대장!I165)&amp;CHAR(10)&amp;"근로기간: "&amp;YEAR(대장!F165)&amp;"."&amp;MONTH(대장!F165)&amp;"."&amp;DAY(대장!F165)&amp;"."&amp;" ~ "&amp;IF(ISNUMBER(대장!G165),YEAR(대장!G165)&amp;"."&amp;MONTH(대장!G165)&amp;"."&amp;DAY(대장!G165)&amp;".","재직 중")))</x:f>
        <x:v>#NAME?</x:v>
      </x:c>
      <x:c r="F331" s="27" t="e">
        <x:f>IF($A331="","",IF(발령대장_설정!$B$5="","",발령대장_설정!$B$5))</x:f>
        <x:v>#NAME?</x:v>
      </x:c>
      <x:c r="G331" s="27" t="e">
        <x:f>IF($A331="","",IF(발령대장_설정!$B$6="","",발령대장_설정!$B$6))</x:f>
        <x:v>#NAME?</x:v>
      </x:c>
      <x:c r="H331" s="27" t="e">
        <x:f>IF($A331="","",IF(발령대장_설정!$B$7="","",발령대장_설정!$B$7))</x:f>
        <x:v>#NAME?</x:v>
      </x:c>
      <x:c r="I331" s="27" t="e">
        <x:f>IF($A331="","",IF(발령대장_설정!$B$8="","",발령대장_설정!$B$8))</x:f>
        <x:v>#NAME?</x:v>
      </x:c>
      <x:c r="J331" s="27" t="e">
        <x:f>IF($A331="","",IF(대장!K165="","",대장!K165))</x:f>
        <x:v>#NAME?</x:v>
      </x:c>
    </x:row>
    <x:row r="332" ht="42" customHeight="1">
      <x:c r="A332" s="47" t="e">
        <x:f>IF(AND(대장!A165&lt;&gt;"",ISNUMBER(대장!F165),ISNUMBER(대장!G165),대장!G165&gt;=대장!F165,대장!H165&lt;&gt;""),대장!G165,"")</x:f>
        <x:v>#NAME?</x:v>
      </x:c>
      <x:c r="B332" s="27" t="e">
        <x:f>IF($A332="","",IF(발령대장_설정!$B$4="","",발령대장_설정!$B$4))</x:f>
        <x:v>#NAME?</x:v>
      </x:c>
      <x:c r="C332" s="27" t="e">
        <x:f>IF($A332="","",대장!D165)</x:f>
        <x:v>#NAME?</x:v>
      </x:c>
      <x:c r="D332" s="27" t="e">
        <x:f>IF($A332="","",대장!A165)</x:f>
        <x:v>#NAME?</x:v>
      </x:c>
      <x:c r="E332" s="27" t="e">
        <x:f>IF($A332="","",IF(OR(ISNUMBER(SEARCH("계약만료",대장!H165&amp;"")),ISNUMBER(SEARCH("기간만료",대장!H165&amp;""))),"계약기간 만료로 퇴직",IF(ISNUMBER(SEARCH("의원면직",대장!H165&amp;"")),"의원면직",IF(ISNUMBER(SEARCH("정년퇴직",대장!H165&amp;"")),"정년퇴직",대장!H165))))</x:f>
        <x:v>#NAME?</x:v>
      </x:c>
      <x:c r="F332" s="27" t="e">
        <x:f>IF($A332="","",IF(발령대장_설정!$B$5="","",발령대장_설정!$B$5))</x:f>
        <x:v>#NAME?</x:v>
      </x:c>
      <x:c r="G332" s="27" t="e">
        <x:f>IF($A332="","",IF(발령대장_설정!$B$6="","",발령대장_설정!$B$6))</x:f>
        <x:v>#NAME?</x:v>
      </x:c>
      <x:c r="H332" s="27" t="e">
        <x:f>IF($A332="","",IF(발령대장_설정!$B$7="","",발령대장_설정!$B$7))</x:f>
        <x:v>#NAME?</x:v>
      </x:c>
      <x:c r="I332" s="27" t="e">
        <x:f>IF($A332="","",IF(발령대장_설정!$B$8="","",발령대장_설정!$B$8))</x:f>
        <x:v>#NAME?</x:v>
      </x:c>
      <x:c r="J332" s="27" t="str">
        <x:f>""</x:f>
      </x:c>
    </x:row>
    <x:row r="333" ht="42" customHeight="1">
      <x:c r="A333" s="47" t="e">
        <x:f>IF(AND(대장!A166&lt;&gt;"",ISNUMBER(대장!F166),OR(대장!G166="",AND(ISNUMBER(대장!G166),대장!G166&gt;=대장!F166))),대장!F166,"")</x:f>
        <x:v>#NAME?</x:v>
      </x:c>
      <x:c r="B333" s="27" t="e">
        <x:f>IF($A333="","",IF(발령대장_설정!$B$4="","",발령대장_설정!$B$4))</x:f>
        <x:v>#NAME?</x:v>
      </x:c>
      <x:c r="C333" s="27" t="e">
        <x:f>IF($A333="","",대장!D166)</x:f>
        <x:v>#NAME?</x:v>
      </x:c>
      <x:c r="D333" s="27" t="e">
        <x:f>IF($A333="","",대장!A166)</x:f>
        <x:v>#NAME?</x:v>
      </x:c>
      <x:c r="E333" s="27" t="e">
        <x:f>IF($A333="","",IF(대장!J166&lt;&gt;"",대장!J166,대장!D166&amp;"에 임함"&amp;IF(대장!E166="","",CHAR(10)&amp;"고용형태: "&amp;대장!E166)&amp;IF(대장!I166="","",CHAR(10)&amp;"소정근로시간: "&amp;대장!I166)&amp;CHAR(10)&amp;"근로기간: "&amp;YEAR(대장!F166)&amp;"."&amp;MONTH(대장!F166)&amp;"."&amp;DAY(대장!F166)&amp;"."&amp;" ~ "&amp;IF(ISNUMBER(대장!G166),YEAR(대장!G166)&amp;"."&amp;MONTH(대장!G166)&amp;"."&amp;DAY(대장!G166)&amp;".","재직 중")))</x:f>
        <x:v>#NAME?</x:v>
      </x:c>
      <x:c r="F333" s="27" t="e">
        <x:f>IF($A333="","",IF(발령대장_설정!$B$5="","",발령대장_설정!$B$5))</x:f>
        <x:v>#NAME?</x:v>
      </x:c>
      <x:c r="G333" s="27" t="e">
        <x:f>IF($A333="","",IF(발령대장_설정!$B$6="","",발령대장_설정!$B$6))</x:f>
        <x:v>#NAME?</x:v>
      </x:c>
      <x:c r="H333" s="27" t="e">
        <x:f>IF($A333="","",IF(발령대장_설정!$B$7="","",발령대장_설정!$B$7))</x:f>
        <x:v>#NAME?</x:v>
      </x:c>
      <x:c r="I333" s="27" t="e">
        <x:f>IF($A333="","",IF(발령대장_설정!$B$8="","",발령대장_설정!$B$8))</x:f>
        <x:v>#NAME?</x:v>
      </x:c>
      <x:c r="J333" s="27" t="e">
        <x:f>IF($A333="","",IF(대장!K166="","",대장!K166))</x:f>
        <x:v>#NAME?</x:v>
      </x:c>
    </x:row>
    <x:row r="334" ht="42" customHeight="1">
      <x:c r="A334" s="47" t="e">
        <x:f>IF(AND(대장!A166&lt;&gt;"",ISNUMBER(대장!F166),ISNUMBER(대장!G166),대장!G166&gt;=대장!F166,대장!H166&lt;&gt;""),대장!G166,"")</x:f>
        <x:v>#NAME?</x:v>
      </x:c>
      <x:c r="B334" s="27" t="e">
        <x:f>IF($A334="","",IF(발령대장_설정!$B$4="","",발령대장_설정!$B$4))</x:f>
        <x:v>#NAME?</x:v>
      </x:c>
      <x:c r="C334" s="27" t="e">
        <x:f>IF($A334="","",대장!D166)</x:f>
        <x:v>#NAME?</x:v>
      </x:c>
      <x:c r="D334" s="27" t="e">
        <x:f>IF($A334="","",대장!A166)</x:f>
        <x:v>#NAME?</x:v>
      </x:c>
      <x:c r="E334" s="27" t="e">
        <x:f>IF($A334="","",IF(OR(ISNUMBER(SEARCH("계약만료",대장!H166&amp;"")),ISNUMBER(SEARCH("기간만료",대장!H166&amp;""))),"계약기간 만료로 퇴직",IF(ISNUMBER(SEARCH("의원면직",대장!H166&amp;"")),"의원면직",IF(ISNUMBER(SEARCH("정년퇴직",대장!H166&amp;"")),"정년퇴직",대장!H166))))</x:f>
        <x:v>#NAME?</x:v>
      </x:c>
      <x:c r="F334" s="27" t="e">
        <x:f>IF($A334="","",IF(발령대장_설정!$B$5="","",발령대장_설정!$B$5))</x:f>
        <x:v>#NAME?</x:v>
      </x:c>
      <x:c r="G334" s="27" t="e">
        <x:f>IF($A334="","",IF(발령대장_설정!$B$6="","",발령대장_설정!$B$6))</x:f>
        <x:v>#NAME?</x:v>
      </x:c>
      <x:c r="H334" s="27" t="e">
        <x:f>IF($A334="","",IF(발령대장_설정!$B$7="","",발령대장_설정!$B$7))</x:f>
        <x:v>#NAME?</x:v>
      </x:c>
      <x:c r="I334" s="27" t="e">
        <x:f>IF($A334="","",IF(발령대장_설정!$B$8="","",발령대장_설정!$B$8))</x:f>
        <x:v>#NAME?</x:v>
      </x:c>
      <x:c r="J334" s="27" t="str">
        <x:f>""</x:f>
      </x:c>
    </x:row>
    <x:row r="335" ht="42" customHeight="1">
      <x:c r="A335" s="47" t="e">
        <x:f>IF(AND(대장!A167&lt;&gt;"",ISNUMBER(대장!F167),OR(대장!G167="",AND(ISNUMBER(대장!G167),대장!G167&gt;=대장!F167))),대장!F167,"")</x:f>
        <x:v>#NAME?</x:v>
      </x:c>
      <x:c r="B335" s="27" t="e">
        <x:f>IF($A335="","",IF(발령대장_설정!$B$4="","",발령대장_설정!$B$4))</x:f>
        <x:v>#NAME?</x:v>
      </x:c>
      <x:c r="C335" s="27" t="e">
        <x:f>IF($A335="","",대장!D167)</x:f>
        <x:v>#NAME?</x:v>
      </x:c>
      <x:c r="D335" s="27" t="e">
        <x:f>IF($A335="","",대장!A167)</x:f>
        <x:v>#NAME?</x:v>
      </x:c>
      <x:c r="E335" s="27" t="e">
        <x:f>IF($A335="","",IF(대장!J167&lt;&gt;"",대장!J167,대장!D167&amp;"에 임함"&amp;IF(대장!E167="","",CHAR(10)&amp;"고용형태: "&amp;대장!E167)&amp;IF(대장!I167="","",CHAR(10)&amp;"소정근로시간: "&amp;대장!I167)&amp;CHAR(10)&amp;"근로기간: "&amp;YEAR(대장!F167)&amp;"."&amp;MONTH(대장!F167)&amp;"."&amp;DAY(대장!F167)&amp;"."&amp;" ~ "&amp;IF(ISNUMBER(대장!G167),YEAR(대장!G167)&amp;"."&amp;MONTH(대장!G167)&amp;"."&amp;DAY(대장!G167)&amp;".","재직 중")))</x:f>
        <x:v>#NAME?</x:v>
      </x:c>
      <x:c r="F335" s="27" t="e">
        <x:f>IF($A335="","",IF(발령대장_설정!$B$5="","",발령대장_설정!$B$5))</x:f>
        <x:v>#NAME?</x:v>
      </x:c>
      <x:c r="G335" s="27" t="e">
        <x:f>IF($A335="","",IF(발령대장_설정!$B$6="","",발령대장_설정!$B$6))</x:f>
        <x:v>#NAME?</x:v>
      </x:c>
      <x:c r="H335" s="27" t="e">
        <x:f>IF($A335="","",IF(발령대장_설정!$B$7="","",발령대장_설정!$B$7))</x:f>
        <x:v>#NAME?</x:v>
      </x:c>
      <x:c r="I335" s="27" t="e">
        <x:f>IF($A335="","",IF(발령대장_설정!$B$8="","",발령대장_설정!$B$8))</x:f>
        <x:v>#NAME?</x:v>
      </x:c>
      <x:c r="J335" s="27" t="e">
        <x:f>IF($A335="","",IF(대장!K167="","",대장!K167))</x:f>
        <x:v>#NAME?</x:v>
      </x:c>
    </x:row>
    <x:row r="336" ht="42" customHeight="1">
      <x:c r="A336" s="47" t="e">
        <x:f>IF(AND(대장!A167&lt;&gt;"",ISNUMBER(대장!F167),ISNUMBER(대장!G167),대장!G167&gt;=대장!F167,대장!H167&lt;&gt;""),대장!G167,"")</x:f>
        <x:v>#NAME?</x:v>
      </x:c>
      <x:c r="B336" s="27" t="e">
        <x:f>IF($A336="","",IF(발령대장_설정!$B$4="","",발령대장_설정!$B$4))</x:f>
        <x:v>#NAME?</x:v>
      </x:c>
      <x:c r="C336" s="27" t="e">
        <x:f>IF($A336="","",대장!D167)</x:f>
        <x:v>#NAME?</x:v>
      </x:c>
      <x:c r="D336" s="27" t="e">
        <x:f>IF($A336="","",대장!A167)</x:f>
        <x:v>#NAME?</x:v>
      </x:c>
      <x:c r="E336" s="27" t="e">
        <x:f>IF($A336="","",IF(OR(ISNUMBER(SEARCH("계약만료",대장!H167&amp;"")),ISNUMBER(SEARCH("기간만료",대장!H167&amp;""))),"계약기간 만료로 퇴직",IF(ISNUMBER(SEARCH("의원면직",대장!H167&amp;"")),"의원면직",IF(ISNUMBER(SEARCH("정년퇴직",대장!H167&amp;"")),"정년퇴직",대장!H167))))</x:f>
        <x:v>#NAME?</x:v>
      </x:c>
      <x:c r="F336" s="27" t="e">
        <x:f>IF($A336="","",IF(발령대장_설정!$B$5="","",발령대장_설정!$B$5))</x:f>
        <x:v>#NAME?</x:v>
      </x:c>
      <x:c r="G336" s="27" t="e">
        <x:f>IF($A336="","",IF(발령대장_설정!$B$6="","",발령대장_설정!$B$6))</x:f>
        <x:v>#NAME?</x:v>
      </x:c>
      <x:c r="H336" s="27" t="e">
        <x:f>IF($A336="","",IF(발령대장_설정!$B$7="","",발령대장_설정!$B$7))</x:f>
        <x:v>#NAME?</x:v>
      </x:c>
      <x:c r="I336" s="27" t="e">
        <x:f>IF($A336="","",IF(발령대장_설정!$B$8="","",발령대장_설정!$B$8))</x:f>
        <x:v>#NAME?</x:v>
      </x:c>
      <x:c r="J336" s="27" t="str">
        <x:f>""</x:f>
      </x:c>
    </x:row>
    <x:row r="337" ht="42" customHeight="1">
      <x:c r="A337" s="47" t="e">
        <x:f>IF(AND(대장!A168&lt;&gt;"",ISNUMBER(대장!F168),OR(대장!G168="",AND(ISNUMBER(대장!G168),대장!G168&gt;=대장!F168))),대장!F168,"")</x:f>
        <x:v>#NAME?</x:v>
      </x:c>
      <x:c r="B337" s="27" t="e">
        <x:f>IF($A337="","",IF(발령대장_설정!$B$4="","",발령대장_설정!$B$4))</x:f>
        <x:v>#NAME?</x:v>
      </x:c>
      <x:c r="C337" s="27" t="e">
        <x:f>IF($A337="","",대장!D168)</x:f>
        <x:v>#NAME?</x:v>
      </x:c>
      <x:c r="D337" s="27" t="e">
        <x:f>IF($A337="","",대장!A168)</x:f>
        <x:v>#NAME?</x:v>
      </x:c>
      <x:c r="E337" s="27" t="e">
        <x:f>IF($A337="","",IF(대장!J168&lt;&gt;"",대장!J168,대장!D168&amp;"에 임함"&amp;IF(대장!E168="","",CHAR(10)&amp;"고용형태: "&amp;대장!E168)&amp;IF(대장!I168="","",CHAR(10)&amp;"소정근로시간: "&amp;대장!I168)&amp;CHAR(10)&amp;"근로기간: "&amp;YEAR(대장!F168)&amp;"."&amp;MONTH(대장!F168)&amp;"."&amp;DAY(대장!F168)&amp;"."&amp;" ~ "&amp;IF(ISNUMBER(대장!G168),YEAR(대장!G168)&amp;"."&amp;MONTH(대장!G168)&amp;"."&amp;DAY(대장!G168)&amp;".","재직 중")))</x:f>
        <x:v>#NAME?</x:v>
      </x:c>
      <x:c r="F337" s="27" t="e">
        <x:f>IF($A337="","",IF(발령대장_설정!$B$5="","",발령대장_설정!$B$5))</x:f>
        <x:v>#NAME?</x:v>
      </x:c>
      <x:c r="G337" s="27" t="e">
        <x:f>IF($A337="","",IF(발령대장_설정!$B$6="","",발령대장_설정!$B$6))</x:f>
        <x:v>#NAME?</x:v>
      </x:c>
      <x:c r="H337" s="27" t="e">
        <x:f>IF($A337="","",IF(발령대장_설정!$B$7="","",발령대장_설정!$B$7))</x:f>
        <x:v>#NAME?</x:v>
      </x:c>
      <x:c r="I337" s="27" t="e">
        <x:f>IF($A337="","",IF(발령대장_설정!$B$8="","",발령대장_설정!$B$8))</x:f>
        <x:v>#NAME?</x:v>
      </x:c>
      <x:c r="J337" s="27" t="e">
        <x:f>IF($A337="","",IF(대장!K168="","",대장!K168))</x:f>
        <x:v>#NAME?</x:v>
      </x:c>
    </x:row>
    <x:row r="338" ht="42" customHeight="1">
      <x:c r="A338" s="47" t="e">
        <x:f>IF(AND(대장!A168&lt;&gt;"",ISNUMBER(대장!F168),ISNUMBER(대장!G168),대장!G168&gt;=대장!F168,대장!H168&lt;&gt;""),대장!G168,"")</x:f>
        <x:v>#NAME?</x:v>
      </x:c>
      <x:c r="B338" s="27" t="e">
        <x:f>IF($A338="","",IF(발령대장_설정!$B$4="","",발령대장_설정!$B$4))</x:f>
        <x:v>#NAME?</x:v>
      </x:c>
      <x:c r="C338" s="27" t="e">
        <x:f>IF($A338="","",대장!D168)</x:f>
        <x:v>#NAME?</x:v>
      </x:c>
      <x:c r="D338" s="27" t="e">
        <x:f>IF($A338="","",대장!A168)</x:f>
        <x:v>#NAME?</x:v>
      </x:c>
      <x:c r="E338" s="27" t="e">
        <x:f>IF($A338="","",IF(OR(ISNUMBER(SEARCH("계약만료",대장!H168&amp;"")),ISNUMBER(SEARCH("기간만료",대장!H168&amp;""))),"계약기간 만료로 퇴직",IF(ISNUMBER(SEARCH("의원면직",대장!H168&amp;"")),"의원면직",IF(ISNUMBER(SEARCH("정년퇴직",대장!H168&amp;"")),"정년퇴직",대장!H168))))</x:f>
        <x:v>#NAME?</x:v>
      </x:c>
      <x:c r="F338" s="27" t="e">
        <x:f>IF($A338="","",IF(발령대장_설정!$B$5="","",발령대장_설정!$B$5))</x:f>
        <x:v>#NAME?</x:v>
      </x:c>
      <x:c r="G338" s="27" t="e">
        <x:f>IF($A338="","",IF(발령대장_설정!$B$6="","",발령대장_설정!$B$6))</x:f>
        <x:v>#NAME?</x:v>
      </x:c>
      <x:c r="H338" s="27" t="e">
        <x:f>IF($A338="","",IF(발령대장_설정!$B$7="","",발령대장_설정!$B$7))</x:f>
        <x:v>#NAME?</x:v>
      </x:c>
      <x:c r="I338" s="27" t="e">
        <x:f>IF($A338="","",IF(발령대장_설정!$B$8="","",발령대장_설정!$B$8))</x:f>
        <x:v>#NAME?</x:v>
      </x:c>
      <x:c r="J338" s="27" t="str">
        <x:f>""</x:f>
      </x:c>
    </x:row>
    <x:row r="339" ht="42" customHeight="1">
      <x:c r="A339" s="47" t="e">
        <x:f>IF(AND(대장!A169&lt;&gt;"",ISNUMBER(대장!F169),OR(대장!G169="",AND(ISNUMBER(대장!G169),대장!G169&gt;=대장!F169))),대장!F169,"")</x:f>
        <x:v>#NAME?</x:v>
      </x:c>
      <x:c r="B339" s="27" t="e">
        <x:f>IF($A339="","",IF(발령대장_설정!$B$4="","",발령대장_설정!$B$4))</x:f>
        <x:v>#NAME?</x:v>
      </x:c>
      <x:c r="C339" s="27" t="e">
        <x:f>IF($A339="","",대장!D169)</x:f>
        <x:v>#NAME?</x:v>
      </x:c>
      <x:c r="D339" s="27" t="e">
        <x:f>IF($A339="","",대장!A169)</x:f>
        <x:v>#NAME?</x:v>
      </x:c>
      <x:c r="E339" s="27" t="e">
        <x:f>IF($A339="","",IF(대장!J169&lt;&gt;"",대장!J169,대장!D169&amp;"에 임함"&amp;IF(대장!E169="","",CHAR(10)&amp;"고용형태: "&amp;대장!E169)&amp;IF(대장!I169="","",CHAR(10)&amp;"소정근로시간: "&amp;대장!I169)&amp;CHAR(10)&amp;"근로기간: "&amp;YEAR(대장!F169)&amp;"."&amp;MONTH(대장!F169)&amp;"."&amp;DAY(대장!F169)&amp;"."&amp;" ~ "&amp;IF(ISNUMBER(대장!G169),YEAR(대장!G169)&amp;"."&amp;MONTH(대장!G169)&amp;"."&amp;DAY(대장!G169)&amp;".","재직 중")))</x:f>
        <x:v>#NAME?</x:v>
      </x:c>
      <x:c r="F339" s="27" t="e">
        <x:f>IF($A339="","",IF(발령대장_설정!$B$5="","",발령대장_설정!$B$5))</x:f>
        <x:v>#NAME?</x:v>
      </x:c>
      <x:c r="G339" s="27" t="e">
        <x:f>IF($A339="","",IF(발령대장_설정!$B$6="","",발령대장_설정!$B$6))</x:f>
        <x:v>#NAME?</x:v>
      </x:c>
      <x:c r="H339" s="27" t="e">
        <x:f>IF($A339="","",IF(발령대장_설정!$B$7="","",발령대장_설정!$B$7))</x:f>
        <x:v>#NAME?</x:v>
      </x:c>
      <x:c r="I339" s="27" t="e">
        <x:f>IF($A339="","",IF(발령대장_설정!$B$8="","",발령대장_설정!$B$8))</x:f>
        <x:v>#NAME?</x:v>
      </x:c>
      <x:c r="J339" s="27" t="e">
        <x:f>IF($A339="","",IF(대장!K169="","",대장!K169))</x:f>
        <x:v>#NAME?</x:v>
      </x:c>
    </x:row>
    <x:row r="340" ht="42" customHeight="1">
      <x:c r="A340" s="47" t="e">
        <x:f>IF(AND(대장!A169&lt;&gt;"",ISNUMBER(대장!F169),ISNUMBER(대장!G169),대장!G169&gt;=대장!F169,대장!H169&lt;&gt;""),대장!G169,"")</x:f>
        <x:v>#NAME?</x:v>
      </x:c>
      <x:c r="B340" s="27" t="e">
        <x:f>IF($A340="","",IF(발령대장_설정!$B$4="","",발령대장_설정!$B$4))</x:f>
        <x:v>#NAME?</x:v>
      </x:c>
      <x:c r="C340" s="27" t="e">
        <x:f>IF($A340="","",대장!D169)</x:f>
        <x:v>#NAME?</x:v>
      </x:c>
      <x:c r="D340" s="27" t="e">
        <x:f>IF($A340="","",대장!A169)</x:f>
        <x:v>#NAME?</x:v>
      </x:c>
      <x:c r="E340" s="27" t="e">
        <x:f>IF($A340="","",IF(OR(ISNUMBER(SEARCH("계약만료",대장!H169&amp;"")),ISNUMBER(SEARCH("기간만료",대장!H169&amp;""))),"계약기간 만료로 퇴직",IF(ISNUMBER(SEARCH("의원면직",대장!H169&amp;"")),"의원면직",IF(ISNUMBER(SEARCH("정년퇴직",대장!H169&amp;"")),"정년퇴직",대장!H169))))</x:f>
        <x:v>#NAME?</x:v>
      </x:c>
      <x:c r="F340" s="27" t="e">
        <x:f>IF($A340="","",IF(발령대장_설정!$B$5="","",발령대장_설정!$B$5))</x:f>
        <x:v>#NAME?</x:v>
      </x:c>
      <x:c r="G340" s="27" t="e">
        <x:f>IF($A340="","",IF(발령대장_설정!$B$6="","",발령대장_설정!$B$6))</x:f>
        <x:v>#NAME?</x:v>
      </x:c>
      <x:c r="H340" s="27" t="e">
        <x:f>IF($A340="","",IF(발령대장_설정!$B$7="","",발령대장_설정!$B$7))</x:f>
        <x:v>#NAME?</x:v>
      </x:c>
      <x:c r="I340" s="27" t="e">
        <x:f>IF($A340="","",IF(발령대장_설정!$B$8="","",발령대장_설정!$B$8))</x:f>
        <x:v>#NAME?</x:v>
      </x:c>
      <x:c r="J340" s="27" t="str">
        <x:f>""</x:f>
      </x:c>
    </x:row>
    <x:row r="341" ht="42" customHeight="1">
      <x:c r="A341" s="47" t="e">
        <x:f>IF(AND(대장!A170&lt;&gt;"",ISNUMBER(대장!F170),OR(대장!G170="",AND(ISNUMBER(대장!G170),대장!G170&gt;=대장!F170))),대장!F170,"")</x:f>
        <x:v>#NAME?</x:v>
      </x:c>
      <x:c r="B341" s="27" t="e">
        <x:f>IF($A341="","",IF(발령대장_설정!$B$4="","",발령대장_설정!$B$4))</x:f>
        <x:v>#NAME?</x:v>
      </x:c>
      <x:c r="C341" s="27" t="e">
        <x:f>IF($A341="","",대장!D170)</x:f>
        <x:v>#NAME?</x:v>
      </x:c>
      <x:c r="D341" s="27" t="e">
        <x:f>IF($A341="","",대장!A170)</x:f>
        <x:v>#NAME?</x:v>
      </x:c>
      <x:c r="E341" s="27" t="e">
        <x:f>IF($A341="","",IF(대장!J170&lt;&gt;"",대장!J170,대장!D170&amp;"에 임함"&amp;IF(대장!E170="","",CHAR(10)&amp;"고용형태: "&amp;대장!E170)&amp;IF(대장!I170="","",CHAR(10)&amp;"소정근로시간: "&amp;대장!I170)&amp;CHAR(10)&amp;"근로기간: "&amp;YEAR(대장!F170)&amp;"."&amp;MONTH(대장!F170)&amp;"."&amp;DAY(대장!F170)&amp;"."&amp;" ~ "&amp;IF(ISNUMBER(대장!G170),YEAR(대장!G170)&amp;"."&amp;MONTH(대장!G170)&amp;"."&amp;DAY(대장!G170)&amp;".","재직 중")))</x:f>
        <x:v>#NAME?</x:v>
      </x:c>
      <x:c r="F341" s="27" t="e">
        <x:f>IF($A341="","",IF(발령대장_설정!$B$5="","",발령대장_설정!$B$5))</x:f>
        <x:v>#NAME?</x:v>
      </x:c>
      <x:c r="G341" s="27" t="e">
        <x:f>IF($A341="","",IF(발령대장_설정!$B$6="","",발령대장_설정!$B$6))</x:f>
        <x:v>#NAME?</x:v>
      </x:c>
      <x:c r="H341" s="27" t="e">
        <x:f>IF($A341="","",IF(발령대장_설정!$B$7="","",발령대장_설정!$B$7))</x:f>
        <x:v>#NAME?</x:v>
      </x:c>
      <x:c r="I341" s="27" t="e">
        <x:f>IF($A341="","",IF(발령대장_설정!$B$8="","",발령대장_설정!$B$8))</x:f>
        <x:v>#NAME?</x:v>
      </x:c>
      <x:c r="J341" s="27" t="e">
        <x:f>IF($A341="","",IF(대장!K170="","",대장!K170))</x:f>
        <x:v>#NAME?</x:v>
      </x:c>
    </x:row>
    <x:row r="342" ht="42" customHeight="1">
      <x:c r="A342" s="47" t="e">
        <x:f>IF(AND(대장!A170&lt;&gt;"",ISNUMBER(대장!F170),ISNUMBER(대장!G170),대장!G170&gt;=대장!F170,대장!H170&lt;&gt;""),대장!G170,"")</x:f>
        <x:v>#NAME?</x:v>
      </x:c>
      <x:c r="B342" s="27" t="e">
        <x:f>IF($A342="","",IF(발령대장_설정!$B$4="","",발령대장_설정!$B$4))</x:f>
        <x:v>#NAME?</x:v>
      </x:c>
      <x:c r="C342" s="27" t="e">
        <x:f>IF($A342="","",대장!D170)</x:f>
        <x:v>#NAME?</x:v>
      </x:c>
      <x:c r="D342" s="27" t="e">
        <x:f>IF($A342="","",대장!A170)</x:f>
        <x:v>#NAME?</x:v>
      </x:c>
      <x:c r="E342" s="27" t="e">
        <x:f>IF($A342="","",IF(OR(ISNUMBER(SEARCH("계약만료",대장!H170&amp;"")),ISNUMBER(SEARCH("기간만료",대장!H170&amp;""))),"계약기간 만료로 퇴직",IF(ISNUMBER(SEARCH("의원면직",대장!H170&amp;"")),"의원면직",IF(ISNUMBER(SEARCH("정년퇴직",대장!H170&amp;"")),"정년퇴직",대장!H170))))</x:f>
        <x:v>#NAME?</x:v>
      </x:c>
      <x:c r="F342" s="27" t="e">
        <x:f>IF($A342="","",IF(발령대장_설정!$B$5="","",발령대장_설정!$B$5))</x:f>
        <x:v>#NAME?</x:v>
      </x:c>
      <x:c r="G342" s="27" t="e">
        <x:f>IF($A342="","",IF(발령대장_설정!$B$6="","",발령대장_설정!$B$6))</x:f>
        <x:v>#NAME?</x:v>
      </x:c>
      <x:c r="H342" s="27" t="e">
        <x:f>IF($A342="","",IF(발령대장_설정!$B$7="","",발령대장_설정!$B$7))</x:f>
        <x:v>#NAME?</x:v>
      </x:c>
      <x:c r="I342" s="27" t="e">
        <x:f>IF($A342="","",IF(발령대장_설정!$B$8="","",발령대장_설정!$B$8))</x:f>
        <x:v>#NAME?</x:v>
      </x:c>
      <x:c r="J342" s="27" t="str">
        <x:f>""</x:f>
      </x:c>
    </x:row>
    <x:row r="343" ht="42" customHeight="1">
      <x:c r="A343" s="47" t="e">
        <x:f>IF(AND(대장!A171&lt;&gt;"",ISNUMBER(대장!F171),OR(대장!G171="",AND(ISNUMBER(대장!G171),대장!G171&gt;=대장!F171))),대장!F171,"")</x:f>
        <x:v>#NAME?</x:v>
      </x:c>
      <x:c r="B343" s="27" t="e">
        <x:f>IF($A343="","",IF(발령대장_설정!$B$4="","",발령대장_설정!$B$4))</x:f>
        <x:v>#NAME?</x:v>
      </x:c>
      <x:c r="C343" s="27" t="e">
        <x:f>IF($A343="","",대장!D171)</x:f>
        <x:v>#NAME?</x:v>
      </x:c>
      <x:c r="D343" s="27" t="e">
        <x:f>IF($A343="","",대장!A171)</x:f>
        <x:v>#NAME?</x:v>
      </x:c>
      <x:c r="E343" s="27" t="e">
        <x:f>IF($A343="","",IF(대장!J171&lt;&gt;"",대장!J171,대장!D171&amp;"에 임함"&amp;IF(대장!E171="","",CHAR(10)&amp;"고용형태: "&amp;대장!E171)&amp;IF(대장!I171="","",CHAR(10)&amp;"소정근로시간: "&amp;대장!I171)&amp;CHAR(10)&amp;"근로기간: "&amp;YEAR(대장!F171)&amp;"."&amp;MONTH(대장!F171)&amp;"."&amp;DAY(대장!F171)&amp;"."&amp;" ~ "&amp;IF(ISNUMBER(대장!G171),YEAR(대장!G171)&amp;"."&amp;MONTH(대장!G171)&amp;"."&amp;DAY(대장!G171)&amp;".","재직 중")))</x:f>
        <x:v>#NAME?</x:v>
      </x:c>
      <x:c r="F343" s="27" t="e">
        <x:f>IF($A343="","",IF(발령대장_설정!$B$5="","",발령대장_설정!$B$5))</x:f>
        <x:v>#NAME?</x:v>
      </x:c>
      <x:c r="G343" s="27" t="e">
        <x:f>IF($A343="","",IF(발령대장_설정!$B$6="","",발령대장_설정!$B$6))</x:f>
        <x:v>#NAME?</x:v>
      </x:c>
      <x:c r="H343" s="27" t="e">
        <x:f>IF($A343="","",IF(발령대장_설정!$B$7="","",발령대장_설정!$B$7))</x:f>
        <x:v>#NAME?</x:v>
      </x:c>
      <x:c r="I343" s="27" t="e">
        <x:f>IF($A343="","",IF(발령대장_설정!$B$8="","",발령대장_설정!$B$8))</x:f>
        <x:v>#NAME?</x:v>
      </x:c>
      <x:c r="J343" s="27" t="e">
        <x:f>IF($A343="","",IF(대장!K171="","",대장!K171))</x:f>
        <x:v>#NAME?</x:v>
      </x:c>
    </x:row>
    <x:row r="344" ht="42" customHeight="1">
      <x:c r="A344" s="47" t="e">
        <x:f>IF(AND(대장!A171&lt;&gt;"",ISNUMBER(대장!F171),ISNUMBER(대장!G171),대장!G171&gt;=대장!F171,대장!H171&lt;&gt;""),대장!G171,"")</x:f>
        <x:v>#NAME?</x:v>
      </x:c>
      <x:c r="B344" s="27" t="e">
        <x:f>IF($A344="","",IF(발령대장_설정!$B$4="","",발령대장_설정!$B$4))</x:f>
        <x:v>#NAME?</x:v>
      </x:c>
      <x:c r="C344" s="27" t="e">
        <x:f>IF($A344="","",대장!D171)</x:f>
        <x:v>#NAME?</x:v>
      </x:c>
      <x:c r="D344" s="27" t="e">
        <x:f>IF($A344="","",대장!A171)</x:f>
        <x:v>#NAME?</x:v>
      </x:c>
      <x:c r="E344" s="27" t="e">
        <x:f>IF($A344="","",IF(OR(ISNUMBER(SEARCH("계약만료",대장!H171&amp;"")),ISNUMBER(SEARCH("기간만료",대장!H171&amp;""))),"계약기간 만료로 퇴직",IF(ISNUMBER(SEARCH("의원면직",대장!H171&amp;"")),"의원면직",IF(ISNUMBER(SEARCH("정년퇴직",대장!H171&amp;"")),"정년퇴직",대장!H171))))</x:f>
        <x:v>#NAME?</x:v>
      </x:c>
      <x:c r="F344" s="27" t="e">
        <x:f>IF($A344="","",IF(발령대장_설정!$B$5="","",발령대장_설정!$B$5))</x:f>
        <x:v>#NAME?</x:v>
      </x:c>
      <x:c r="G344" s="27" t="e">
        <x:f>IF($A344="","",IF(발령대장_설정!$B$6="","",발령대장_설정!$B$6))</x:f>
        <x:v>#NAME?</x:v>
      </x:c>
      <x:c r="H344" s="27" t="e">
        <x:f>IF($A344="","",IF(발령대장_설정!$B$7="","",발령대장_설정!$B$7))</x:f>
        <x:v>#NAME?</x:v>
      </x:c>
      <x:c r="I344" s="27" t="e">
        <x:f>IF($A344="","",IF(발령대장_설정!$B$8="","",발령대장_설정!$B$8))</x:f>
        <x:v>#NAME?</x:v>
      </x:c>
      <x:c r="J344" s="27" t="str">
        <x:f>""</x:f>
      </x:c>
    </x:row>
    <x:row r="345" ht="42" customHeight="1">
      <x:c r="A345" s="47" t="e">
        <x:f>IF(AND(대장!A172&lt;&gt;"",ISNUMBER(대장!F172),OR(대장!G172="",AND(ISNUMBER(대장!G172),대장!G172&gt;=대장!F172))),대장!F172,"")</x:f>
        <x:v>#NAME?</x:v>
      </x:c>
      <x:c r="B345" s="27" t="e">
        <x:f>IF($A345="","",IF(발령대장_설정!$B$4="","",발령대장_설정!$B$4))</x:f>
        <x:v>#NAME?</x:v>
      </x:c>
      <x:c r="C345" s="27" t="e">
        <x:f>IF($A345="","",대장!D172)</x:f>
        <x:v>#NAME?</x:v>
      </x:c>
      <x:c r="D345" s="27" t="e">
        <x:f>IF($A345="","",대장!A172)</x:f>
        <x:v>#NAME?</x:v>
      </x:c>
      <x:c r="E345" s="27" t="e">
        <x:f>IF($A345="","",IF(대장!J172&lt;&gt;"",대장!J172,대장!D172&amp;"에 임함"&amp;IF(대장!E172="","",CHAR(10)&amp;"고용형태: "&amp;대장!E172)&amp;IF(대장!I172="","",CHAR(10)&amp;"소정근로시간: "&amp;대장!I172)&amp;CHAR(10)&amp;"근로기간: "&amp;YEAR(대장!F172)&amp;"."&amp;MONTH(대장!F172)&amp;"."&amp;DAY(대장!F172)&amp;"."&amp;" ~ "&amp;IF(ISNUMBER(대장!G172),YEAR(대장!G172)&amp;"."&amp;MONTH(대장!G172)&amp;"."&amp;DAY(대장!G172)&amp;".","재직 중")))</x:f>
        <x:v>#NAME?</x:v>
      </x:c>
      <x:c r="F345" s="27" t="e">
        <x:f>IF($A345="","",IF(발령대장_설정!$B$5="","",발령대장_설정!$B$5))</x:f>
        <x:v>#NAME?</x:v>
      </x:c>
      <x:c r="G345" s="27" t="e">
        <x:f>IF($A345="","",IF(발령대장_설정!$B$6="","",발령대장_설정!$B$6))</x:f>
        <x:v>#NAME?</x:v>
      </x:c>
      <x:c r="H345" s="27" t="e">
        <x:f>IF($A345="","",IF(발령대장_설정!$B$7="","",발령대장_설정!$B$7))</x:f>
        <x:v>#NAME?</x:v>
      </x:c>
      <x:c r="I345" s="27" t="e">
        <x:f>IF($A345="","",IF(발령대장_설정!$B$8="","",발령대장_설정!$B$8))</x:f>
        <x:v>#NAME?</x:v>
      </x:c>
      <x:c r="J345" s="27" t="e">
        <x:f>IF($A345="","",IF(대장!K172="","",대장!K172))</x:f>
        <x:v>#NAME?</x:v>
      </x:c>
    </x:row>
    <x:row r="346" ht="42" customHeight="1">
      <x:c r="A346" s="47" t="e">
        <x:f>IF(AND(대장!A172&lt;&gt;"",ISNUMBER(대장!F172),ISNUMBER(대장!G172),대장!G172&gt;=대장!F172,대장!H172&lt;&gt;""),대장!G172,"")</x:f>
        <x:v>#NAME?</x:v>
      </x:c>
      <x:c r="B346" s="27" t="e">
        <x:f>IF($A346="","",IF(발령대장_설정!$B$4="","",발령대장_설정!$B$4))</x:f>
        <x:v>#NAME?</x:v>
      </x:c>
      <x:c r="C346" s="27" t="e">
        <x:f>IF($A346="","",대장!D172)</x:f>
        <x:v>#NAME?</x:v>
      </x:c>
      <x:c r="D346" s="27" t="e">
        <x:f>IF($A346="","",대장!A172)</x:f>
        <x:v>#NAME?</x:v>
      </x:c>
      <x:c r="E346" s="27" t="e">
        <x:f>IF($A346="","",IF(OR(ISNUMBER(SEARCH("계약만료",대장!H172&amp;"")),ISNUMBER(SEARCH("기간만료",대장!H172&amp;""))),"계약기간 만료로 퇴직",IF(ISNUMBER(SEARCH("의원면직",대장!H172&amp;"")),"의원면직",IF(ISNUMBER(SEARCH("정년퇴직",대장!H172&amp;"")),"정년퇴직",대장!H172))))</x:f>
        <x:v>#NAME?</x:v>
      </x:c>
      <x:c r="F346" s="27" t="e">
        <x:f>IF($A346="","",IF(발령대장_설정!$B$5="","",발령대장_설정!$B$5))</x:f>
        <x:v>#NAME?</x:v>
      </x:c>
      <x:c r="G346" s="27" t="e">
        <x:f>IF($A346="","",IF(발령대장_설정!$B$6="","",발령대장_설정!$B$6))</x:f>
        <x:v>#NAME?</x:v>
      </x:c>
      <x:c r="H346" s="27" t="e">
        <x:f>IF($A346="","",IF(발령대장_설정!$B$7="","",발령대장_설정!$B$7))</x:f>
        <x:v>#NAME?</x:v>
      </x:c>
      <x:c r="I346" s="27" t="e">
        <x:f>IF($A346="","",IF(발령대장_설정!$B$8="","",발령대장_설정!$B$8))</x:f>
        <x:v>#NAME?</x:v>
      </x:c>
      <x:c r="J346" s="27" t="str">
        <x:f>""</x:f>
      </x:c>
    </x:row>
    <x:row r="347" ht="42" customHeight="1">
      <x:c r="A347" s="47" t="e">
        <x:f>IF(AND(대장!A173&lt;&gt;"",ISNUMBER(대장!F173),OR(대장!G173="",AND(ISNUMBER(대장!G173),대장!G173&gt;=대장!F173))),대장!F173,"")</x:f>
        <x:v>#NAME?</x:v>
      </x:c>
      <x:c r="B347" s="27" t="e">
        <x:f>IF($A347="","",IF(발령대장_설정!$B$4="","",발령대장_설정!$B$4))</x:f>
        <x:v>#NAME?</x:v>
      </x:c>
      <x:c r="C347" s="27" t="e">
        <x:f>IF($A347="","",대장!D173)</x:f>
        <x:v>#NAME?</x:v>
      </x:c>
      <x:c r="D347" s="27" t="e">
        <x:f>IF($A347="","",대장!A173)</x:f>
        <x:v>#NAME?</x:v>
      </x:c>
      <x:c r="E347" s="27" t="e">
        <x:f>IF($A347="","",IF(대장!J173&lt;&gt;"",대장!J173,대장!D173&amp;"에 임함"&amp;IF(대장!E173="","",CHAR(10)&amp;"고용형태: "&amp;대장!E173)&amp;IF(대장!I173="","",CHAR(10)&amp;"소정근로시간: "&amp;대장!I173)&amp;CHAR(10)&amp;"근로기간: "&amp;YEAR(대장!F173)&amp;"."&amp;MONTH(대장!F173)&amp;"."&amp;DAY(대장!F173)&amp;"."&amp;" ~ "&amp;IF(ISNUMBER(대장!G173),YEAR(대장!G173)&amp;"."&amp;MONTH(대장!G173)&amp;"."&amp;DAY(대장!G173)&amp;".","재직 중")))</x:f>
        <x:v>#NAME?</x:v>
      </x:c>
      <x:c r="F347" s="27" t="e">
        <x:f>IF($A347="","",IF(발령대장_설정!$B$5="","",발령대장_설정!$B$5))</x:f>
        <x:v>#NAME?</x:v>
      </x:c>
      <x:c r="G347" s="27" t="e">
        <x:f>IF($A347="","",IF(발령대장_설정!$B$6="","",발령대장_설정!$B$6))</x:f>
        <x:v>#NAME?</x:v>
      </x:c>
      <x:c r="H347" s="27" t="e">
        <x:f>IF($A347="","",IF(발령대장_설정!$B$7="","",발령대장_설정!$B$7))</x:f>
        <x:v>#NAME?</x:v>
      </x:c>
      <x:c r="I347" s="27" t="e">
        <x:f>IF($A347="","",IF(발령대장_설정!$B$8="","",발령대장_설정!$B$8))</x:f>
        <x:v>#NAME?</x:v>
      </x:c>
      <x:c r="J347" s="27" t="e">
        <x:f>IF($A347="","",IF(대장!K173="","",대장!K173))</x:f>
        <x:v>#NAME?</x:v>
      </x:c>
    </x:row>
    <x:row r="348" ht="42" customHeight="1">
      <x:c r="A348" s="47" t="e">
        <x:f>IF(AND(대장!A173&lt;&gt;"",ISNUMBER(대장!F173),ISNUMBER(대장!G173),대장!G173&gt;=대장!F173,대장!H173&lt;&gt;""),대장!G173,"")</x:f>
        <x:v>#NAME?</x:v>
      </x:c>
      <x:c r="B348" s="27" t="e">
        <x:f>IF($A348="","",IF(발령대장_설정!$B$4="","",발령대장_설정!$B$4))</x:f>
        <x:v>#NAME?</x:v>
      </x:c>
      <x:c r="C348" s="27" t="e">
        <x:f>IF($A348="","",대장!D173)</x:f>
        <x:v>#NAME?</x:v>
      </x:c>
      <x:c r="D348" s="27" t="e">
        <x:f>IF($A348="","",대장!A173)</x:f>
        <x:v>#NAME?</x:v>
      </x:c>
      <x:c r="E348" s="27" t="e">
        <x:f>IF($A348="","",IF(OR(ISNUMBER(SEARCH("계약만료",대장!H173&amp;"")),ISNUMBER(SEARCH("기간만료",대장!H173&amp;""))),"계약기간 만료로 퇴직",IF(ISNUMBER(SEARCH("의원면직",대장!H173&amp;"")),"의원면직",IF(ISNUMBER(SEARCH("정년퇴직",대장!H173&amp;"")),"정년퇴직",대장!H173))))</x:f>
        <x:v>#NAME?</x:v>
      </x:c>
      <x:c r="F348" s="27" t="e">
        <x:f>IF($A348="","",IF(발령대장_설정!$B$5="","",발령대장_설정!$B$5))</x:f>
        <x:v>#NAME?</x:v>
      </x:c>
      <x:c r="G348" s="27" t="e">
        <x:f>IF($A348="","",IF(발령대장_설정!$B$6="","",발령대장_설정!$B$6))</x:f>
        <x:v>#NAME?</x:v>
      </x:c>
      <x:c r="H348" s="27" t="e">
        <x:f>IF($A348="","",IF(발령대장_설정!$B$7="","",발령대장_설정!$B$7))</x:f>
        <x:v>#NAME?</x:v>
      </x:c>
      <x:c r="I348" s="27" t="e">
        <x:f>IF($A348="","",IF(발령대장_설정!$B$8="","",발령대장_설정!$B$8))</x:f>
        <x:v>#NAME?</x:v>
      </x:c>
      <x:c r="J348" s="27" t="str">
        <x:f>""</x:f>
      </x:c>
    </x:row>
    <x:row r="349" ht="42" customHeight="1">
      <x:c r="A349" s="47" t="e">
        <x:f>IF(AND(대장!A174&lt;&gt;"",ISNUMBER(대장!F174),OR(대장!G174="",AND(ISNUMBER(대장!G174),대장!G174&gt;=대장!F174))),대장!F174,"")</x:f>
        <x:v>#NAME?</x:v>
      </x:c>
      <x:c r="B349" s="27" t="e">
        <x:f>IF($A349="","",IF(발령대장_설정!$B$4="","",발령대장_설정!$B$4))</x:f>
        <x:v>#NAME?</x:v>
      </x:c>
      <x:c r="C349" s="27" t="e">
        <x:f>IF($A349="","",대장!D174)</x:f>
        <x:v>#NAME?</x:v>
      </x:c>
      <x:c r="D349" s="27" t="e">
        <x:f>IF($A349="","",대장!A174)</x:f>
        <x:v>#NAME?</x:v>
      </x:c>
      <x:c r="E349" s="27" t="e">
        <x:f>IF($A349="","",IF(대장!J174&lt;&gt;"",대장!J174,대장!D174&amp;"에 임함"&amp;IF(대장!E174="","",CHAR(10)&amp;"고용형태: "&amp;대장!E174)&amp;IF(대장!I174="","",CHAR(10)&amp;"소정근로시간: "&amp;대장!I174)&amp;CHAR(10)&amp;"근로기간: "&amp;YEAR(대장!F174)&amp;"."&amp;MONTH(대장!F174)&amp;"."&amp;DAY(대장!F174)&amp;"."&amp;" ~ "&amp;IF(ISNUMBER(대장!G174),YEAR(대장!G174)&amp;"."&amp;MONTH(대장!G174)&amp;"."&amp;DAY(대장!G174)&amp;".","재직 중")))</x:f>
        <x:v>#NAME?</x:v>
      </x:c>
      <x:c r="F349" s="27" t="e">
        <x:f>IF($A349="","",IF(발령대장_설정!$B$5="","",발령대장_설정!$B$5))</x:f>
        <x:v>#NAME?</x:v>
      </x:c>
      <x:c r="G349" s="27" t="e">
        <x:f>IF($A349="","",IF(발령대장_설정!$B$6="","",발령대장_설정!$B$6))</x:f>
        <x:v>#NAME?</x:v>
      </x:c>
      <x:c r="H349" s="27" t="e">
        <x:f>IF($A349="","",IF(발령대장_설정!$B$7="","",발령대장_설정!$B$7))</x:f>
        <x:v>#NAME?</x:v>
      </x:c>
      <x:c r="I349" s="27" t="e">
        <x:f>IF($A349="","",IF(발령대장_설정!$B$8="","",발령대장_설정!$B$8))</x:f>
        <x:v>#NAME?</x:v>
      </x:c>
      <x:c r="J349" s="27" t="e">
        <x:f>IF($A349="","",IF(대장!K174="","",대장!K174))</x:f>
        <x:v>#NAME?</x:v>
      </x:c>
    </x:row>
    <x:row r="350" ht="42" customHeight="1">
      <x:c r="A350" s="47" t="e">
        <x:f>IF(AND(대장!A174&lt;&gt;"",ISNUMBER(대장!F174),ISNUMBER(대장!G174),대장!G174&gt;=대장!F174,대장!H174&lt;&gt;""),대장!G174,"")</x:f>
        <x:v>#NAME?</x:v>
      </x:c>
      <x:c r="B350" s="27" t="e">
        <x:f>IF($A350="","",IF(발령대장_설정!$B$4="","",발령대장_설정!$B$4))</x:f>
        <x:v>#NAME?</x:v>
      </x:c>
      <x:c r="C350" s="27" t="e">
        <x:f>IF($A350="","",대장!D174)</x:f>
        <x:v>#NAME?</x:v>
      </x:c>
      <x:c r="D350" s="27" t="e">
        <x:f>IF($A350="","",대장!A174)</x:f>
        <x:v>#NAME?</x:v>
      </x:c>
      <x:c r="E350" s="27" t="e">
        <x:f>IF($A350="","",IF(OR(ISNUMBER(SEARCH("계약만료",대장!H174&amp;"")),ISNUMBER(SEARCH("기간만료",대장!H174&amp;""))),"계약기간 만료로 퇴직",IF(ISNUMBER(SEARCH("의원면직",대장!H174&amp;"")),"의원면직",IF(ISNUMBER(SEARCH("정년퇴직",대장!H174&amp;"")),"정년퇴직",대장!H174))))</x:f>
        <x:v>#NAME?</x:v>
      </x:c>
      <x:c r="F350" s="27" t="e">
        <x:f>IF($A350="","",IF(발령대장_설정!$B$5="","",발령대장_설정!$B$5))</x:f>
        <x:v>#NAME?</x:v>
      </x:c>
      <x:c r="G350" s="27" t="e">
        <x:f>IF($A350="","",IF(발령대장_설정!$B$6="","",발령대장_설정!$B$6))</x:f>
        <x:v>#NAME?</x:v>
      </x:c>
      <x:c r="H350" s="27" t="e">
        <x:f>IF($A350="","",IF(발령대장_설정!$B$7="","",발령대장_설정!$B$7))</x:f>
        <x:v>#NAME?</x:v>
      </x:c>
      <x:c r="I350" s="27" t="e">
        <x:f>IF($A350="","",IF(발령대장_설정!$B$8="","",발령대장_설정!$B$8))</x:f>
        <x:v>#NAME?</x:v>
      </x:c>
      <x:c r="J350" s="27" t="str">
        <x:f>""</x:f>
      </x:c>
    </x:row>
    <x:row r="351" ht="42" customHeight="1">
      <x:c r="A351" s="47" t="e">
        <x:f>IF(AND(대장!A175&lt;&gt;"",ISNUMBER(대장!F175),OR(대장!G175="",AND(ISNUMBER(대장!G175),대장!G175&gt;=대장!F175))),대장!F175,"")</x:f>
        <x:v>#NAME?</x:v>
      </x:c>
      <x:c r="B351" s="27" t="e">
        <x:f>IF($A351="","",IF(발령대장_설정!$B$4="","",발령대장_설정!$B$4))</x:f>
        <x:v>#NAME?</x:v>
      </x:c>
      <x:c r="C351" s="27" t="e">
        <x:f>IF($A351="","",대장!D175)</x:f>
        <x:v>#NAME?</x:v>
      </x:c>
      <x:c r="D351" s="27" t="e">
        <x:f>IF($A351="","",대장!A175)</x:f>
        <x:v>#NAME?</x:v>
      </x:c>
      <x:c r="E351" s="27" t="e">
        <x:f>IF($A351="","",IF(대장!J175&lt;&gt;"",대장!J175,대장!D175&amp;"에 임함"&amp;IF(대장!E175="","",CHAR(10)&amp;"고용형태: "&amp;대장!E175)&amp;IF(대장!I175="","",CHAR(10)&amp;"소정근로시간: "&amp;대장!I175)&amp;CHAR(10)&amp;"근로기간: "&amp;YEAR(대장!F175)&amp;"."&amp;MONTH(대장!F175)&amp;"."&amp;DAY(대장!F175)&amp;"."&amp;" ~ "&amp;IF(ISNUMBER(대장!G175),YEAR(대장!G175)&amp;"."&amp;MONTH(대장!G175)&amp;"."&amp;DAY(대장!G175)&amp;".","재직 중")))</x:f>
        <x:v>#NAME?</x:v>
      </x:c>
      <x:c r="F351" s="27" t="e">
        <x:f>IF($A351="","",IF(발령대장_설정!$B$5="","",발령대장_설정!$B$5))</x:f>
        <x:v>#NAME?</x:v>
      </x:c>
      <x:c r="G351" s="27" t="e">
        <x:f>IF($A351="","",IF(발령대장_설정!$B$6="","",발령대장_설정!$B$6))</x:f>
        <x:v>#NAME?</x:v>
      </x:c>
      <x:c r="H351" s="27" t="e">
        <x:f>IF($A351="","",IF(발령대장_설정!$B$7="","",발령대장_설정!$B$7))</x:f>
        <x:v>#NAME?</x:v>
      </x:c>
      <x:c r="I351" s="27" t="e">
        <x:f>IF($A351="","",IF(발령대장_설정!$B$8="","",발령대장_설정!$B$8))</x:f>
        <x:v>#NAME?</x:v>
      </x:c>
      <x:c r="J351" s="27" t="e">
        <x:f>IF($A351="","",IF(대장!K175="","",대장!K175))</x:f>
        <x:v>#NAME?</x:v>
      </x:c>
    </x:row>
    <x:row r="352" ht="42" customHeight="1">
      <x:c r="A352" s="47" t="e">
        <x:f>IF(AND(대장!A175&lt;&gt;"",ISNUMBER(대장!F175),ISNUMBER(대장!G175),대장!G175&gt;=대장!F175,대장!H175&lt;&gt;""),대장!G175,"")</x:f>
        <x:v>#NAME?</x:v>
      </x:c>
      <x:c r="B352" s="27" t="e">
        <x:f>IF($A352="","",IF(발령대장_설정!$B$4="","",발령대장_설정!$B$4))</x:f>
        <x:v>#NAME?</x:v>
      </x:c>
      <x:c r="C352" s="27" t="e">
        <x:f>IF($A352="","",대장!D175)</x:f>
        <x:v>#NAME?</x:v>
      </x:c>
      <x:c r="D352" s="27" t="e">
        <x:f>IF($A352="","",대장!A175)</x:f>
        <x:v>#NAME?</x:v>
      </x:c>
      <x:c r="E352" s="27" t="e">
        <x:f>IF($A352="","",IF(OR(ISNUMBER(SEARCH("계약만료",대장!H175&amp;"")),ISNUMBER(SEARCH("기간만료",대장!H175&amp;""))),"계약기간 만료로 퇴직",IF(ISNUMBER(SEARCH("의원면직",대장!H175&amp;"")),"의원면직",IF(ISNUMBER(SEARCH("정년퇴직",대장!H175&amp;"")),"정년퇴직",대장!H175))))</x:f>
        <x:v>#NAME?</x:v>
      </x:c>
      <x:c r="F352" s="27" t="e">
        <x:f>IF($A352="","",IF(발령대장_설정!$B$5="","",발령대장_설정!$B$5))</x:f>
        <x:v>#NAME?</x:v>
      </x:c>
      <x:c r="G352" s="27" t="e">
        <x:f>IF($A352="","",IF(발령대장_설정!$B$6="","",발령대장_설정!$B$6))</x:f>
        <x:v>#NAME?</x:v>
      </x:c>
      <x:c r="H352" s="27" t="e">
        <x:f>IF($A352="","",IF(발령대장_설정!$B$7="","",발령대장_설정!$B$7))</x:f>
        <x:v>#NAME?</x:v>
      </x:c>
      <x:c r="I352" s="27" t="e">
        <x:f>IF($A352="","",IF(발령대장_설정!$B$8="","",발령대장_설정!$B$8))</x:f>
        <x:v>#NAME?</x:v>
      </x:c>
      <x:c r="J352" s="27" t="str">
        <x:f>""</x:f>
      </x:c>
    </x:row>
    <x:row r="353" ht="42" customHeight="1">
      <x:c r="A353" s="47" t="e">
        <x:f>IF(AND(대장!A176&lt;&gt;"",ISNUMBER(대장!F176),OR(대장!G176="",AND(ISNUMBER(대장!G176),대장!G176&gt;=대장!F176))),대장!F176,"")</x:f>
        <x:v>#NAME?</x:v>
      </x:c>
      <x:c r="B353" s="27" t="e">
        <x:f>IF($A353="","",IF(발령대장_설정!$B$4="","",발령대장_설정!$B$4))</x:f>
        <x:v>#NAME?</x:v>
      </x:c>
      <x:c r="C353" s="27" t="e">
        <x:f>IF($A353="","",대장!D176)</x:f>
        <x:v>#NAME?</x:v>
      </x:c>
      <x:c r="D353" s="27" t="e">
        <x:f>IF($A353="","",대장!A176)</x:f>
        <x:v>#NAME?</x:v>
      </x:c>
      <x:c r="E353" s="27" t="e">
        <x:f>IF($A353="","",IF(대장!J176&lt;&gt;"",대장!J176,대장!D176&amp;"에 임함"&amp;IF(대장!E176="","",CHAR(10)&amp;"고용형태: "&amp;대장!E176)&amp;IF(대장!I176="","",CHAR(10)&amp;"소정근로시간: "&amp;대장!I176)&amp;CHAR(10)&amp;"근로기간: "&amp;YEAR(대장!F176)&amp;"."&amp;MONTH(대장!F176)&amp;"."&amp;DAY(대장!F176)&amp;"."&amp;" ~ "&amp;IF(ISNUMBER(대장!G176),YEAR(대장!G176)&amp;"."&amp;MONTH(대장!G176)&amp;"."&amp;DAY(대장!G176)&amp;".","재직 중")))</x:f>
        <x:v>#NAME?</x:v>
      </x:c>
      <x:c r="F353" s="27" t="e">
        <x:f>IF($A353="","",IF(발령대장_설정!$B$5="","",발령대장_설정!$B$5))</x:f>
        <x:v>#NAME?</x:v>
      </x:c>
      <x:c r="G353" s="27" t="e">
        <x:f>IF($A353="","",IF(발령대장_설정!$B$6="","",발령대장_설정!$B$6))</x:f>
        <x:v>#NAME?</x:v>
      </x:c>
      <x:c r="H353" s="27" t="e">
        <x:f>IF($A353="","",IF(발령대장_설정!$B$7="","",발령대장_설정!$B$7))</x:f>
        <x:v>#NAME?</x:v>
      </x:c>
      <x:c r="I353" s="27" t="e">
        <x:f>IF($A353="","",IF(발령대장_설정!$B$8="","",발령대장_설정!$B$8))</x:f>
        <x:v>#NAME?</x:v>
      </x:c>
      <x:c r="J353" s="27" t="e">
        <x:f>IF($A353="","",IF(대장!K176="","",대장!K176))</x:f>
        <x:v>#NAME?</x:v>
      </x:c>
    </x:row>
    <x:row r="354" ht="42" customHeight="1">
      <x:c r="A354" s="47" t="e">
        <x:f>IF(AND(대장!A176&lt;&gt;"",ISNUMBER(대장!F176),ISNUMBER(대장!G176),대장!G176&gt;=대장!F176,대장!H176&lt;&gt;""),대장!G176,"")</x:f>
        <x:v>#NAME?</x:v>
      </x:c>
      <x:c r="B354" s="27" t="e">
        <x:f>IF($A354="","",IF(발령대장_설정!$B$4="","",발령대장_설정!$B$4))</x:f>
        <x:v>#NAME?</x:v>
      </x:c>
      <x:c r="C354" s="27" t="e">
        <x:f>IF($A354="","",대장!D176)</x:f>
        <x:v>#NAME?</x:v>
      </x:c>
      <x:c r="D354" s="27" t="e">
        <x:f>IF($A354="","",대장!A176)</x:f>
        <x:v>#NAME?</x:v>
      </x:c>
      <x:c r="E354" s="27" t="e">
        <x:f>IF($A354="","",IF(OR(ISNUMBER(SEARCH("계약만료",대장!H176&amp;"")),ISNUMBER(SEARCH("기간만료",대장!H176&amp;""))),"계약기간 만료로 퇴직",IF(ISNUMBER(SEARCH("의원면직",대장!H176&amp;"")),"의원면직",IF(ISNUMBER(SEARCH("정년퇴직",대장!H176&amp;"")),"정년퇴직",대장!H176))))</x:f>
        <x:v>#NAME?</x:v>
      </x:c>
      <x:c r="F354" s="27" t="e">
        <x:f>IF($A354="","",IF(발령대장_설정!$B$5="","",발령대장_설정!$B$5))</x:f>
        <x:v>#NAME?</x:v>
      </x:c>
      <x:c r="G354" s="27" t="e">
        <x:f>IF($A354="","",IF(발령대장_설정!$B$6="","",발령대장_설정!$B$6))</x:f>
        <x:v>#NAME?</x:v>
      </x:c>
      <x:c r="H354" s="27" t="e">
        <x:f>IF($A354="","",IF(발령대장_설정!$B$7="","",발령대장_설정!$B$7))</x:f>
        <x:v>#NAME?</x:v>
      </x:c>
      <x:c r="I354" s="27" t="e">
        <x:f>IF($A354="","",IF(발령대장_설정!$B$8="","",발령대장_설정!$B$8))</x:f>
        <x:v>#NAME?</x:v>
      </x:c>
      <x:c r="J354" s="27" t="str">
        <x:f>""</x:f>
      </x:c>
    </x:row>
    <x:row r="355" ht="42" customHeight="1">
      <x:c r="A355" s="47" t="e">
        <x:f>IF(AND(대장!A177&lt;&gt;"",ISNUMBER(대장!F177),OR(대장!G177="",AND(ISNUMBER(대장!G177),대장!G177&gt;=대장!F177))),대장!F177,"")</x:f>
        <x:v>#NAME?</x:v>
      </x:c>
      <x:c r="B355" s="27" t="e">
        <x:f>IF($A355="","",IF(발령대장_설정!$B$4="","",발령대장_설정!$B$4))</x:f>
        <x:v>#NAME?</x:v>
      </x:c>
      <x:c r="C355" s="27" t="e">
        <x:f>IF($A355="","",대장!D177)</x:f>
        <x:v>#NAME?</x:v>
      </x:c>
      <x:c r="D355" s="27" t="e">
        <x:f>IF($A355="","",대장!A177)</x:f>
        <x:v>#NAME?</x:v>
      </x:c>
      <x:c r="E355" s="27" t="e">
        <x:f>IF($A355="","",IF(대장!J177&lt;&gt;"",대장!J177,대장!D177&amp;"에 임함"&amp;IF(대장!E177="","",CHAR(10)&amp;"고용형태: "&amp;대장!E177)&amp;IF(대장!I177="","",CHAR(10)&amp;"소정근로시간: "&amp;대장!I177)&amp;CHAR(10)&amp;"근로기간: "&amp;YEAR(대장!F177)&amp;"."&amp;MONTH(대장!F177)&amp;"."&amp;DAY(대장!F177)&amp;"."&amp;" ~ "&amp;IF(ISNUMBER(대장!G177),YEAR(대장!G177)&amp;"."&amp;MONTH(대장!G177)&amp;"."&amp;DAY(대장!G177)&amp;".","재직 중")))</x:f>
        <x:v>#NAME?</x:v>
      </x:c>
      <x:c r="F355" s="27" t="e">
        <x:f>IF($A355="","",IF(발령대장_설정!$B$5="","",발령대장_설정!$B$5))</x:f>
        <x:v>#NAME?</x:v>
      </x:c>
      <x:c r="G355" s="27" t="e">
        <x:f>IF($A355="","",IF(발령대장_설정!$B$6="","",발령대장_설정!$B$6))</x:f>
        <x:v>#NAME?</x:v>
      </x:c>
      <x:c r="H355" s="27" t="e">
        <x:f>IF($A355="","",IF(발령대장_설정!$B$7="","",발령대장_설정!$B$7))</x:f>
        <x:v>#NAME?</x:v>
      </x:c>
      <x:c r="I355" s="27" t="e">
        <x:f>IF($A355="","",IF(발령대장_설정!$B$8="","",발령대장_설정!$B$8))</x:f>
        <x:v>#NAME?</x:v>
      </x:c>
      <x:c r="J355" s="27" t="e">
        <x:f>IF($A355="","",IF(대장!K177="","",대장!K177))</x:f>
        <x:v>#NAME?</x:v>
      </x:c>
    </x:row>
    <x:row r="356" ht="42" customHeight="1">
      <x:c r="A356" s="47" t="e">
        <x:f>IF(AND(대장!A177&lt;&gt;"",ISNUMBER(대장!F177),ISNUMBER(대장!G177),대장!G177&gt;=대장!F177,대장!H177&lt;&gt;""),대장!G177,"")</x:f>
        <x:v>#NAME?</x:v>
      </x:c>
      <x:c r="B356" s="27" t="e">
        <x:f>IF($A356="","",IF(발령대장_설정!$B$4="","",발령대장_설정!$B$4))</x:f>
        <x:v>#NAME?</x:v>
      </x:c>
      <x:c r="C356" s="27" t="e">
        <x:f>IF($A356="","",대장!D177)</x:f>
        <x:v>#NAME?</x:v>
      </x:c>
      <x:c r="D356" s="27" t="e">
        <x:f>IF($A356="","",대장!A177)</x:f>
        <x:v>#NAME?</x:v>
      </x:c>
      <x:c r="E356" s="27" t="e">
        <x:f>IF($A356="","",IF(OR(ISNUMBER(SEARCH("계약만료",대장!H177&amp;"")),ISNUMBER(SEARCH("기간만료",대장!H177&amp;""))),"계약기간 만료로 퇴직",IF(ISNUMBER(SEARCH("의원면직",대장!H177&amp;"")),"의원면직",IF(ISNUMBER(SEARCH("정년퇴직",대장!H177&amp;"")),"정년퇴직",대장!H177))))</x:f>
        <x:v>#NAME?</x:v>
      </x:c>
      <x:c r="F356" s="27" t="e">
        <x:f>IF($A356="","",IF(발령대장_설정!$B$5="","",발령대장_설정!$B$5))</x:f>
        <x:v>#NAME?</x:v>
      </x:c>
      <x:c r="G356" s="27" t="e">
        <x:f>IF($A356="","",IF(발령대장_설정!$B$6="","",발령대장_설정!$B$6))</x:f>
        <x:v>#NAME?</x:v>
      </x:c>
      <x:c r="H356" s="27" t="e">
        <x:f>IF($A356="","",IF(발령대장_설정!$B$7="","",발령대장_설정!$B$7))</x:f>
        <x:v>#NAME?</x:v>
      </x:c>
      <x:c r="I356" s="27" t="e">
        <x:f>IF($A356="","",IF(발령대장_설정!$B$8="","",발령대장_설정!$B$8))</x:f>
        <x:v>#NAME?</x:v>
      </x:c>
      <x:c r="J356" s="27" t="str">
        <x:f>""</x:f>
      </x:c>
    </x:row>
    <x:row r="357" ht="42" customHeight="1">
      <x:c r="A357" s="47" t="e">
        <x:f>IF(AND(대장!A178&lt;&gt;"",ISNUMBER(대장!F178),OR(대장!G178="",AND(ISNUMBER(대장!G178),대장!G178&gt;=대장!F178))),대장!F178,"")</x:f>
        <x:v>#NAME?</x:v>
      </x:c>
      <x:c r="B357" s="27" t="e">
        <x:f>IF($A357="","",IF(발령대장_설정!$B$4="","",발령대장_설정!$B$4))</x:f>
        <x:v>#NAME?</x:v>
      </x:c>
      <x:c r="C357" s="27" t="e">
        <x:f>IF($A357="","",대장!D178)</x:f>
        <x:v>#NAME?</x:v>
      </x:c>
      <x:c r="D357" s="27" t="e">
        <x:f>IF($A357="","",대장!A178)</x:f>
        <x:v>#NAME?</x:v>
      </x:c>
      <x:c r="E357" s="27" t="e">
        <x:f>IF($A357="","",IF(대장!J178&lt;&gt;"",대장!J178,대장!D178&amp;"에 임함"&amp;IF(대장!E178="","",CHAR(10)&amp;"고용형태: "&amp;대장!E178)&amp;IF(대장!I178="","",CHAR(10)&amp;"소정근로시간: "&amp;대장!I178)&amp;CHAR(10)&amp;"근로기간: "&amp;YEAR(대장!F178)&amp;"."&amp;MONTH(대장!F178)&amp;"."&amp;DAY(대장!F178)&amp;"."&amp;" ~ "&amp;IF(ISNUMBER(대장!G178),YEAR(대장!G178)&amp;"."&amp;MONTH(대장!G178)&amp;"."&amp;DAY(대장!G178)&amp;".","재직 중")))</x:f>
        <x:v>#NAME?</x:v>
      </x:c>
      <x:c r="F357" s="27" t="e">
        <x:f>IF($A357="","",IF(발령대장_설정!$B$5="","",발령대장_설정!$B$5))</x:f>
        <x:v>#NAME?</x:v>
      </x:c>
      <x:c r="G357" s="27" t="e">
        <x:f>IF($A357="","",IF(발령대장_설정!$B$6="","",발령대장_설정!$B$6))</x:f>
        <x:v>#NAME?</x:v>
      </x:c>
      <x:c r="H357" s="27" t="e">
        <x:f>IF($A357="","",IF(발령대장_설정!$B$7="","",발령대장_설정!$B$7))</x:f>
        <x:v>#NAME?</x:v>
      </x:c>
      <x:c r="I357" s="27" t="e">
        <x:f>IF($A357="","",IF(발령대장_설정!$B$8="","",발령대장_설정!$B$8))</x:f>
        <x:v>#NAME?</x:v>
      </x:c>
      <x:c r="J357" s="27" t="e">
        <x:f>IF($A357="","",IF(대장!K178="","",대장!K178))</x:f>
        <x:v>#NAME?</x:v>
      </x:c>
    </x:row>
    <x:row r="358" ht="42" customHeight="1">
      <x:c r="A358" s="47" t="e">
        <x:f>IF(AND(대장!A178&lt;&gt;"",ISNUMBER(대장!F178),ISNUMBER(대장!G178),대장!G178&gt;=대장!F178,대장!H178&lt;&gt;""),대장!G178,"")</x:f>
        <x:v>#NAME?</x:v>
      </x:c>
      <x:c r="B358" s="27" t="e">
        <x:f>IF($A358="","",IF(발령대장_설정!$B$4="","",발령대장_설정!$B$4))</x:f>
        <x:v>#NAME?</x:v>
      </x:c>
      <x:c r="C358" s="27" t="e">
        <x:f>IF($A358="","",대장!D178)</x:f>
        <x:v>#NAME?</x:v>
      </x:c>
      <x:c r="D358" s="27" t="e">
        <x:f>IF($A358="","",대장!A178)</x:f>
        <x:v>#NAME?</x:v>
      </x:c>
      <x:c r="E358" s="27" t="e">
        <x:f>IF($A358="","",IF(OR(ISNUMBER(SEARCH("계약만료",대장!H178&amp;"")),ISNUMBER(SEARCH("기간만료",대장!H178&amp;""))),"계약기간 만료로 퇴직",IF(ISNUMBER(SEARCH("의원면직",대장!H178&amp;"")),"의원면직",IF(ISNUMBER(SEARCH("정년퇴직",대장!H178&amp;"")),"정년퇴직",대장!H178))))</x:f>
        <x:v>#NAME?</x:v>
      </x:c>
      <x:c r="F358" s="27" t="e">
        <x:f>IF($A358="","",IF(발령대장_설정!$B$5="","",발령대장_설정!$B$5))</x:f>
        <x:v>#NAME?</x:v>
      </x:c>
      <x:c r="G358" s="27" t="e">
        <x:f>IF($A358="","",IF(발령대장_설정!$B$6="","",발령대장_설정!$B$6))</x:f>
        <x:v>#NAME?</x:v>
      </x:c>
      <x:c r="H358" s="27" t="e">
        <x:f>IF($A358="","",IF(발령대장_설정!$B$7="","",발령대장_설정!$B$7))</x:f>
        <x:v>#NAME?</x:v>
      </x:c>
      <x:c r="I358" s="27" t="e">
        <x:f>IF($A358="","",IF(발령대장_설정!$B$8="","",발령대장_설정!$B$8))</x:f>
        <x:v>#NAME?</x:v>
      </x:c>
      <x:c r="J358" s="27" t="str">
        <x:f>""</x:f>
      </x:c>
    </x:row>
    <x:row r="359" ht="42" customHeight="1">
      <x:c r="A359" s="47" t="e">
        <x:f>IF(AND(대장!A179&lt;&gt;"",ISNUMBER(대장!F179),OR(대장!G179="",AND(ISNUMBER(대장!G179),대장!G179&gt;=대장!F179))),대장!F179,"")</x:f>
        <x:v>#NAME?</x:v>
      </x:c>
      <x:c r="B359" s="27" t="e">
        <x:f>IF($A359="","",IF(발령대장_설정!$B$4="","",발령대장_설정!$B$4))</x:f>
        <x:v>#NAME?</x:v>
      </x:c>
      <x:c r="C359" s="27" t="e">
        <x:f>IF($A359="","",대장!D179)</x:f>
        <x:v>#NAME?</x:v>
      </x:c>
      <x:c r="D359" s="27" t="e">
        <x:f>IF($A359="","",대장!A179)</x:f>
        <x:v>#NAME?</x:v>
      </x:c>
      <x:c r="E359" s="27" t="e">
        <x:f>IF($A359="","",IF(대장!J179&lt;&gt;"",대장!J179,대장!D179&amp;"에 임함"&amp;IF(대장!E179="","",CHAR(10)&amp;"고용형태: "&amp;대장!E179)&amp;IF(대장!I179="","",CHAR(10)&amp;"소정근로시간: "&amp;대장!I179)&amp;CHAR(10)&amp;"근로기간: "&amp;YEAR(대장!F179)&amp;"."&amp;MONTH(대장!F179)&amp;"."&amp;DAY(대장!F179)&amp;"."&amp;" ~ "&amp;IF(ISNUMBER(대장!G179),YEAR(대장!G179)&amp;"."&amp;MONTH(대장!G179)&amp;"."&amp;DAY(대장!G179)&amp;".","재직 중")))</x:f>
        <x:v>#NAME?</x:v>
      </x:c>
      <x:c r="F359" s="27" t="e">
        <x:f>IF($A359="","",IF(발령대장_설정!$B$5="","",발령대장_설정!$B$5))</x:f>
        <x:v>#NAME?</x:v>
      </x:c>
      <x:c r="G359" s="27" t="e">
        <x:f>IF($A359="","",IF(발령대장_설정!$B$6="","",발령대장_설정!$B$6))</x:f>
        <x:v>#NAME?</x:v>
      </x:c>
      <x:c r="H359" s="27" t="e">
        <x:f>IF($A359="","",IF(발령대장_설정!$B$7="","",발령대장_설정!$B$7))</x:f>
        <x:v>#NAME?</x:v>
      </x:c>
      <x:c r="I359" s="27" t="e">
        <x:f>IF($A359="","",IF(발령대장_설정!$B$8="","",발령대장_설정!$B$8))</x:f>
        <x:v>#NAME?</x:v>
      </x:c>
      <x:c r="J359" s="27" t="e">
        <x:f>IF($A359="","",IF(대장!K179="","",대장!K179))</x:f>
        <x:v>#NAME?</x:v>
      </x:c>
    </x:row>
    <x:row r="360" ht="42" customHeight="1">
      <x:c r="A360" s="47" t="e">
        <x:f>IF(AND(대장!A179&lt;&gt;"",ISNUMBER(대장!F179),ISNUMBER(대장!G179),대장!G179&gt;=대장!F179,대장!H179&lt;&gt;""),대장!G179,"")</x:f>
        <x:v>#NAME?</x:v>
      </x:c>
      <x:c r="B360" s="27" t="e">
        <x:f>IF($A360="","",IF(발령대장_설정!$B$4="","",발령대장_설정!$B$4))</x:f>
        <x:v>#NAME?</x:v>
      </x:c>
      <x:c r="C360" s="27" t="e">
        <x:f>IF($A360="","",대장!D179)</x:f>
        <x:v>#NAME?</x:v>
      </x:c>
      <x:c r="D360" s="27" t="e">
        <x:f>IF($A360="","",대장!A179)</x:f>
        <x:v>#NAME?</x:v>
      </x:c>
      <x:c r="E360" s="27" t="e">
        <x:f>IF($A360="","",IF(OR(ISNUMBER(SEARCH("계약만료",대장!H179&amp;"")),ISNUMBER(SEARCH("기간만료",대장!H179&amp;""))),"계약기간 만료로 퇴직",IF(ISNUMBER(SEARCH("의원면직",대장!H179&amp;"")),"의원면직",IF(ISNUMBER(SEARCH("정년퇴직",대장!H179&amp;"")),"정년퇴직",대장!H179))))</x:f>
        <x:v>#NAME?</x:v>
      </x:c>
      <x:c r="F360" s="27" t="e">
        <x:f>IF($A360="","",IF(발령대장_설정!$B$5="","",발령대장_설정!$B$5))</x:f>
        <x:v>#NAME?</x:v>
      </x:c>
      <x:c r="G360" s="27" t="e">
        <x:f>IF($A360="","",IF(발령대장_설정!$B$6="","",발령대장_설정!$B$6))</x:f>
        <x:v>#NAME?</x:v>
      </x:c>
      <x:c r="H360" s="27" t="e">
        <x:f>IF($A360="","",IF(발령대장_설정!$B$7="","",발령대장_설정!$B$7))</x:f>
        <x:v>#NAME?</x:v>
      </x:c>
      <x:c r="I360" s="27" t="e">
        <x:f>IF($A360="","",IF(발령대장_설정!$B$8="","",발령대장_설정!$B$8))</x:f>
        <x:v>#NAME?</x:v>
      </x:c>
      <x:c r="J360" s="27" t="str">
        <x:f>""</x:f>
      </x:c>
    </x:row>
    <x:row r="361" ht="42" customHeight="1">
      <x:c r="A361" s="47" t="e">
        <x:f>IF(AND(대장!A180&lt;&gt;"",ISNUMBER(대장!F180),OR(대장!G180="",AND(ISNUMBER(대장!G180),대장!G180&gt;=대장!F180))),대장!F180,"")</x:f>
        <x:v>#NAME?</x:v>
      </x:c>
      <x:c r="B361" s="27" t="e">
        <x:f>IF($A361="","",IF(발령대장_설정!$B$4="","",발령대장_설정!$B$4))</x:f>
        <x:v>#NAME?</x:v>
      </x:c>
      <x:c r="C361" s="27" t="e">
        <x:f>IF($A361="","",대장!D180)</x:f>
        <x:v>#NAME?</x:v>
      </x:c>
      <x:c r="D361" s="27" t="e">
        <x:f>IF($A361="","",대장!A180)</x:f>
        <x:v>#NAME?</x:v>
      </x:c>
      <x:c r="E361" s="27" t="e">
        <x:f>IF($A361="","",IF(대장!J180&lt;&gt;"",대장!J180,대장!D180&amp;"에 임함"&amp;IF(대장!E180="","",CHAR(10)&amp;"고용형태: "&amp;대장!E180)&amp;IF(대장!I180="","",CHAR(10)&amp;"소정근로시간: "&amp;대장!I180)&amp;CHAR(10)&amp;"근로기간: "&amp;YEAR(대장!F180)&amp;"."&amp;MONTH(대장!F180)&amp;"."&amp;DAY(대장!F180)&amp;"."&amp;" ~ "&amp;IF(ISNUMBER(대장!G180),YEAR(대장!G180)&amp;"."&amp;MONTH(대장!G180)&amp;"."&amp;DAY(대장!G180)&amp;".","재직 중")))</x:f>
        <x:v>#NAME?</x:v>
      </x:c>
      <x:c r="F361" s="27" t="e">
        <x:f>IF($A361="","",IF(발령대장_설정!$B$5="","",발령대장_설정!$B$5))</x:f>
        <x:v>#NAME?</x:v>
      </x:c>
      <x:c r="G361" s="27" t="e">
        <x:f>IF($A361="","",IF(발령대장_설정!$B$6="","",발령대장_설정!$B$6))</x:f>
        <x:v>#NAME?</x:v>
      </x:c>
      <x:c r="H361" s="27" t="e">
        <x:f>IF($A361="","",IF(발령대장_설정!$B$7="","",발령대장_설정!$B$7))</x:f>
        <x:v>#NAME?</x:v>
      </x:c>
      <x:c r="I361" s="27" t="e">
        <x:f>IF($A361="","",IF(발령대장_설정!$B$8="","",발령대장_설정!$B$8))</x:f>
        <x:v>#NAME?</x:v>
      </x:c>
      <x:c r="J361" s="27" t="e">
        <x:f>IF($A361="","",IF(대장!K180="","",대장!K180))</x:f>
        <x:v>#NAME?</x:v>
      </x:c>
    </x:row>
    <x:row r="362" ht="42" customHeight="1">
      <x:c r="A362" s="47" t="e">
        <x:f>IF(AND(대장!A180&lt;&gt;"",ISNUMBER(대장!F180),ISNUMBER(대장!G180),대장!G180&gt;=대장!F180,대장!H180&lt;&gt;""),대장!G180,"")</x:f>
        <x:v>#NAME?</x:v>
      </x:c>
      <x:c r="B362" s="27" t="e">
        <x:f>IF($A362="","",IF(발령대장_설정!$B$4="","",발령대장_설정!$B$4))</x:f>
        <x:v>#NAME?</x:v>
      </x:c>
      <x:c r="C362" s="27" t="e">
        <x:f>IF($A362="","",대장!D180)</x:f>
        <x:v>#NAME?</x:v>
      </x:c>
      <x:c r="D362" s="27" t="e">
        <x:f>IF($A362="","",대장!A180)</x:f>
        <x:v>#NAME?</x:v>
      </x:c>
      <x:c r="E362" s="27" t="e">
        <x:f>IF($A362="","",IF(OR(ISNUMBER(SEARCH("계약만료",대장!H180&amp;"")),ISNUMBER(SEARCH("기간만료",대장!H180&amp;""))),"계약기간 만료로 퇴직",IF(ISNUMBER(SEARCH("의원면직",대장!H180&amp;"")),"의원면직",IF(ISNUMBER(SEARCH("정년퇴직",대장!H180&amp;"")),"정년퇴직",대장!H180))))</x:f>
        <x:v>#NAME?</x:v>
      </x:c>
      <x:c r="F362" s="27" t="e">
        <x:f>IF($A362="","",IF(발령대장_설정!$B$5="","",발령대장_설정!$B$5))</x:f>
        <x:v>#NAME?</x:v>
      </x:c>
      <x:c r="G362" s="27" t="e">
        <x:f>IF($A362="","",IF(발령대장_설정!$B$6="","",발령대장_설정!$B$6))</x:f>
        <x:v>#NAME?</x:v>
      </x:c>
      <x:c r="H362" s="27" t="e">
        <x:f>IF($A362="","",IF(발령대장_설정!$B$7="","",발령대장_설정!$B$7))</x:f>
        <x:v>#NAME?</x:v>
      </x:c>
      <x:c r="I362" s="27" t="e">
        <x:f>IF($A362="","",IF(발령대장_설정!$B$8="","",발령대장_설정!$B$8))</x:f>
        <x:v>#NAME?</x:v>
      </x:c>
      <x:c r="J362" s="27" t="str">
        <x:f>""</x:f>
      </x:c>
    </x:row>
    <x:row r="363" ht="42" customHeight="1">
      <x:c r="A363" s="47" t="e">
        <x:f>IF(AND(대장!A181&lt;&gt;"",ISNUMBER(대장!F181),OR(대장!G181="",AND(ISNUMBER(대장!G181),대장!G181&gt;=대장!F181))),대장!F181,"")</x:f>
        <x:v>#NAME?</x:v>
      </x:c>
      <x:c r="B363" s="27" t="e">
        <x:f>IF($A363="","",IF(발령대장_설정!$B$4="","",발령대장_설정!$B$4))</x:f>
        <x:v>#NAME?</x:v>
      </x:c>
      <x:c r="C363" s="27" t="e">
        <x:f>IF($A363="","",대장!D181)</x:f>
        <x:v>#NAME?</x:v>
      </x:c>
      <x:c r="D363" s="27" t="e">
        <x:f>IF($A363="","",대장!A181)</x:f>
        <x:v>#NAME?</x:v>
      </x:c>
      <x:c r="E363" s="27" t="e">
        <x:f>IF($A363="","",IF(대장!J181&lt;&gt;"",대장!J181,대장!D181&amp;"에 임함"&amp;IF(대장!E181="","",CHAR(10)&amp;"고용형태: "&amp;대장!E181)&amp;IF(대장!I181="","",CHAR(10)&amp;"소정근로시간: "&amp;대장!I181)&amp;CHAR(10)&amp;"근로기간: "&amp;YEAR(대장!F181)&amp;"."&amp;MONTH(대장!F181)&amp;"."&amp;DAY(대장!F181)&amp;"."&amp;" ~ "&amp;IF(ISNUMBER(대장!G181),YEAR(대장!G181)&amp;"."&amp;MONTH(대장!G181)&amp;"."&amp;DAY(대장!G181)&amp;".","재직 중")))</x:f>
        <x:v>#NAME?</x:v>
      </x:c>
      <x:c r="F363" s="27" t="e">
        <x:f>IF($A363="","",IF(발령대장_설정!$B$5="","",발령대장_설정!$B$5))</x:f>
        <x:v>#NAME?</x:v>
      </x:c>
      <x:c r="G363" s="27" t="e">
        <x:f>IF($A363="","",IF(발령대장_설정!$B$6="","",발령대장_설정!$B$6))</x:f>
        <x:v>#NAME?</x:v>
      </x:c>
      <x:c r="H363" s="27" t="e">
        <x:f>IF($A363="","",IF(발령대장_설정!$B$7="","",발령대장_설정!$B$7))</x:f>
        <x:v>#NAME?</x:v>
      </x:c>
      <x:c r="I363" s="27" t="e">
        <x:f>IF($A363="","",IF(발령대장_설정!$B$8="","",발령대장_설정!$B$8))</x:f>
        <x:v>#NAME?</x:v>
      </x:c>
      <x:c r="J363" s="27" t="e">
        <x:f>IF($A363="","",IF(대장!K181="","",대장!K181))</x:f>
        <x:v>#NAME?</x:v>
      </x:c>
    </x:row>
    <x:row r="364" ht="42" customHeight="1">
      <x:c r="A364" s="47" t="e">
        <x:f>IF(AND(대장!A181&lt;&gt;"",ISNUMBER(대장!F181),ISNUMBER(대장!G181),대장!G181&gt;=대장!F181,대장!H181&lt;&gt;""),대장!G181,"")</x:f>
        <x:v>#NAME?</x:v>
      </x:c>
      <x:c r="B364" s="27" t="e">
        <x:f>IF($A364="","",IF(발령대장_설정!$B$4="","",발령대장_설정!$B$4))</x:f>
        <x:v>#NAME?</x:v>
      </x:c>
      <x:c r="C364" s="27" t="e">
        <x:f>IF($A364="","",대장!D181)</x:f>
        <x:v>#NAME?</x:v>
      </x:c>
      <x:c r="D364" s="27" t="e">
        <x:f>IF($A364="","",대장!A181)</x:f>
        <x:v>#NAME?</x:v>
      </x:c>
      <x:c r="E364" s="27" t="e">
        <x:f>IF($A364="","",IF(OR(ISNUMBER(SEARCH("계약만료",대장!H181&amp;"")),ISNUMBER(SEARCH("기간만료",대장!H181&amp;""))),"계약기간 만료로 퇴직",IF(ISNUMBER(SEARCH("의원면직",대장!H181&amp;"")),"의원면직",IF(ISNUMBER(SEARCH("정년퇴직",대장!H181&amp;"")),"정년퇴직",대장!H181))))</x:f>
        <x:v>#NAME?</x:v>
      </x:c>
      <x:c r="F364" s="27" t="e">
        <x:f>IF($A364="","",IF(발령대장_설정!$B$5="","",발령대장_설정!$B$5))</x:f>
        <x:v>#NAME?</x:v>
      </x:c>
      <x:c r="G364" s="27" t="e">
        <x:f>IF($A364="","",IF(발령대장_설정!$B$6="","",발령대장_설정!$B$6))</x:f>
        <x:v>#NAME?</x:v>
      </x:c>
      <x:c r="H364" s="27" t="e">
        <x:f>IF($A364="","",IF(발령대장_설정!$B$7="","",발령대장_설정!$B$7))</x:f>
        <x:v>#NAME?</x:v>
      </x:c>
      <x:c r="I364" s="27" t="e">
        <x:f>IF($A364="","",IF(발령대장_설정!$B$8="","",발령대장_설정!$B$8))</x:f>
        <x:v>#NAME?</x:v>
      </x:c>
      <x:c r="J364" s="27" t="str">
        <x:f>""</x:f>
      </x:c>
    </x:row>
    <x:row r="365" ht="42" customHeight="1">
      <x:c r="A365" s="47" t="e">
        <x:f>IF(AND(대장!A182&lt;&gt;"",ISNUMBER(대장!F182),OR(대장!G182="",AND(ISNUMBER(대장!G182),대장!G182&gt;=대장!F182))),대장!F182,"")</x:f>
        <x:v>#NAME?</x:v>
      </x:c>
      <x:c r="B365" s="27" t="e">
        <x:f>IF($A365="","",IF(발령대장_설정!$B$4="","",발령대장_설정!$B$4))</x:f>
        <x:v>#NAME?</x:v>
      </x:c>
      <x:c r="C365" s="27" t="e">
        <x:f>IF($A365="","",대장!D182)</x:f>
        <x:v>#NAME?</x:v>
      </x:c>
      <x:c r="D365" s="27" t="e">
        <x:f>IF($A365="","",대장!A182)</x:f>
        <x:v>#NAME?</x:v>
      </x:c>
      <x:c r="E365" s="27" t="e">
        <x:f>IF($A365="","",IF(대장!J182&lt;&gt;"",대장!J182,대장!D182&amp;"에 임함"&amp;IF(대장!E182="","",CHAR(10)&amp;"고용형태: "&amp;대장!E182)&amp;IF(대장!I182="","",CHAR(10)&amp;"소정근로시간: "&amp;대장!I182)&amp;CHAR(10)&amp;"근로기간: "&amp;YEAR(대장!F182)&amp;"."&amp;MONTH(대장!F182)&amp;"."&amp;DAY(대장!F182)&amp;"."&amp;" ~ "&amp;IF(ISNUMBER(대장!G182),YEAR(대장!G182)&amp;"."&amp;MONTH(대장!G182)&amp;"."&amp;DAY(대장!G182)&amp;".","재직 중")))</x:f>
        <x:v>#NAME?</x:v>
      </x:c>
      <x:c r="F365" s="27" t="e">
        <x:f>IF($A365="","",IF(발령대장_설정!$B$5="","",발령대장_설정!$B$5))</x:f>
        <x:v>#NAME?</x:v>
      </x:c>
      <x:c r="G365" s="27" t="e">
        <x:f>IF($A365="","",IF(발령대장_설정!$B$6="","",발령대장_설정!$B$6))</x:f>
        <x:v>#NAME?</x:v>
      </x:c>
      <x:c r="H365" s="27" t="e">
        <x:f>IF($A365="","",IF(발령대장_설정!$B$7="","",발령대장_설정!$B$7))</x:f>
        <x:v>#NAME?</x:v>
      </x:c>
      <x:c r="I365" s="27" t="e">
        <x:f>IF($A365="","",IF(발령대장_설정!$B$8="","",발령대장_설정!$B$8))</x:f>
        <x:v>#NAME?</x:v>
      </x:c>
      <x:c r="J365" s="27" t="e">
        <x:f>IF($A365="","",IF(대장!K182="","",대장!K182))</x:f>
        <x:v>#NAME?</x:v>
      </x:c>
    </x:row>
    <x:row r="366" ht="42" customHeight="1">
      <x:c r="A366" s="47" t="e">
        <x:f>IF(AND(대장!A182&lt;&gt;"",ISNUMBER(대장!F182),ISNUMBER(대장!G182),대장!G182&gt;=대장!F182,대장!H182&lt;&gt;""),대장!G182,"")</x:f>
        <x:v>#NAME?</x:v>
      </x:c>
      <x:c r="B366" s="27" t="e">
        <x:f>IF($A366="","",IF(발령대장_설정!$B$4="","",발령대장_설정!$B$4))</x:f>
        <x:v>#NAME?</x:v>
      </x:c>
      <x:c r="C366" s="27" t="e">
        <x:f>IF($A366="","",대장!D182)</x:f>
        <x:v>#NAME?</x:v>
      </x:c>
      <x:c r="D366" s="27" t="e">
        <x:f>IF($A366="","",대장!A182)</x:f>
        <x:v>#NAME?</x:v>
      </x:c>
      <x:c r="E366" s="27" t="e">
        <x:f>IF($A366="","",IF(OR(ISNUMBER(SEARCH("계약만료",대장!H182&amp;"")),ISNUMBER(SEARCH("기간만료",대장!H182&amp;""))),"계약기간 만료로 퇴직",IF(ISNUMBER(SEARCH("의원면직",대장!H182&amp;"")),"의원면직",IF(ISNUMBER(SEARCH("정년퇴직",대장!H182&amp;"")),"정년퇴직",대장!H182))))</x:f>
        <x:v>#NAME?</x:v>
      </x:c>
      <x:c r="F366" s="27" t="e">
        <x:f>IF($A366="","",IF(발령대장_설정!$B$5="","",발령대장_설정!$B$5))</x:f>
        <x:v>#NAME?</x:v>
      </x:c>
      <x:c r="G366" s="27" t="e">
        <x:f>IF($A366="","",IF(발령대장_설정!$B$6="","",발령대장_설정!$B$6))</x:f>
        <x:v>#NAME?</x:v>
      </x:c>
      <x:c r="H366" s="27" t="e">
        <x:f>IF($A366="","",IF(발령대장_설정!$B$7="","",발령대장_설정!$B$7))</x:f>
        <x:v>#NAME?</x:v>
      </x:c>
      <x:c r="I366" s="27" t="e">
        <x:f>IF($A366="","",IF(발령대장_설정!$B$8="","",발령대장_설정!$B$8))</x:f>
        <x:v>#NAME?</x:v>
      </x:c>
      <x:c r="J366" s="27" t="str">
        <x:f>""</x:f>
      </x:c>
    </x:row>
    <x:row r="367" ht="42" customHeight="1">
      <x:c r="A367" s="47" t="e">
        <x:f>IF(AND(대장!A183&lt;&gt;"",ISNUMBER(대장!F183),OR(대장!G183="",AND(ISNUMBER(대장!G183),대장!G183&gt;=대장!F183))),대장!F183,"")</x:f>
        <x:v>#NAME?</x:v>
      </x:c>
      <x:c r="B367" s="27" t="e">
        <x:f>IF($A367="","",IF(발령대장_설정!$B$4="","",발령대장_설정!$B$4))</x:f>
        <x:v>#NAME?</x:v>
      </x:c>
      <x:c r="C367" s="27" t="e">
        <x:f>IF($A367="","",대장!D183)</x:f>
        <x:v>#NAME?</x:v>
      </x:c>
      <x:c r="D367" s="27" t="e">
        <x:f>IF($A367="","",대장!A183)</x:f>
        <x:v>#NAME?</x:v>
      </x:c>
      <x:c r="E367" s="27" t="e">
        <x:f>IF($A367="","",IF(대장!J183&lt;&gt;"",대장!J183,대장!D183&amp;"에 임함"&amp;IF(대장!E183="","",CHAR(10)&amp;"고용형태: "&amp;대장!E183)&amp;IF(대장!I183="","",CHAR(10)&amp;"소정근로시간: "&amp;대장!I183)&amp;CHAR(10)&amp;"근로기간: "&amp;YEAR(대장!F183)&amp;"."&amp;MONTH(대장!F183)&amp;"."&amp;DAY(대장!F183)&amp;"."&amp;" ~ "&amp;IF(ISNUMBER(대장!G183),YEAR(대장!G183)&amp;"."&amp;MONTH(대장!G183)&amp;"."&amp;DAY(대장!G183)&amp;".","재직 중")))</x:f>
        <x:v>#NAME?</x:v>
      </x:c>
      <x:c r="F367" s="27" t="e">
        <x:f>IF($A367="","",IF(발령대장_설정!$B$5="","",발령대장_설정!$B$5))</x:f>
        <x:v>#NAME?</x:v>
      </x:c>
      <x:c r="G367" s="27" t="e">
        <x:f>IF($A367="","",IF(발령대장_설정!$B$6="","",발령대장_설정!$B$6))</x:f>
        <x:v>#NAME?</x:v>
      </x:c>
      <x:c r="H367" s="27" t="e">
        <x:f>IF($A367="","",IF(발령대장_설정!$B$7="","",발령대장_설정!$B$7))</x:f>
        <x:v>#NAME?</x:v>
      </x:c>
      <x:c r="I367" s="27" t="e">
        <x:f>IF($A367="","",IF(발령대장_설정!$B$8="","",발령대장_설정!$B$8))</x:f>
        <x:v>#NAME?</x:v>
      </x:c>
      <x:c r="J367" s="27" t="e">
        <x:f>IF($A367="","",IF(대장!K183="","",대장!K183))</x:f>
        <x:v>#NAME?</x:v>
      </x:c>
    </x:row>
    <x:row r="368" ht="42" customHeight="1">
      <x:c r="A368" s="47" t="e">
        <x:f>IF(AND(대장!A183&lt;&gt;"",ISNUMBER(대장!F183),ISNUMBER(대장!G183),대장!G183&gt;=대장!F183,대장!H183&lt;&gt;""),대장!G183,"")</x:f>
        <x:v>#NAME?</x:v>
      </x:c>
      <x:c r="B368" s="27" t="e">
        <x:f>IF($A368="","",IF(발령대장_설정!$B$4="","",발령대장_설정!$B$4))</x:f>
        <x:v>#NAME?</x:v>
      </x:c>
      <x:c r="C368" s="27" t="e">
        <x:f>IF($A368="","",대장!D183)</x:f>
        <x:v>#NAME?</x:v>
      </x:c>
      <x:c r="D368" s="27" t="e">
        <x:f>IF($A368="","",대장!A183)</x:f>
        <x:v>#NAME?</x:v>
      </x:c>
      <x:c r="E368" s="27" t="e">
        <x:f>IF($A368="","",IF(OR(ISNUMBER(SEARCH("계약만료",대장!H183&amp;"")),ISNUMBER(SEARCH("기간만료",대장!H183&amp;""))),"계약기간 만료로 퇴직",IF(ISNUMBER(SEARCH("의원면직",대장!H183&amp;"")),"의원면직",IF(ISNUMBER(SEARCH("정년퇴직",대장!H183&amp;"")),"정년퇴직",대장!H183))))</x:f>
        <x:v>#NAME?</x:v>
      </x:c>
      <x:c r="F368" s="27" t="e">
        <x:f>IF($A368="","",IF(발령대장_설정!$B$5="","",발령대장_설정!$B$5))</x:f>
        <x:v>#NAME?</x:v>
      </x:c>
      <x:c r="G368" s="27" t="e">
        <x:f>IF($A368="","",IF(발령대장_설정!$B$6="","",발령대장_설정!$B$6))</x:f>
        <x:v>#NAME?</x:v>
      </x:c>
      <x:c r="H368" s="27" t="e">
        <x:f>IF($A368="","",IF(발령대장_설정!$B$7="","",발령대장_설정!$B$7))</x:f>
        <x:v>#NAME?</x:v>
      </x:c>
      <x:c r="I368" s="27" t="e">
        <x:f>IF($A368="","",IF(발령대장_설정!$B$8="","",발령대장_설정!$B$8))</x:f>
        <x:v>#NAME?</x:v>
      </x:c>
      <x:c r="J368" s="27" t="str">
        <x:f>""</x:f>
      </x:c>
    </x:row>
    <x:row r="369" ht="42" customHeight="1">
      <x:c r="A369" s="47" t="e">
        <x:f>IF(AND(대장!A184&lt;&gt;"",ISNUMBER(대장!F184),OR(대장!G184="",AND(ISNUMBER(대장!G184),대장!G184&gt;=대장!F184))),대장!F184,"")</x:f>
        <x:v>#NAME?</x:v>
      </x:c>
      <x:c r="B369" s="27" t="e">
        <x:f>IF($A369="","",IF(발령대장_설정!$B$4="","",발령대장_설정!$B$4))</x:f>
        <x:v>#NAME?</x:v>
      </x:c>
      <x:c r="C369" s="27" t="e">
        <x:f>IF($A369="","",대장!D184)</x:f>
        <x:v>#NAME?</x:v>
      </x:c>
      <x:c r="D369" s="27" t="e">
        <x:f>IF($A369="","",대장!A184)</x:f>
        <x:v>#NAME?</x:v>
      </x:c>
      <x:c r="E369" s="27" t="e">
        <x:f>IF($A369="","",IF(대장!J184&lt;&gt;"",대장!J184,대장!D184&amp;"에 임함"&amp;IF(대장!E184="","",CHAR(10)&amp;"고용형태: "&amp;대장!E184)&amp;IF(대장!I184="","",CHAR(10)&amp;"소정근로시간: "&amp;대장!I184)&amp;CHAR(10)&amp;"근로기간: "&amp;YEAR(대장!F184)&amp;"."&amp;MONTH(대장!F184)&amp;"."&amp;DAY(대장!F184)&amp;"."&amp;" ~ "&amp;IF(ISNUMBER(대장!G184),YEAR(대장!G184)&amp;"."&amp;MONTH(대장!G184)&amp;"."&amp;DAY(대장!G184)&amp;".","재직 중")))</x:f>
        <x:v>#NAME?</x:v>
      </x:c>
      <x:c r="F369" s="27" t="e">
        <x:f>IF($A369="","",IF(발령대장_설정!$B$5="","",발령대장_설정!$B$5))</x:f>
        <x:v>#NAME?</x:v>
      </x:c>
      <x:c r="G369" s="27" t="e">
        <x:f>IF($A369="","",IF(발령대장_설정!$B$6="","",발령대장_설정!$B$6))</x:f>
        <x:v>#NAME?</x:v>
      </x:c>
      <x:c r="H369" s="27" t="e">
        <x:f>IF($A369="","",IF(발령대장_설정!$B$7="","",발령대장_설정!$B$7))</x:f>
        <x:v>#NAME?</x:v>
      </x:c>
      <x:c r="I369" s="27" t="e">
        <x:f>IF($A369="","",IF(발령대장_설정!$B$8="","",발령대장_설정!$B$8))</x:f>
        <x:v>#NAME?</x:v>
      </x:c>
      <x:c r="J369" s="27" t="e">
        <x:f>IF($A369="","",IF(대장!K184="","",대장!K184))</x:f>
        <x:v>#NAME?</x:v>
      </x:c>
    </x:row>
    <x:row r="370" ht="42" customHeight="1">
      <x:c r="A370" s="47" t="e">
        <x:f>IF(AND(대장!A184&lt;&gt;"",ISNUMBER(대장!F184),ISNUMBER(대장!G184),대장!G184&gt;=대장!F184,대장!H184&lt;&gt;""),대장!G184,"")</x:f>
        <x:v>#NAME?</x:v>
      </x:c>
      <x:c r="B370" s="27" t="e">
        <x:f>IF($A370="","",IF(발령대장_설정!$B$4="","",발령대장_설정!$B$4))</x:f>
        <x:v>#NAME?</x:v>
      </x:c>
      <x:c r="C370" s="27" t="e">
        <x:f>IF($A370="","",대장!D184)</x:f>
        <x:v>#NAME?</x:v>
      </x:c>
      <x:c r="D370" s="27" t="e">
        <x:f>IF($A370="","",대장!A184)</x:f>
        <x:v>#NAME?</x:v>
      </x:c>
      <x:c r="E370" s="27" t="e">
        <x:f>IF($A370="","",IF(OR(ISNUMBER(SEARCH("계약만료",대장!H184&amp;"")),ISNUMBER(SEARCH("기간만료",대장!H184&amp;""))),"계약기간 만료로 퇴직",IF(ISNUMBER(SEARCH("의원면직",대장!H184&amp;"")),"의원면직",IF(ISNUMBER(SEARCH("정년퇴직",대장!H184&amp;"")),"정년퇴직",대장!H184))))</x:f>
        <x:v>#NAME?</x:v>
      </x:c>
      <x:c r="F370" s="27" t="e">
        <x:f>IF($A370="","",IF(발령대장_설정!$B$5="","",발령대장_설정!$B$5))</x:f>
        <x:v>#NAME?</x:v>
      </x:c>
      <x:c r="G370" s="27" t="e">
        <x:f>IF($A370="","",IF(발령대장_설정!$B$6="","",발령대장_설정!$B$6))</x:f>
        <x:v>#NAME?</x:v>
      </x:c>
      <x:c r="H370" s="27" t="e">
        <x:f>IF($A370="","",IF(발령대장_설정!$B$7="","",발령대장_설정!$B$7))</x:f>
        <x:v>#NAME?</x:v>
      </x:c>
      <x:c r="I370" s="27" t="e">
        <x:f>IF($A370="","",IF(발령대장_설정!$B$8="","",발령대장_설정!$B$8))</x:f>
        <x:v>#NAME?</x:v>
      </x:c>
      <x:c r="J370" s="27" t="str">
        <x:f>""</x:f>
      </x:c>
    </x:row>
    <x:row r="371" ht="42" customHeight="1">
      <x:c r="A371" s="47" t="e">
        <x:f>IF(AND(대장!A185&lt;&gt;"",ISNUMBER(대장!F185),OR(대장!G185="",AND(ISNUMBER(대장!G185),대장!G185&gt;=대장!F185))),대장!F185,"")</x:f>
        <x:v>#NAME?</x:v>
      </x:c>
      <x:c r="B371" s="27" t="e">
        <x:f>IF($A371="","",IF(발령대장_설정!$B$4="","",발령대장_설정!$B$4))</x:f>
        <x:v>#NAME?</x:v>
      </x:c>
      <x:c r="C371" s="27" t="e">
        <x:f>IF($A371="","",대장!D185)</x:f>
        <x:v>#NAME?</x:v>
      </x:c>
      <x:c r="D371" s="27" t="e">
        <x:f>IF($A371="","",대장!A185)</x:f>
        <x:v>#NAME?</x:v>
      </x:c>
      <x:c r="E371" s="27" t="e">
        <x:f>IF($A371="","",IF(대장!J185&lt;&gt;"",대장!J185,대장!D185&amp;"에 임함"&amp;IF(대장!E185="","",CHAR(10)&amp;"고용형태: "&amp;대장!E185)&amp;IF(대장!I185="","",CHAR(10)&amp;"소정근로시간: "&amp;대장!I185)&amp;CHAR(10)&amp;"근로기간: "&amp;YEAR(대장!F185)&amp;"."&amp;MONTH(대장!F185)&amp;"."&amp;DAY(대장!F185)&amp;"."&amp;" ~ "&amp;IF(ISNUMBER(대장!G185),YEAR(대장!G185)&amp;"."&amp;MONTH(대장!G185)&amp;"."&amp;DAY(대장!G185)&amp;".","재직 중")))</x:f>
        <x:v>#NAME?</x:v>
      </x:c>
      <x:c r="F371" s="27" t="e">
        <x:f>IF($A371="","",IF(발령대장_설정!$B$5="","",발령대장_설정!$B$5))</x:f>
        <x:v>#NAME?</x:v>
      </x:c>
      <x:c r="G371" s="27" t="e">
        <x:f>IF($A371="","",IF(발령대장_설정!$B$6="","",발령대장_설정!$B$6))</x:f>
        <x:v>#NAME?</x:v>
      </x:c>
      <x:c r="H371" s="27" t="e">
        <x:f>IF($A371="","",IF(발령대장_설정!$B$7="","",발령대장_설정!$B$7))</x:f>
        <x:v>#NAME?</x:v>
      </x:c>
      <x:c r="I371" s="27" t="e">
        <x:f>IF($A371="","",IF(발령대장_설정!$B$8="","",발령대장_설정!$B$8))</x:f>
        <x:v>#NAME?</x:v>
      </x:c>
      <x:c r="J371" s="27" t="e">
        <x:f>IF($A371="","",IF(대장!K185="","",대장!K185))</x:f>
        <x:v>#NAME?</x:v>
      </x:c>
    </x:row>
    <x:row r="372" ht="42" customHeight="1">
      <x:c r="A372" s="47" t="e">
        <x:f>IF(AND(대장!A185&lt;&gt;"",ISNUMBER(대장!F185),ISNUMBER(대장!G185),대장!G185&gt;=대장!F185,대장!H185&lt;&gt;""),대장!G185,"")</x:f>
        <x:v>#NAME?</x:v>
      </x:c>
      <x:c r="B372" s="27" t="e">
        <x:f>IF($A372="","",IF(발령대장_설정!$B$4="","",발령대장_설정!$B$4))</x:f>
        <x:v>#NAME?</x:v>
      </x:c>
      <x:c r="C372" s="27" t="e">
        <x:f>IF($A372="","",대장!D185)</x:f>
        <x:v>#NAME?</x:v>
      </x:c>
      <x:c r="D372" s="27" t="e">
        <x:f>IF($A372="","",대장!A185)</x:f>
        <x:v>#NAME?</x:v>
      </x:c>
      <x:c r="E372" s="27" t="e">
        <x:f>IF($A372="","",IF(OR(ISNUMBER(SEARCH("계약만료",대장!H185&amp;"")),ISNUMBER(SEARCH("기간만료",대장!H185&amp;""))),"계약기간 만료로 퇴직",IF(ISNUMBER(SEARCH("의원면직",대장!H185&amp;"")),"의원면직",IF(ISNUMBER(SEARCH("정년퇴직",대장!H185&amp;"")),"정년퇴직",대장!H185))))</x:f>
        <x:v>#NAME?</x:v>
      </x:c>
      <x:c r="F372" s="27" t="e">
        <x:f>IF($A372="","",IF(발령대장_설정!$B$5="","",발령대장_설정!$B$5))</x:f>
        <x:v>#NAME?</x:v>
      </x:c>
      <x:c r="G372" s="27" t="e">
        <x:f>IF($A372="","",IF(발령대장_설정!$B$6="","",발령대장_설정!$B$6))</x:f>
        <x:v>#NAME?</x:v>
      </x:c>
      <x:c r="H372" s="27" t="e">
        <x:f>IF($A372="","",IF(발령대장_설정!$B$7="","",발령대장_설정!$B$7))</x:f>
        <x:v>#NAME?</x:v>
      </x:c>
      <x:c r="I372" s="27" t="e">
        <x:f>IF($A372="","",IF(발령대장_설정!$B$8="","",발령대장_설정!$B$8))</x:f>
        <x:v>#NAME?</x:v>
      </x:c>
      <x:c r="J372" s="27" t="str">
        <x:f>""</x:f>
      </x:c>
    </x:row>
    <x:row r="373" ht="42" customHeight="1">
      <x:c r="A373" s="47" t="e">
        <x:f>IF(AND(대장!A186&lt;&gt;"",ISNUMBER(대장!F186),OR(대장!G186="",AND(ISNUMBER(대장!G186),대장!G186&gt;=대장!F186))),대장!F186,"")</x:f>
        <x:v>#NAME?</x:v>
      </x:c>
      <x:c r="B373" s="27" t="e">
        <x:f>IF($A373="","",IF(발령대장_설정!$B$4="","",발령대장_설정!$B$4))</x:f>
        <x:v>#NAME?</x:v>
      </x:c>
      <x:c r="C373" s="27" t="e">
        <x:f>IF($A373="","",대장!D186)</x:f>
        <x:v>#NAME?</x:v>
      </x:c>
      <x:c r="D373" s="27" t="e">
        <x:f>IF($A373="","",대장!A186)</x:f>
        <x:v>#NAME?</x:v>
      </x:c>
      <x:c r="E373" s="27" t="e">
        <x:f>IF($A373="","",IF(대장!J186&lt;&gt;"",대장!J186,대장!D186&amp;"에 임함"&amp;IF(대장!E186="","",CHAR(10)&amp;"고용형태: "&amp;대장!E186)&amp;IF(대장!I186="","",CHAR(10)&amp;"소정근로시간: "&amp;대장!I186)&amp;CHAR(10)&amp;"근로기간: "&amp;YEAR(대장!F186)&amp;"."&amp;MONTH(대장!F186)&amp;"."&amp;DAY(대장!F186)&amp;"."&amp;" ~ "&amp;IF(ISNUMBER(대장!G186),YEAR(대장!G186)&amp;"."&amp;MONTH(대장!G186)&amp;"."&amp;DAY(대장!G186)&amp;".","재직 중")))</x:f>
        <x:v>#NAME?</x:v>
      </x:c>
      <x:c r="F373" s="27" t="e">
        <x:f>IF($A373="","",IF(발령대장_설정!$B$5="","",발령대장_설정!$B$5))</x:f>
        <x:v>#NAME?</x:v>
      </x:c>
      <x:c r="G373" s="27" t="e">
        <x:f>IF($A373="","",IF(발령대장_설정!$B$6="","",발령대장_설정!$B$6))</x:f>
        <x:v>#NAME?</x:v>
      </x:c>
      <x:c r="H373" s="27" t="e">
        <x:f>IF($A373="","",IF(발령대장_설정!$B$7="","",발령대장_설정!$B$7))</x:f>
        <x:v>#NAME?</x:v>
      </x:c>
      <x:c r="I373" s="27" t="e">
        <x:f>IF($A373="","",IF(발령대장_설정!$B$8="","",발령대장_설정!$B$8))</x:f>
        <x:v>#NAME?</x:v>
      </x:c>
      <x:c r="J373" s="27" t="e">
        <x:f>IF($A373="","",IF(대장!K186="","",대장!K186))</x:f>
        <x:v>#NAME?</x:v>
      </x:c>
    </x:row>
    <x:row r="374" ht="42" customHeight="1">
      <x:c r="A374" s="47" t="e">
        <x:f>IF(AND(대장!A186&lt;&gt;"",ISNUMBER(대장!F186),ISNUMBER(대장!G186),대장!G186&gt;=대장!F186,대장!H186&lt;&gt;""),대장!G186,"")</x:f>
        <x:v>#NAME?</x:v>
      </x:c>
      <x:c r="B374" s="27" t="e">
        <x:f>IF($A374="","",IF(발령대장_설정!$B$4="","",발령대장_설정!$B$4))</x:f>
        <x:v>#NAME?</x:v>
      </x:c>
      <x:c r="C374" s="27" t="e">
        <x:f>IF($A374="","",대장!D186)</x:f>
        <x:v>#NAME?</x:v>
      </x:c>
      <x:c r="D374" s="27" t="e">
        <x:f>IF($A374="","",대장!A186)</x:f>
        <x:v>#NAME?</x:v>
      </x:c>
      <x:c r="E374" s="27" t="e">
        <x:f>IF($A374="","",IF(OR(ISNUMBER(SEARCH("계약만료",대장!H186&amp;"")),ISNUMBER(SEARCH("기간만료",대장!H186&amp;""))),"계약기간 만료로 퇴직",IF(ISNUMBER(SEARCH("의원면직",대장!H186&amp;"")),"의원면직",IF(ISNUMBER(SEARCH("정년퇴직",대장!H186&amp;"")),"정년퇴직",대장!H186))))</x:f>
        <x:v>#NAME?</x:v>
      </x:c>
      <x:c r="F374" s="27" t="e">
        <x:f>IF($A374="","",IF(발령대장_설정!$B$5="","",발령대장_설정!$B$5))</x:f>
        <x:v>#NAME?</x:v>
      </x:c>
      <x:c r="G374" s="27" t="e">
        <x:f>IF($A374="","",IF(발령대장_설정!$B$6="","",발령대장_설정!$B$6))</x:f>
        <x:v>#NAME?</x:v>
      </x:c>
      <x:c r="H374" s="27" t="e">
        <x:f>IF($A374="","",IF(발령대장_설정!$B$7="","",발령대장_설정!$B$7))</x:f>
        <x:v>#NAME?</x:v>
      </x:c>
      <x:c r="I374" s="27" t="e">
        <x:f>IF($A374="","",IF(발령대장_설정!$B$8="","",발령대장_설정!$B$8))</x:f>
        <x:v>#NAME?</x:v>
      </x:c>
      <x:c r="J374" s="27" t="str">
        <x:f>""</x:f>
      </x:c>
    </x:row>
    <x:row r="375" ht="42" customHeight="1">
      <x:c r="A375" s="47" t="e">
        <x:f>IF(AND(대장!A187&lt;&gt;"",ISNUMBER(대장!F187),OR(대장!G187="",AND(ISNUMBER(대장!G187),대장!G187&gt;=대장!F187))),대장!F187,"")</x:f>
        <x:v>#NAME?</x:v>
      </x:c>
      <x:c r="B375" s="27" t="e">
        <x:f>IF($A375="","",IF(발령대장_설정!$B$4="","",발령대장_설정!$B$4))</x:f>
        <x:v>#NAME?</x:v>
      </x:c>
      <x:c r="C375" s="27" t="e">
        <x:f>IF($A375="","",대장!D187)</x:f>
        <x:v>#NAME?</x:v>
      </x:c>
      <x:c r="D375" s="27" t="e">
        <x:f>IF($A375="","",대장!A187)</x:f>
        <x:v>#NAME?</x:v>
      </x:c>
      <x:c r="E375" s="27" t="e">
        <x:f>IF($A375="","",IF(대장!J187&lt;&gt;"",대장!J187,대장!D187&amp;"에 임함"&amp;IF(대장!E187="","",CHAR(10)&amp;"고용형태: "&amp;대장!E187)&amp;IF(대장!I187="","",CHAR(10)&amp;"소정근로시간: "&amp;대장!I187)&amp;CHAR(10)&amp;"근로기간: "&amp;YEAR(대장!F187)&amp;"."&amp;MONTH(대장!F187)&amp;"."&amp;DAY(대장!F187)&amp;"."&amp;" ~ "&amp;IF(ISNUMBER(대장!G187),YEAR(대장!G187)&amp;"."&amp;MONTH(대장!G187)&amp;"."&amp;DAY(대장!G187)&amp;".","재직 중")))</x:f>
        <x:v>#NAME?</x:v>
      </x:c>
      <x:c r="F375" s="27" t="e">
        <x:f>IF($A375="","",IF(발령대장_설정!$B$5="","",발령대장_설정!$B$5))</x:f>
        <x:v>#NAME?</x:v>
      </x:c>
      <x:c r="G375" s="27" t="e">
        <x:f>IF($A375="","",IF(발령대장_설정!$B$6="","",발령대장_설정!$B$6))</x:f>
        <x:v>#NAME?</x:v>
      </x:c>
      <x:c r="H375" s="27" t="e">
        <x:f>IF($A375="","",IF(발령대장_설정!$B$7="","",발령대장_설정!$B$7))</x:f>
        <x:v>#NAME?</x:v>
      </x:c>
      <x:c r="I375" s="27" t="e">
        <x:f>IF($A375="","",IF(발령대장_설정!$B$8="","",발령대장_설정!$B$8))</x:f>
        <x:v>#NAME?</x:v>
      </x:c>
      <x:c r="J375" s="27" t="e">
        <x:f>IF($A375="","",IF(대장!K187="","",대장!K187))</x:f>
        <x:v>#NAME?</x:v>
      </x:c>
    </x:row>
    <x:row r="376" ht="42" customHeight="1">
      <x:c r="A376" s="47" t="e">
        <x:f>IF(AND(대장!A187&lt;&gt;"",ISNUMBER(대장!F187),ISNUMBER(대장!G187),대장!G187&gt;=대장!F187,대장!H187&lt;&gt;""),대장!G187,"")</x:f>
        <x:v>#NAME?</x:v>
      </x:c>
      <x:c r="B376" s="27" t="e">
        <x:f>IF($A376="","",IF(발령대장_설정!$B$4="","",발령대장_설정!$B$4))</x:f>
        <x:v>#NAME?</x:v>
      </x:c>
      <x:c r="C376" s="27" t="e">
        <x:f>IF($A376="","",대장!D187)</x:f>
        <x:v>#NAME?</x:v>
      </x:c>
      <x:c r="D376" s="27" t="e">
        <x:f>IF($A376="","",대장!A187)</x:f>
        <x:v>#NAME?</x:v>
      </x:c>
      <x:c r="E376" s="27" t="e">
        <x:f>IF($A376="","",IF(OR(ISNUMBER(SEARCH("계약만료",대장!H187&amp;"")),ISNUMBER(SEARCH("기간만료",대장!H187&amp;""))),"계약기간 만료로 퇴직",IF(ISNUMBER(SEARCH("의원면직",대장!H187&amp;"")),"의원면직",IF(ISNUMBER(SEARCH("정년퇴직",대장!H187&amp;"")),"정년퇴직",대장!H187))))</x:f>
        <x:v>#NAME?</x:v>
      </x:c>
      <x:c r="F376" s="27" t="e">
        <x:f>IF($A376="","",IF(발령대장_설정!$B$5="","",발령대장_설정!$B$5))</x:f>
        <x:v>#NAME?</x:v>
      </x:c>
      <x:c r="G376" s="27" t="e">
        <x:f>IF($A376="","",IF(발령대장_설정!$B$6="","",발령대장_설정!$B$6))</x:f>
        <x:v>#NAME?</x:v>
      </x:c>
      <x:c r="H376" s="27" t="e">
        <x:f>IF($A376="","",IF(발령대장_설정!$B$7="","",발령대장_설정!$B$7))</x:f>
        <x:v>#NAME?</x:v>
      </x:c>
      <x:c r="I376" s="27" t="e">
        <x:f>IF($A376="","",IF(발령대장_설정!$B$8="","",발령대장_설정!$B$8))</x:f>
        <x:v>#NAME?</x:v>
      </x:c>
      <x:c r="J376" s="27" t="str">
        <x:f>""</x:f>
      </x:c>
    </x:row>
    <x:row r="377" ht="42" customHeight="1">
      <x:c r="A377" s="47" t="e">
        <x:f>IF(AND(대장!A188&lt;&gt;"",ISNUMBER(대장!F188),OR(대장!G188="",AND(ISNUMBER(대장!G188),대장!G188&gt;=대장!F188))),대장!F188,"")</x:f>
        <x:v>#NAME?</x:v>
      </x:c>
      <x:c r="B377" s="27" t="e">
        <x:f>IF($A377="","",IF(발령대장_설정!$B$4="","",발령대장_설정!$B$4))</x:f>
        <x:v>#NAME?</x:v>
      </x:c>
      <x:c r="C377" s="27" t="e">
        <x:f>IF($A377="","",대장!D188)</x:f>
        <x:v>#NAME?</x:v>
      </x:c>
      <x:c r="D377" s="27" t="e">
        <x:f>IF($A377="","",대장!A188)</x:f>
        <x:v>#NAME?</x:v>
      </x:c>
      <x:c r="E377" s="27" t="e">
        <x:f>IF($A377="","",IF(대장!J188&lt;&gt;"",대장!J188,대장!D188&amp;"에 임함"&amp;IF(대장!E188="","",CHAR(10)&amp;"고용형태: "&amp;대장!E188)&amp;IF(대장!I188="","",CHAR(10)&amp;"소정근로시간: "&amp;대장!I188)&amp;CHAR(10)&amp;"근로기간: "&amp;YEAR(대장!F188)&amp;"."&amp;MONTH(대장!F188)&amp;"."&amp;DAY(대장!F188)&amp;"."&amp;" ~ "&amp;IF(ISNUMBER(대장!G188),YEAR(대장!G188)&amp;"."&amp;MONTH(대장!G188)&amp;"."&amp;DAY(대장!G188)&amp;".","재직 중")))</x:f>
        <x:v>#NAME?</x:v>
      </x:c>
      <x:c r="F377" s="27" t="e">
        <x:f>IF($A377="","",IF(발령대장_설정!$B$5="","",발령대장_설정!$B$5))</x:f>
        <x:v>#NAME?</x:v>
      </x:c>
      <x:c r="G377" s="27" t="e">
        <x:f>IF($A377="","",IF(발령대장_설정!$B$6="","",발령대장_설정!$B$6))</x:f>
        <x:v>#NAME?</x:v>
      </x:c>
      <x:c r="H377" s="27" t="e">
        <x:f>IF($A377="","",IF(발령대장_설정!$B$7="","",발령대장_설정!$B$7))</x:f>
        <x:v>#NAME?</x:v>
      </x:c>
      <x:c r="I377" s="27" t="e">
        <x:f>IF($A377="","",IF(발령대장_설정!$B$8="","",발령대장_설정!$B$8))</x:f>
        <x:v>#NAME?</x:v>
      </x:c>
      <x:c r="J377" s="27" t="e">
        <x:f>IF($A377="","",IF(대장!K188="","",대장!K188))</x:f>
        <x:v>#NAME?</x:v>
      </x:c>
    </x:row>
    <x:row r="378" ht="42" customHeight="1">
      <x:c r="A378" s="47" t="e">
        <x:f>IF(AND(대장!A188&lt;&gt;"",ISNUMBER(대장!F188),ISNUMBER(대장!G188),대장!G188&gt;=대장!F188,대장!H188&lt;&gt;""),대장!G188,"")</x:f>
        <x:v>#NAME?</x:v>
      </x:c>
      <x:c r="B378" s="27" t="e">
        <x:f>IF($A378="","",IF(발령대장_설정!$B$4="","",발령대장_설정!$B$4))</x:f>
        <x:v>#NAME?</x:v>
      </x:c>
      <x:c r="C378" s="27" t="e">
        <x:f>IF($A378="","",대장!D188)</x:f>
        <x:v>#NAME?</x:v>
      </x:c>
      <x:c r="D378" s="27" t="e">
        <x:f>IF($A378="","",대장!A188)</x:f>
        <x:v>#NAME?</x:v>
      </x:c>
      <x:c r="E378" s="27" t="e">
        <x:f>IF($A378="","",IF(OR(ISNUMBER(SEARCH("계약만료",대장!H188&amp;"")),ISNUMBER(SEARCH("기간만료",대장!H188&amp;""))),"계약기간 만료로 퇴직",IF(ISNUMBER(SEARCH("의원면직",대장!H188&amp;"")),"의원면직",IF(ISNUMBER(SEARCH("정년퇴직",대장!H188&amp;"")),"정년퇴직",대장!H188))))</x:f>
        <x:v>#NAME?</x:v>
      </x:c>
      <x:c r="F378" s="27" t="e">
        <x:f>IF($A378="","",IF(발령대장_설정!$B$5="","",발령대장_설정!$B$5))</x:f>
        <x:v>#NAME?</x:v>
      </x:c>
      <x:c r="G378" s="27" t="e">
        <x:f>IF($A378="","",IF(발령대장_설정!$B$6="","",발령대장_설정!$B$6))</x:f>
        <x:v>#NAME?</x:v>
      </x:c>
      <x:c r="H378" s="27" t="e">
        <x:f>IF($A378="","",IF(발령대장_설정!$B$7="","",발령대장_설정!$B$7))</x:f>
        <x:v>#NAME?</x:v>
      </x:c>
      <x:c r="I378" s="27" t="e">
        <x:f>IF($A378="","",IF(발령대장_설정!$B$8="","",발령대장_설정!$B$8))</x:f>
        <x:v>#NAME?</x:v>
      </x:c>
      <x:c r="J378" s="27" t="str">
        <x:f>""</x:f>
      </x:c>
    </x:row>
    <x:row r="379" ht="42" customHeight="1">
      <x:c r="A379" s="47" t="e">
        <x:f>IF(AND(대장!A189&lt;&gt;"",ISNUMBER(대장!F189),OR(대장!G189="",AND(ISNUMBER(대장!G189),대장!G189&gt;=대장!F189))),대장!F189,"")</x:f>
        <x:v>#NAME?</x:v>
      </x:c>
      <x:c r="B379" s="27" t="e">
        <x:f>IF($A379="","",IF(발령대장_설정!$B$4="","",발령대장_설정!$B$4))</x:f>
        <x:v>#NAME?</x:v>
      </x:c>
      <x:c r="C379" s="27" t="e">
        <x:f>IF($A379="","",대장!D189)</x:f>
        <x:v>#NAME?</x:v>
      </x:c>
      <x:c r="D379" s="27" t="e">
        <x:f>IF($A379="","",대장!A189)</x:f>
        <x:v>#NAME?</x:v>
      </x:c>
      <x:c r="E379" s="27" t="e">
        <x:f>IF($A379="","",IF(대장!J189&lt;&gt;"",대장!J189,대장!D189&amp;"에 임함"&amp;IF(대장!E189="","",CHAR(10)&amp;"고용형태: "&amp;대장!E189)&amp;IF(대장!I189="","",CHAR(10)&amp;"소정근로시간: "&amp;대장!I189)&amp;CHAR(10)&amp;"근로기간: "&amp;YEAR(대장!F189)&amp;"."&amp;MONTH(대장!F189)&amp;"."&amp;DAY(대장!F189)&amp;"."&amp;" ~ "&amp;IF(ISNUMBER(대장!G189),YEAR(대장!G189)&amp;"."&amp;MONTH(대장!G189)&amp;"."&amp;DAY(대장!G189)&amp;".","재직 중")))</x:f>
        <x:v>#NAME?</x:v>
      </x:c>
      <x:c r="F379" s="27" t="e">
        <x:f>IF($A379="","",IF(발령대장_설정!$B$5="","",발령대장_설정!$B$5))</x:f>
        <x:v>#NAME?</x:v>
      </x:c>
      <x:c r="G379" s="27" t="e">
        <x:f>IF($A379="","",IF(발령대장_설정!$B$6="","",발령대장_설정!$B$6))</x:f>
        <x:v>#NAME?</x:v>
      </x:c>
      <x:c r="H379" s="27" t="e">
        <x:f>IF($A379="","",IF(발령대장_설정!$B$7="","",발령대장_설정!$B$7))</x:f>
        <x:v>#NAME?</x:v>
      </x:c>
      <x:c r="I379" s="27" t="e">
        <x:f>IF($A379="","",IF(발령대장_설정!$B$8="","",발령대장_설정!$B$8))</x:f>
        <x:v>#NAME?</x:v>
      </x:c>
      <x:c r="J379" s="27" t="e">
        <x:f>IF($A379="","",IF(대장!K189="","",대장!K189))</x:f>
        <x:v>#NAME?</x:v>
      </x:c>
    </x:row>
    <x:row r="380" ht="42" customHeight="1">
      <x:c r="A380" s="47" t="e">
        <x:f>IF(AND(대장!A189&lt;&gt;"",ISNUMBER(대장!F189),ISNUMBER(대장!G189),대장!G189&gt;=대장!F189,대장!H189&lt;&gt;""),대장!G189,"")</x:f>
        <x:v>#NAME?</x:v>
      </x:c>
      <x:c r="B380" s="27" t="e">
        <x:f>IF($A380="","",IF(발령대장_설정!$B$4="","",발령대장_설정!$B$4))</x:f>
        <x:v>#NAME?</x:v>
      </x:c>
      <x:c r="C380" s="27" t="e">
        <x:f>IF($A380="","",대장!D189)</x:f>
        <x:v>#NAME?</x:v>
      </x:c>
      <x:c r="D380" s="27" t="e">
        <x:f>IF($A380="","",대장!A189)</x:f>
        <x:v>#NAME?</x:v>
      </x:c>
      <x:c r="E380" s="27" t="e">
        <x:f>IF($A380="","",IF(OR(ISNUMBER(SEARCH("계약만료",대장!H189&amp;"")),ISNUMBER(SEARCH("기간만료",대장!H189&amp;""))),"계약기간 만료로 퇴직",IF(ISNUMBER(SEARCH("의원면직",대장!H189&amp;"")),"의원면직",IF(ISNUMBER(SEARCH("정년퇴직",대장!H189&amp;"")),"정년퇴직",대장!H189))))</x:f>
        <x:v>#NAME?</x:v>
      </x:c>
      <x:c r="F380" s="27" t="e">
        <x:f>IF($A380="","",IF(발령대장_설정!$B$5="","",발령대장_설정!$B$5))</x:f>
        <x:v>#NAME?</x:v>
      </x:c>
      <x:c r="G380" s="27" t="e">
        <x:f>IF($A380="","",IF(발령대장_설정!$B$6="","",발령대장_설정!$B$6))</x:f>
        <x:v>#NAME?</x:v>
      </x:c>
      <x:c r="H380" s="27" t="e">
        <x:f>IF($A380="","",IF(발령대장_설정!$B$7="","",발령대장_설정!$B$7))</x:f>
        <x:v>#NAME?</x:v>
      </x:c>
      <x:c r="I380" s="27" t="e">
        <x:f>IF($A380="","",IF(발령대장_설정!$B$8="","",발령대장_설정!$B$8))</x:f>
        <x:v>#NAME?</x:v>
      </x:c>
      <x:c r="J380" s="27" t="str">
        <x:f>""</x:f>
      </x:c>
    </x:row>
    <x:row r="381" ht="42" customHeight="1">
      <x:c r="A381" s="47" t="e">
        <x:f>IF(AND(대장!A190&lt;&gt;"",ISNUMBER(대장!F190),OR(대장!G190="",AND(ISNUMBER(대장!G190),대장!G190&gt;=대장!F190))),대장!F190,"")</x:f>
        <x:v>#NAME?</x:v>
      </x:c>
      <x:c r="B381" s="27" t="e">
        <x:f>IF($A381="","",IF(발령대장_설정!$B$4="","",발령대장_설정!$B$4))</x:f>
        <x:v>#NAME?</x:v>
      </x:c>
      <x:c r="C381" s="27" t="e">
        <x:f>IF($A381="","",대장!D190)</x:f>
        <x:v>#NAME?</x:v>
      </x:c>
      <x:c r="D381" s="27" t="e">
        <x:f>IF($A381="","",대장!A190)</x:f>
        <x:v>#NAME?</x:v>
      </x:c>
      <x:c r="E381" s="27" t="e">
        <x:f>IF($A381="","",IF(대장!J190&lt;&gt;"",대장!J190,대장!D190&amp;"에 임함"&amp;IF(대장!E190="","",CHAR(10)&amp;"고용형태: "&amp;대장!E190)&amp;IF(대장!I190="","",CHAR(10)&amp;"소정근로시간: "&amp;대장!I190)&amp;CHAR(10)&amp;"근로기간: "&amp;YEAR(대장!F190)&amp;"."&amp;MONTH(대장!F190)&amp;"."&amp;DAY(대장!F190)&amp;"."&amp;" ~ "&amp;IF(ISNUMBER(대장!G190),YEAR(대장!G190)&amp;"."&amp;MONTH(대장!G190)&amp;"."&amp;DAY(대장!G190)&amp;".","재직 중")))</x:f>
        <x:v>#NAME?</x:v>
      </x:c>
      <x:c r="F381" s="27" t="e">
        <x:f>IF($A381="","",IF(발령대장_설정!$B$5="","",발령대장_설정!$B$5))</x:f>
        <x:v>#NAME?</x:v>
      </x:c>
      <x:c r="G381" s="27" t="e">
        <x:f>IF($A381="","",IF(발령대장_설정!$B$6="","",발령대장_설정!$B$6))</x:f>
        <x:v>#NAME?</x:v>
      </x:c>
      <x:c r="H381" s="27" t="e">
        <x:f>IF($A381="","",IF(발령대장_설정!$B$7="","",발령대장_설정!$B$7))</x:f>
        <x:v>#NAME?</x:v>
      </x:c>
      <x:c r="I381" s="27" t="e">
        <x:f>IF($A381="","",IF(발령대장_설정!$B$8="","",발령대장_설정!$B$8))</x:f>
        <x:v>#NAME?</x:v>
      </x:c>
      <x:c r="J381" s="27" t="e">
        <x:f>IF($A381="","",IF(대장!K190="","",대장!K190))</x:f>
        <x:v>#NAME?</x:v>
      </x:c>
    </x:row>
    <x:row r="382" ht="42" customHeight="1">
      <x:c r="A382" s="47" t="e">
        <x:f>IF(AND(대장!A190&lt;&gt;"",ISNUMBER(대장!F190),ISNUMBER(대장!G190),대장!G190&gt;=대장!F190,대장!H190&lt;&gt;""),대장!G190,"")</x:f>
        <x:v>#NAME?</x:v>
      </x:c>
      <x:c r="B382" s="27" t="e">
        <x:f>IF($A382="","",IF(발령대장_설정!$B$4="","",발령대장_설정!$B$4))</x:f>
        <x:v>#NAME?</x:v>
      </x:c>
      <x:c r="C382" s="27" t="e">
        <x:f>IF($A382="","",대장!D190)</x:f>
        <x:v>#NAME?</x:v>
      </x:c>
      <x:c r="D382" s="27" t="e">
        <x:f>IF($A382="","",대장!A190)</x:f>
        <x:v>#NAME?</x:v>
      </x:c>
      <x:c r="E382" s="27" t="e">
        <x:f>IF($A382="","",IF(OR(ISNUMBER(SEARCH("계약만료",대장!H190&amp;"")),ISNUMBER(SEARCH("기간만료",대장!H190&amp;""))),"계약기간 만료로 퇴직",IF(ISNUMBER(SEARCH("의원면직",대장!H190&amp;"")),"의원면직",IF(ISNUMBER(SEARCH("정년퇴직",대장!H190&amp;"")),"정년퇴직",대장!H190))))</x:f>
        <x:v>#NAME?</x:v>
      </x:c>
      <x:c r="F382" s="27" t="e">
        <x:f>IF($A382="","",IF(발령대장_설정!$B$5="","",발령대장_설정!$B$5))</x:f>
        <x:v>#NAME?</x:v>
      </x:c>
      <x:c r="G382" s="27" t="e">
        <x:f>IF($A382="","",IF(발령대장_설정!$B$6="","",발령대장_설정!$B$6))</x:f>
        <x:v>#NAME?</x:v>
      </x:c>
      <x:c r="H382" s="27" t="e">
        <x:f>IF($A382="","",IF(발령대장_설정!$B$7="","",발령대장_설정!$B$7))</x:f>
        <x:v>#NAME?</x:v>
      </x:c>
      <x:c r="I382" s="27" t="e">
        <x:f>IF($A382="","",IF(발령대장_설정!$B$8="","",발령대장_설정!$B$8))</x:f>
        <x:v>#NAME?</x:v>
      </x:c>
      <x:c r="J382" s="27" t="str">
        <x:f>""</x:f>
      </x:c>
    </x:row>
    <x:row r="383" ht="42" customHeight="1">
      <x:c r="A383" s="47" t="e">
        <x:f>IF(AND(대장!A191&lt;&gt;"",ISNUMBER(대장!F191),OR(대장!G191="",AND(ISNUMBER(대장!G191),대장!G191&gt;=대장!F191))),대장!F191,"")</x:f>
        <x:v>#NAME?</x:v>
      </x:c>
      <x:c r="B383" s="27" t="e">
        <x:f>IF($A383="","",IF(발령대장_설정!$B$4="","",발령대장_설정!$B$4))</x:f>
        <x:v>#NAME?</x:v>
      </x:c>
      <x:c r="C383" s="27" t="e">
        <x:f>IF($A383="","",대장!D191)</x:f>
        <x:v>#NAME?</x:v>
      </x:c>
      <x:c r="D383" s="27" t="e">
        <x:f>IF($A383="","",대장!A191)</x:f>
        <x:v>#NAME?</x:v>
      </x:c>
      <x:c r="E383" s="27" t="e">
        <x:f>IF($A383="","",IF(대장!J191&lt;&gt;"",대장!J191,대장!D191&amp;"에 임함"&amp;IF(대장!E191="","",CHAR(10)&amp;"고용형태: "&amp;대장!E191)&amp;IF(대장!I191="","",CHAR(10)&amp;"소정근로시간: "&amp;대장!I191)&amp;CHAR(10)&amp;"근로기간: "&amp;YEAR(대장!F191)&amp;"."&amp;MONTH(대장!F191)&amp;"."&amp;DAY(대장!F191)&amp;"."&amp;" ~ "&amp;IF(ISNUMBER(대장!G191),YEAR(대장!G191)&amp;"."&amp;MONTH(대장!G191)&amp;"."&amp;DAY(대장!G191)&amp;".","재직 중")))</x:f>
        <x:v>#NAME?</x:v>
      </x:c>
      <x:c r="F383" s="27" t="e">
        <x:f>IF($A383="","",IF(발령대장_설정!$B$5="","",발령대장_설정!$B$5))</x:f>
        <x:v>#NAME?</x:v>
      </x:c>
      <x:c r="G383" s="27" t="e">
        <x:f>IF($A383="","",IF(발령대장_설정!$B$6="","",발령대장_설정!$B$6))</x:f>
        <x:v>#NAME?</x:v>
      </x:c>
      <x:c r="H383" s="27" t="e">
        <x:f>IF($A383="","",IF(발령대장_설정!$B$7="","",발령대장_설정!$B$7))</x:f>
        <x:v>#NAME?</x:v>
      </x:c>
      <x:c r="I383" s="27" t="e">
        <x:f>IF($A383="","",IF(발령대장_설정!$B$8="","",발령대장_설정!$B$8))</x:f>
        <x:v>#NAME?</x:v>
      </x:c>
      <x:c r="J383" s="27" t="e">
        <x:f>IF($A383="","",IF(대장!K191="","",대장!K191))</x:f>
        <x:v>#NAME?</x:v>
      </x:c>
    </x:row>
    <x:row r="384" ht="42" customHeight="1">
      <x:c r="A384" s="47" t="e">
        <x:f>IF(AND(대장!A191&lt;&gt;"",ISNUMBER(대장!F191),ISNUMBER(대장!G191),대장!G191&gt;=대장!F191,대장!H191&lt;&gt;""),대장!G191,"")</x:f>
        <x:v>#NAME?</x:v>
      </x:c>
      <x:c r="B384" s="27" t="e">
        <x:f>IF($A384="","",IF(발령대장_설정!$B$4="","",발령대장_설정!$B$4))</x:f>
        <x:v>#NAME?</x:v>
      </x:c>
      <x:c r="C384" s="27" t="e">
        <x:f>IF($A384="","",대장!D191)</x:f>
        <x:v>#NAME?</x:v>
      </x:c>
      <x:c r="D384" s="27" t="e">
        <x:f>IF($A384="","",대장!A191)</x:f>
        <x:v>#NAME?</x:v>
      </x:c>
      <x:c r="E384" s="27" t="e">
        <x:f>IF($A384="","",IF(OR(ISNUMBER(SEARCH("계약만료",대장!H191&amp;"")),ISNUMBER(SEARCH("기간만료",대장!H191&amp;""))),"계약기간 만료로 퇴직",IF(ISNUMBER(SEARCH("의원면직",대장!H191&amp;"")),"의원면직",IF(ISNUMBER(SEARCH("정년퇴직",대장!H191&amp;"")),"정년퇴직",대장!H191))))</x:f>
        <x:v>#NAME?</x:v>
      </x:c>
      <x:c r="F384" s="27" t="e">
        <x:f>IF($A384="","",IF(발령대장_설정!$B$5="","",발령대장_설정!$B$5))</x:f>
        <x:v>#NAME?</x:v>
      </x:c>
      <x:c r="G384" s="27" t="e">
        <x:f>IF($A384="","",IF(발령대장_설정!$B$6="","",발령대장_설정!$B$6))</x:f>
        <x:v>#NAME?</x:v>
      </x:c>
      <x:c r="H384" s="27" t="e">
        <x:f>IF($A384="","",IF(발령대장_설정!$B$7="","",발령대장_설정!$B$7))</x:f>
        <x:v>#NAME?</x:v>
      </x:c>
      <x:c r="I384" s="27" t="e">
        <x:f>IF($A384="","",IF(발령대장_설정!$B$8="","",발령대장_설정!$B$8))</x:f>
        <x:v>#NAME?</x:v>
      </x:c>
      <x:c r="J384" s="27" t="str">
        <x:f>""</x:f>
      </x:c>
    </x:row>
    <x:row r="385" ht="42" customHeight="1">
      <x:c r="A385" s="47" t="e">
        <x:f>IF(AND(대장!A192&lt;&gt;"",ISNUMBER(대장!F192),OR(대장!G192="",AND(ISNUMBER(대장!G192),대장!G192&gt;=대장!F192))),대장!F192,"")</x:f>
        <x:v>#NAME?</x:v>
      </x:c>
      <x:c r="B385" s="27" t="e">
        <x:f>IF($A385="","",IF(발령대장_설정!$B$4="","",발령대장_설정!$B$4))</x:f>
        <x:v>#NAME?</x:v>
      </x:c>
      <x:c r="C385" s="27" t="e">
        <x:f>IF($A385="","",대장!D192)</x:f>
        <x:v>#NAME?</x:v>
      </x:c>
      <x:c r="D385" s="27" t="e">
        <x:f>IF($A385="","",대장!A192)</x:f>
        <x:v>#NAME?</x:v>
      </x:c>
      <x:c r="E385" s="27" t="e">
        <x:f>IF($A385="","",IF(대장!J192&lt;&gt;"",대장!J192,대장!D192&amp;"에 임함"&amp;IF(대장!E192="","",CHAR(10)&amp;"고용형태: "&amp;대장!E192)&amp;IF(대장!I192="","",CHAR(10)&amp;"소정근로시간: "&amp;대장!I192)&amp;CHAR(10)&amp;"근로기간: "&amp;YEAR(대장!F192)&amp;"."&amp;MONTH(대장!F192)&amp;"."&amp;DAY(대장!F192)&amp;"."&amp;" ~ "&amp;IF(ISNUMBER(대장!G192),YEAR(대장!G192)&amp;"."&amp;MONTH(대장!G192)&amp;"."&amp;DAY(대장!G192)&amp;".","재직 중")))</x:f>
        <x:v>#NAME?</x:v>
      </x:c>
      <x:c r="F385" s="27" t="e">
        <x:f>IF($A385="","",IF(발령대장_설정!$B$5="","",발령대장_설정!$B$5))</x:f>
        <x:v>#NAME?</x:v>
      </x:c>
      <x:c r="G385" s="27" t="e">
        <x:f>IF($A385="","",IF(발령대장_설정!$B$6="","",발령대장_설정!$B$6))</x:f>
        <x:v>#NAME?</x:v>
      </x:c>
      <x:c r="H385" s="27" t="e">
        <x:f>IF($A385="","",IF(발령대장_설정!$B$7="","",발령대장_설정!$B$7))</x:f>
        <x:v>#NAME?</x:v>
      </x:c>
      <x:c r="I385" s="27" t="e">
        <x:f>IF($A385="","",IF(발령대장_설정!$B$8="","",발령대장_설정!$B$8))</x:f>
        <x:v>#NAME?</x:v>
      </x:c>
      <x:c r="J385" s="27" t="e">
        <x:f>IF($A385="","",IF(대장!K192="","",대장!K192))</x:f>
        <x:v>#NAME?</x:v>
      </x:c>
    </x:row>
    <x:row r="386" ht="42" customHeight="1">
      <x:c r="A386" s="47" t="e">
        <x:f>IF(AND(대장!A192&lt;&gt;"",ISNUMBER(대장!F192),ISNUMBER(대장!G192),대장!G192&gt;=대장!F192,대장!H192&lt;&gt;""),대장!G192,"")</x:f>
        <x:v>#NAME?</x:v>
      </x:c>
      <x:c r="B386" s="27" t="e">
        <x:f>IF($A386="","",IF(발령대장_설정!$B$4="","",발령대장_설정!$B$4))</x:f>
        <x:v>#NAME?</x:v>
      </x:c>
      <x:c r="C386" s="27" t="e">
        <x:f>IF($A386="","",대장!D192)</x:f>
        <x:v>#NAME?</x:v>
      </x:c>
      <x:c r="D386" s="27" t="e">
        <x:f>IF($A386="","",대장!A192)</x:f>
        <x:v>#NAME?</x:v>
      </x:c>
      <x:c r="E386" s="27" t="e">
        <x:f>IF($A386="","",IF(OR(ISNUMBER(SEARCH("계약만료",대장!H192&amp;"")),ISNUMBER(SEARCH("기간만료",대장!H192&amp;""))),"계약기간 만료로 퇴직",IF(ISNUMBER(SEARCH("의원면직",대장!H192&amp;"")),"의원면직",IF(ISNUMBER(SEARCH("정년퇴직",대장!H192&amp;"")),"정년퇴직",대장!H192))))</x:f>
        <x:v>#NAME?</x:v>
      </x:c>
      <x:c r="F386" s="27" t="e">
        <x:f>IF($A386="","",IF(발령대장_설정!$B$5="","",발령대장_설정!$B$5))</x:f>
        <x:v>#NAME?</x:v>
      </x:c>
      <x:c r="G386" s="27" t="e">
        <x:f>IF($A386="","",IF(발령대장_설정!$B$6="","",발령대장_설정!$B$6))</x:f>
        <x:v>#NAME?</x:v>
      </x:c>
      <x:c r="H386" s="27" t="e">
        <x:f>IF($A386="","",IF(발령대장_설정!$B$7="","",발령대장_설정!$B$7))</x:f>
        <x:v>#NAME?</x:v>
      </x:c>
      <x:c r="I386" s="27" t="e">
        <x:f>IF($A386="","",IF(발령대장_설정!$B$8="","",발령대장_설정!$B$8))</x:f>
        <x:v>#NAME?</x:v>
      </x:c>
      <x:c r="J386" s="27" t="str">
        <x:f>""</x:f>
      </x:c>
    </x:row>
    <x:row r="387" ht="42" customHeight="1">
      <x:c r="A387" s="47" t="e">
        <x:f>IF(AND(대장!A193&lt;&gt;"",ISNUMBER(대장!F193),OR(대장!G193="",AND(ISNUMBER(대장!G193),대장!G193&gt;=대장!F193))),대장!F193,"")</x:f>
        <x:v>#NAME?</x:v>
      </x:c>
      <x:c r="B387" s="27" t="e">
        <x:f>IF($A387="","",IF(발령대장_설정!$B$4="","",발령대장_설정!$B$4))</x:f>
        <x:v>#NAME?</x:v>
      </x:c>
      <x:c r="C387" s="27" t="e">
        <x:f>IF($A387="","",대장!D193)</x:f>
        <x:v>#NAME?</x:v>
      </x:c>
      <x:c r="D387" s="27" t="e">
        <x:f>IF($A387="","",대장!A193)</x:f>
        <x:v>#NAME?</x:v>
      </x:c>
      <x:c r="E387" s="27" t="e">
        <x:f>IF($A387="","",IF(대장!J193&lt;&gt;"",대장!J193,대장!D193&amp;"에 임함"&amp;IF(대장!E193="","",CHAR(10)&amp;"고용형태: "&amp;대장!E193)&amp;IF(대장!I193="","",CHAR(10)&amp;"소정근로시간: "&amp;대장!I193)&amp;CHAR(10)&amp;"근로기간: "&amp;YEAR(대장!F193)&amp;"."&amp;MONTH(대장!F193)&amp;"."&amp;DAY(대장!F193)&amp;"."&amp;" ~ "&amp;IF(ISNUMBER(대장!G193),YEAR(대장!G193)&amp;"."&amp;MONTH(대장!G193)&amp;"."&amp;DAY(대장!G193)&amp;".","재직 중")))</x:f>
        <x:v>#NAME?</x:v>
      </x:c>
      <x:c r="F387" s="27" t="e">
        <x:f>IF($A387="","",IF(발령대장_설정!$B$5="","",발령대장_설정!$B$5))</x:f>
        <x:v>#NAME?</x:v>
      </x:c>
      <x:c r="G387" s="27" t="e">
        <x:f>IF($A387="","",IF(발령대장_설정!$B$6="","",발령대장_설정!$B$6))</x:f>
        <x:v>#NAME?</x:v>
      </x:c>
      <x:c r="H387" s="27" t="e">
        <x:f>IF($A387="","",IF(발령대장_설정!$B$7="","",발령대장_설정!$B$7))</x:f>
        <x:v>#NAME?</x:v>
      </x:c>
      <x:c r="I387" s="27" t="e">
        <x:f>IF($A387="","",IF(발령대장_설정!$B$8="","",발령대장_설정!$B$8))</x:f>
        <x:v>#NAME?</x:v>
      </x:c>
      <x:c r="J387" s="27" t="e">
        <x:f>IF($A387="","",IF(대장!K193="","",대장!K193))</x:f>
        <x:v>#NAME?</x:v>
      </x:c>
    </x:row>
    <x:row r="388" ht="42" customHeight="1">
      <x:c r="A388" s="47" t="e">
        <x:f>IF(AND(대장!A193&lt;&gt;"",ISNUMBER(대장!F193),ISNUMBER(대장!G193),대장!G193&gt;=대장!F193,대장!H193&lt;&gt;""),대장!G193,"")</x:f>
        <x:v>#NAME?</x:v>
      </x:c>
      <x:c r="B388" s="27" t="e">
        <x:f>IF($A388="","",IF(발령대장_설정!$B$4="","",발령대장_설정!$B$4))</x:f>
        <x:v>#NAME?</x:v>
      </x:c>
      <x:c r="C388" s="27" t="e">
        <x:f>IF($A388="","",대장!D193)</x:f>
        <x:v>#NAME?</x:v>
      </x:c>
      <x:c r="D388" s="27" t="e">
        <x:f>IF($A388="","",대장!A193)</x:f>
        <x:v>#NAME?</x:v>
      </x:c>
      <x:c r="E388" s="27" t="e">
        <x:f>IF($A388="","",IF(OR(ISNUMBER(SEARCH("계약만료",대장!H193&amp;"")),ISNUMBER(SEARCH("기간만료",대장!H193&amp;""))),"계약기간 만료로 퇴직",IF(ISNUMBER(SEARCH("의원면직",대장!H193&amp;"")),"의원면직",IF(ISNUMBER(SEARCH("정년퇴직",대장!H193&amp;"")),"정년퇴직",대장!H193))))</x:f>
        <x:v>#NAME?</x:v>
      </x:c>
      <x:c r="F388" s="27" t="e">
        <x:f>IF($A388="","",IF(발령대장_설정!$B$5="","",발령대장_설정!$B$5))</x:f>
        <x:v>#NAME?</x:v>
      </x:c>
      <x:c r="G388" s="27" t="e">
        <x:f>IF($A388="","",IF(발령대장_설정!$B$6="","",발령대장_설정!$B$6))</x:f>
        <x:v>#NAME?</x:v>
      </x:c>
      <x:c r="H388" s="27" t="e">
        <x:f>IF($A388="","",IF(발령대장_설정!$B$7="","",발령대장_설정!$B$7))</x:f>
        <x:v>#NAME?</x:v>
      </x:c>
      <x:c r="I388" s="27" t="e">
        <x:f>IF($A388="","",IF(발령대장_설정!$B$8="","",발령대장_설정!$B$8))</x:f>
        <x:v>#NAME?</x:v>
      </x:c>
      <x:c r="J388" s="27" t="str">
        <x:f>""</x:f>
      </x:c>
    </x:row>
    <x:row r="389" ht="42" customHeight="1">
      <x:c r="A389" s="47" t="e">
        <x:f>IF(AND(대장!A194&lt;&gt;"",ISNUMBER(대장!F194),OR(대장!G194="",AND(ISNUMBER(대장!G194),대장!G194&gt;=대장!F194))),대장!F194,"")</x:f>
        <x:v>#NAME?</x:v>
      </x:c>
      <x:c r="B389" s="27" t="e">
        <x:f>IF($A389="","",IF(발령대장_설정!$B$4="","",발령대장_설정!$B$4))</x:f>
        <x:v>#NAME?</x:v>
      </x:c>
      <x:c r="C389" s="27" t="e">
        <x:f>IF($A389="","",대장!D194)</x:f>
        <x:v>#NAME?</x:v>
      </x:c>
      <x:c r="D389" s="27" t="e">
        <x:f>IF($A389="","",대장!A194)</x:f>
        <x:v>#NAME?</x:v>
      </x:c>
      <x:c r="E389" s="27" t="e">
        <x:f>IF($A389="","",IF(대장!J194&lt;&gt;"",대장!J194,대장!D194&amp;"에 임함"&amp;IF(대장!E194="","",CHAR(10)&amp;"고용형태: "&amp;대장!E194)&amp;IF(대장!I194="","",CHAR(10)&amp;"소정근로시간: "&amp;대장!I194)&amp;CHAR(10)&amp;"근로기간: "&amp;YEAR(대장!F194)&amp;"."&amp;MONTH(대장!F194)&amp;"."&amp;DAY(대장!F194)&amp;"."&amp;" ~ "&amp;IF(ISNUMBER(대장!G194),YEAR(대장!G194)&amp;"."&amp;MONTH(대장!G194)&amp;"."&amp;DAY(대장!G194)&amp;".","재직 중")))</x:f>
        <x:v>#NAME?</x:v>
      </x:c>
      <x:c r="F389" s="27" t="e">
        <x:f>IF($A389="","",IF(발령대장_설정!$B$5="","",발령대장_설정!$B$5))</x:f>
        <x:v>#NAME?</x:v>
      </x:c>
      <x:c r="G389" s="27" t="e">
        <x:f>IF($A389="","",IF(발령대장_설정!$B$6="","",발령대장_설정!$B$6))</x:f>
        <x:v>#NAME?</x:v>
      </x:c>
      <x:c r="H389" s="27" t="e">
        <x:f>IF($A389="","",IF(발령대장_설정!$B$7="","",발령대장_설정!$B$7))</x:f>
        <x:v>#NAME?</x:v>
      </x:c>
      <x:c r="I389" s="27" t="e">
        <x:f>IF($A389="","",IF(발령대장_설정!$B$8="","",발령대장_설정!$B$8))</x:f>
        <x:v>#NAME?</x:v>
      </x:c>
      <x:c r="J389" s="27" t="e">
        <x:f>IF($A389="","",IF(대장!K194="","",대장!K194))</x:f>
        <x:v>#NAME?</x:v>
      </x:c>
    </x:row>
    <x:row r="390" ht="42" customHeight="1">
      <x:c r="A390" s="47" t="e">
        <x:f>IF(AND(대장!A194&lt;&gt;"",ISNUMBER(대장!F194),ISNUMBER(대장!G194),대장!G194&gt;=대장!F194,대장!H194&lt;&gt;""),대장!G194,"")</x:f>
        <x:v>#NAME?</x:v>
      </x:c>
      <x:c r="B390" s="27" t="e">
        <x:f>IF($A390="","",IF(발령대장_설정!$B$4="","",발령대장_설정!$B$4))</x:f>
        <x:v>#NAME?</x:v>
      </x:c>
      <x:c r="C390" s="27" t="e">
        <x:f>IF($A390="","",대장!D194)</x:f>
        <x:v>#NAME?</x:v>
      </x:c>
      <x:c r="D390" s="27" t="e">
        <x:f>IF($A390="","",대장!A194)</x:f>
        <x:v>#NAME?</x:v>
      </x:c>
      <x:c r="E390" s="27" t="e">
        <x:f>IF($A390="","",IF(OR(ISNUMBER(SEARCH("계약만료",대장!H194&amp;"")),ISNUMBER(SEARCH("기간만료",대장!H194&amp;""))),"계약기간 만료로 퇴직",IF(ISNUMBER(SEARCH("의원면직",대장!H194&amp;"")),"의원면직",IF(ISNUMBER(SEARCH("정년퇴직",대장!H194&amp;"")),"정년퇴직",대장!H194))))</x:f>
        <x:v>#NAME?</x:v>
      </x:c>
      <x:c r="F390" s="27" t="e">
        <x:f>IF($A390="","",IF(발령대장_설정!$B$5="","",발령대장_설정!$B$5))</x:f>
        <x:v>#NAME?</x:v>
      </x:c>
      <x:c r="G390" s="27" t="e">
        <x:f>IF($A390="","",IF(발령대장_설정!$B$6="","",발령대장_설정!$B$6))</x:f>
        <x:v>#NAME?</x:v>
      </x:c>
      <x:c r="H390" s="27" t="e">
        <x:f>IF($A390="","",IF(발령대장_설정!$B$7="","",발령대장_설정!$B$7))</x:f>
        <x:v>#NAME?</x:v>
      </x:c>
      <x:c r="I390" s="27" t="e">
        <x:f>IF($A390="","",IF(발령대장_설정!$B$8="","",발령대장_설정!$B$8))</x:f>
        <x:v>#NAME?</x:v>
      </x:c>
      <x:c r="J390" s="27" t="str">
        <x:f>""</x:f>
      </x:c>
    </x:row>
    <x:row r="391" ht="42" customHeight="1">
      <x:c r="A391" s="47" t="e">
        <x:f>IF(AND(대장!A195&lt;&gt;"",ISNUMBER(대장!F195),OR(대장!G195="",AND(ISNUMBER(대장!G195),대장!G195&gt;=대장!F195))),대장!F195,"")</x:f>
        <x:v>#NAME?</x:v>
      </x:c>
      <x:c r="B391" s="27" t="e">
        <x:f>IF($A391="","",IF(발령대장_설정!$B$4="","",발령대장_설정!$B$4))</x:f>
        <x:v>#NAME?</x:v>
      </x:c>
      <x:c r="C391" s="27" t="e">
        <x:f>IF($A391="","",대장!D195)</x:f>
        <x:v>#NAME?</x:v>
      </x:c>
      <x:c r="D391" s="27" t="e">
        <x:f>IF($A391="","",대장!A195)</x:f>
        <x:v>#NAME?</x:v>
      </x:c>
      <x:c r="E391" s="27" t="e">
        <x:f>IF($A391="","",IF(대장!J195&lt;&gt;"",대장!J195,대장!D195&amp;"에 임함"&amp;IF(대장!E195="","",CHAR(10)&amp;"고용형태: "&amp;대장!E195)&amp;IF(대장!I195="","",CHAR(10)&amp;"소정근로시간: "&amp;대장!I195)&amp;CHAR(10)&amp;"근로기간: "&amp;YEAR(대장!F195)&amp;"."&amp;MONTH(대장!F195)&amp;"."&amp;DAY(대장!F195)&amp;"."&amp;" ~ "&amp;IF(ISNUMBER(대장!G195),YEAR(대장!G195)&amp;"."&amp;MONTH(대장!G195)&amp;"."&amp;DAY(대장!G195)&amp;".","재직 중")))</x:f>
        <x:v>#NAME?</x:v>
      </x:c>
      <x:c r="F391" s="27" t="e">
        <x:f>IF($A391="","",IF(발령대장_설정!$B$5="","",발령대장_설정!$B$5))</x:f>
        <x:v>#NAME?</x:v>
      </x:c>
      <x:c r="G391" s="27" t="e">
        <x:f>IF($A391="","",IF(발령대장_설정!$B$6="","",발령대장_설정!$B$6))</x:f>
        <x:v>#NAME?</x:v>
      </x:c>
      <x:c r="H391" s="27" t="e">
        <x:f>IF($A391="","",IF(발령대장_설정!$B$7="","",발령대장_설정!$B$7))</x:f>
        <x:v>#NAME?</x:v>
      </x:c>
      <x:c r="I391" s="27" t="e">
        <x:f>IF($A391="","",IF(발령대장_설정!$B$8="","",발령대장_설정!$B$8))</x:f>
        <x:v>#NAME?</x:v>
      </x:c>
      <x:c r="J391" s="27" t="e">
        <x:f>IF($A391="","",IF(대장!K195="","",대장!K195))</x:f>
        <x:v>#NAME?</x:v>
      </x:c>
    </x:row>
    <x:row r="392" ht="42" customHeight="1">
      <x:c r="A392" s="47" t="e">
        <x:f>IF(AND(대장!A195&lt;&gt;"",ISNUMBER(대장!F195),ISNUMBER(대장!G195),대장!G195&gt;=대장!F195,대장!H195&lt;&gt;""),대장!G195,"")</x:f>
        <x:v>#NAME?</x:v>
      </x:c>
      <x:c r="B392" s="27" t="e">
        <x:f>IF($A392="","",IF(발령대장_설정!$B$4="","",발령대장_설정!$B$4))</x:f>
        <x:v>#NAME?</x:v>
      </x:c>
      <x:c r="C392" s="27" t="e">
        <x:f>IF($A392="","",대장!D195)</x:f>
        <x:v>#NAME?</x:v>
      </x:c>
      <x:c r="D392" s="27" t="e">
        <x:f>IF($A392="","",대장!A195)</x:f>
        <x:v>#NAME?</x:v>
      </x:c>
      <x:c r="E392" s="27" t="e">
        <x:f>IF($A392="","",IF(OR(ISNUMBER(SEARCH("계약만료",대장!H195&amp;"")),ISNUMBER(SEARCH("기간만료",대장!H195&amp;""))),"계약기간 만료로 퇴직",IF(ISNUMBER(SEARCH("의원면직",대장!H195&amp;"")),"의원면직",IF(ISNUMBER(SEARCH("정년퇴직",대장!H195&amp;"")),"정년퇴직",대장!H195))))</x:f>
        <x:v>#NAME?</x:v>
      </x:c>
      <x:c r="F392" s="27" t="e">
        <x:f>IF($A392="","",IF(발령대장_설정!$B$5="","",발령대장_설정!$B$5))</x:f>
        <x:v>#NAME?</x:v>
      </x:c>
      <x:c r="G392" s="27" t="e">
        <x:f>IF($A392="","",IF(발령대장_설정!$B$6="","",발령대장_설정!$B$6))</x:f>
        <x:v>#NAME?</x:v>
      </x:c>
      <x:c r="H392" s="27" t="e">
        <x:f>IF($A392="","",IF(발령대장_설정!$B$7="","",발령대장_설정!$B$7))</x:f>
        <x:v>#NAME?</x:v>
      </x:c>
      <x:c r="I392" s="27" t="e">
        <x:f>IF($A392="","",IF(발령대장_설정!$B$8="","",발령대장_설정!$B$8))</x:f>
        <x:v>#NAME?</x:v>
      </x:c>
      <x:c r="J392" s="27" t="str">
        <x:f>""</x:f>
      </x:c>
    </x:row>
    <x:row r="393" ht="42" customHeight="1">
      <x:c r="A393" s="47" t="e">
        <x:f>IF(AND(대장!A196&lt;&gt;"",ISNUMBER(대장!F196),OR(대장!G196="",AND(ISNUMBER(대장!G196),대장!G196&gt;=대장!F196))),대장!F196,"")</x:f>
        <x:v>#NAME?</x:v>
      </x:c>
      <x:c r="B393" s="27" t="e">
        <x:f>IF($A393="","",IF(발령대장_설정!$B$4="","",발령대장_설정!$B$4))</x:f>
        <x:v>#NAME?</x:v>
      </x:c>
      <x:c r="C393" s="27" t="e">
        <x:f>IF($A393="","",대장!D196)</x:f>
        <x:v>#NAME?</x:v>
      </x:c>
      <x:c r="D393" s="27" t="e">
        <x:f>IF($A393="","",대장!A196)</x:f>
        <x:v>#NAME?</x:v>
      </x:c>
      <x:c r="E393" s="27" t="e">
        <x:f>IF($A393="","",IF(대장!J196&lt;&gt;"",대장!J196,대장!D196&amp;"에 임함"&amp;IF(대장!E196="","",CHAR(10)&amp;"고용형태: "&amp;대장!E196)&amp;IF(대장!I196="","",CHAR(10)&amp;"소정근로시간: "&amp;대장!I196)&amp;CHAR(10)&amp;"근로기간: "&amp;YEAR(대장!F196)&amp;"."&amp;MONTH(대장!F196)&amp;"."&amp;DAY(대장!F196)&amp;"."&amp;" ~ "&amp;IF(ISNUMBER(대장!G196),YEAR(대장!G196)&amp;"."&amp;MONTH(대장!G196)&amp;"."&amp;DAY(대장!G196)&amp;".","재직 중")))</x:f>
        <x:v>#NAME?</x:v>
      </x:c>
      <x:c r="F393" s="27" t="e">
        <x:f>IF($A393="","",IF(발령대장_설정!$B$5="","",발령대장_설정!$B$5))</x:f>
        <x:v>#NAME?</x:v>
      </x:c>
      <x:c r="G393" s="27" t="e">
        <x:f>IF($A393="","",IF(발령대장_설정!$B$6="","",발령대장_설정!$B$6))</x:f>
        <x:v>#NAME?</x:v>
      </x:c>
      <x:c r="H393" s="27" t="e">
        <x:f>IF($A393="","",IF(발령대장_설정!$B$7="","",발령대장_설정!$B$7))</x:f>
        <x:v>#NAME?</x:v>
      </x:c>
      <x:c r="I393" s="27" t="e">
        <x:f>IF($A393="","",IF(발령대장_설정!$B$8="","",발령대장_설정!$B$8))</x:f>
        <x:v>#NAME?</x:v>
      </x:c>
      <x:c r="J393" s="27" t="e">
        <x:f>IF($A393="","",IF(대장!K196="","",대장!K196))</x:f>
        <x:v>#NAME?</x:v>
      </x:c>
    </x:row>
    <x:row r="394" ht="42" customHeight="1">
      <x:c r="A394" s="47" t="e">
        <x:f>IF(AND(대장!A196&lt;&gt;"",ISNUMBER(대장!F196),ISNUMBER(대장!G196),대장!G196&gt;=대장!F196,대장!H196&lt;&gt;""),대장!G196,"")</x:f>
        <x:v>#NAME?</x:v>
      </x:c>
      <x:c r="B394" s="27" t="e">
        <x:f>IF($A394="","",IF(발령대장_설정!$B$4="","",발령대장_설정!$B$4))</x:f>
        <x:v>#NAME?</x:v>
      </x:c>
      <x:c r="C394" s="27" t="e">
        <x:f>IF($A394="","",대장!D196)</x:f>
        <x:v>#NAME?</x:v>
      </x:c>
      <x:c r="D394" s="27" t="e">
        <x:f>IF($A394="","",대장!A196)</x:f>
        <x:v>#NAME?</x:v>
      </x:c>
      <x:c r="E394" s="27" t="e">
        <x:f>IF($A394="","",IF(OR(ISNUMBER(SEARCH("계약만료",대장!H196&amp;"")),ISNUMBER(SEARCH("기간만료",대장!H196&amp;""))),"계약기간 만료로 퇴직",IF(ISNUMBER(SEARCH("의원면직",대장!H196&amp;"")),"의원면직",IF(ISNUMBER(SEARCH("정년퇴직",대장!H196&amp;"")),"정년퇴직",대장!H196))))</x:f>
        <x:v>#NAME?</x:v>
      </x:c>
      <x:c r="F394" s="27" t="e">
        <x:f>IF($A394="","",IF(발령대장_설정!$B$5="","",발령대장_설정!$B$5))</x:f>
        <x:v>#NAME?</x:v>
      </x:c>
      <x:c r="G394" s="27" t="e">
        <x:f>IF($A394="","",IF(발령대장_설정!$B$6="","",발령대장_설정!$B$6))</x:f>
        <x:v>#NAME?</x:v>
      </x:c>
      <x:c r="H394" s="27" t="e">
        <x:f>IF($A394="","",IF(발령대장_설정!$B$7="","",발령대장_설정!$B$7))</x:f>
        <x:v>#NAME?</x:v>
      </x:c>
      <x:c r="I394" s="27" t="e">
        <x:f>IF($A394="","",IF(발령대장_설정!$B$8="","",발령대장_설정!$B$8))</x:f>
        <x:v>#NAME?</x:v>
      </x:c>
      <x:c r="J394" s="27" t="str">
        <x:f>""</x:f>
      </x:c>
    </x:row>
    <x:row r="395" ht="42" customHeight="1">
      <x:c r="A395" s="47" t="e">
        <x:f>IF(AND(대장!A197&lt;&gt;"",ISNUMBER(대장!F197),OR(대장!G197="",AND(ISNUMBER(대장!G197),대장!G197&gt;=대장!F197))),대장!F197,"")</x:f>
        <x:v>#NAME?</x:v>
      </x:c>
      <x:c r="B395" s="27" t="e">
        <x:f>IF($A395="","",IF(발령대장_설정!$B$4="","",발령대장_설정!$B$4))</x:f>
        <x:v>#NAME?</x:v>
      </x:c>
      <x:c r="C395" s="27" t="e">
        <x:f>IF($A395="","",대장!D197)</x:f>
        <x:v>#NAME?</x:v>
      </x:c>
      <x:c r="D395" s="27" t="e">
        <x:f>IF($A395="","",대장!A197)</x:f>
        <x:v>#NAME?</x:v>
      </x:c>
      <x:c r="E395" s="27" t="e">
        <x:f>IF($A395="","",IF(대장!J197&lt;&gt;"",대장!J197,대장!D197&amp;"에 임함"&amp;IF(대장!E197="","",CHAR(10)&amp;"고용형태: "&amp;대장!E197)&amp;IF(대장!I197="","",CHAR(10)&amp;"소정근로시간: "&amp;대장!I197)&amp;CHAR(10)&amp;"근로기간: "&amp;YEAR(대장!F197)&amp;"."&amp;MONTH(대장!F197)&amp;"."&amp;DAY(대장!F197)&amp;"."&amp;" ~ "&amp;IF(ISNUMBER(대장!G197),YEAR(대장!G197)&amp;"."&amp;MONTH(대장!G197)&amp;"."&amp;DAY(대장!G197)&amp;".","재직 중")))</x:f>
        <x:v>#NAME?</x:v>
      </x:c>
      <x:c r="F395" s="27" t="e">
        <x:f>IF($A395="","",IF(발령대장_설정!$B$5="","",발령대장_설정!$B$5))</x:f>
        <x:v>#NAME?</x:v>
      </x:c>
      <x:c r="G395" s="27" t="e">
        <x:f>IF($A395="","",IF(발령대장_설정!$B$6="","",발령대장_설정!$B$6))</x:f>
        <x:v>#NAME?</x:v>
      </x:c>
      <x:c r="H395" s="27" t="e">
        <x:f>IF($A395="","",IF(발령대장_설정!$B$7="","",발령대장_설정!$B$7))</x:f>
        <x:v>#NAME?</x:v>
      </x:c>
      <x:c r="I395" s="27" t="e">
        <x:f>IF($A395="","",IF(발령대장_설정!$B$8="","",발령대장_설정!$B$8))</x:f>
        <x:v>#NAME?</x:v>
      </x:c>
      <x:c r="J395" s="27" t="e">
        <x:f>IF($A395="","",IF(대장!K197="","",대장!K197))</x:f>
        <x:v>#NAME?</x:v>
      </x:c>
    </x:row>
    <x:row r="396" ht="42" customHeight="1">
      <x:c r="A396" s="47" t="e">
        <x:f>IF(AND(대장!A197&lt;&gt;"",ISNUMBER(대장!F197),ISNUMBER(대장!G197),대장!G197&gt;=대장!F197,대장!H197&lt;&gt;""),대장!G197,"")</x:f>
        <x:v>#NAME?</x:v>
      </x:c>
      <x:c r="B396" s="27" t="e">
        <x:f>IF($A396="","",IF(발령대장_설정!$B$4="","",발령대장_설정!$B$4))</x:f>
        <x:v>#NAME?</x:v>
      </x:c>
      <x:c r="C396" s="27" t="e">
        <x:f>IF($A396="","",대장!D197)</x:f>
        <x:v>#NAME?</x:v>
      </x:c>
      <x:c r="D396" s="27" t="e">
        <x:f>IF($A396="","",대장!A197)</x:f>
        <x:v>#NAME?</x:v>
      </x:c>
      <x:c r="E396" s="27" t="e">
        <x:f>IF($A396="","",IF(OR(ISNUMBER(SEARCH("계약만료",대장!H197&amp;"")),ISNUMBER(SEARCH("기간만료",대장!H197&amp;""))),"계약기간 만료로 퇴직",IF(ISNUMBER(SEARCH("의원면직",대장!H197&amp;"")),"의원면직",IF(ISNUMBER(SEARCH("정년퇴직",대장!H197&amp;"")),"정년퇴직",대장!H197))))</x:f>
        <x:v>#NAME?</x:v>
      </x:c>
      <x:c r="F396" s="27" t="e">
        <x:f>IF($A396="","",IF(발령대장_설정!$B$5="","",발령대장_설정!$B$5))</x:f>
        <x:v>#NAME?</x:v>
      </x:c>
      <x:c r="G396" s="27" t="e">
        <x:f>IF($A396="","",IF(발령대장_설정!$B$6="","",발령대장_설정!$B$6))</x:f>
        <x:v>#NAME?</x:v>
      </x:c>
      <x:c r="H396" s="27" t="e">
        <x:f>IF($A396="","",IF(발령대장_설정!$B$7="","",발령대장_설정!$B$7))</x:f>
        <x:v>#NAME?</x:v>
      </x:c>
      <x:c r="I396" s="27" t="e">
        <x:f>IF($A396="","",IF(발령대장_설정!$B$8="","",발령대장_설정!$B$8))</x:f>
        <x:v>#NAME?</x:v>
      </x:c>
      <x:c r="J396" s="27" t="str">
        <x:f>""</x:f>
      </x:c>
    </x:row>
    <x:row r="397" ht="42" customHeight="1">
      <x:c r="A397" s="47" t="e">
        <x:f>IF(AND(대장!A198&lt;&gt;"",ISNUMBER(대장!F198),OR(대장!G198="",AND(ISNUMBER(대장!G198),대장!G198&gt;=대장!F198))),대장!F198,"")</x:f>
        <x:v>#NAME?</x:v>
      </x:c>
      <x:c r="B397" s="27" t="e">
        <x:f>IF($A397="","",IF(발령대장_설정!$B$4="","",발령대장_설정!$B$4))</x:f>
        <x:v>#NAME?</x:v>
      </x:c>
      <x:c r="C397" s="27" t="e">
        <x:f>IF($A397="","",대장!D198)</x:f>
        <x:v>#NAME?</x:v>
      </x:c>
      <x:c r="D397" s="27" t="e">
        <x:f>IF($A397="","",대장!A198)</x:f>
        <x:v>#NAME?</x:v>
      </x:c>
      <x:c r="E397" s="27" t="e">
        <x:f>IF($A397="","",IF(대장!J198&lt;&gt;"",대장!J198,대장!D198&amp;"에 임함"&amp;IF(대장!E198="","",CHAR(10)&amp;"고용형태: "&amp;대장!E198)&amp;IF(대장!I198="","",CHAR(10)&amp;"소정근로시간: "&amp;대장!I198)&amp;CHAR(10)&amp;"근로기간: "&amp;YEAR(대장!F198)&amp;"."&amp;MONTH(대장!F198)&amp;"."&amp;DAY(대장!F198)&amp;"."&amp;" ~ "&amp;IF(ISNUMBER(대장!G198),YEAR(대장!G198)&amp;"."&amp;MONTH(대장!G198)&amp;"."&amp;DAY(대장!G198)&amp;".","재직 중")))</x:f>
        <x:v>#NAME?</x:v>
      </x:c>
      <x:c r="F397" s="27" t="e">
        <x:f>IF($A397="","",IF(발령대장_설정!$B$5="","",발령대장_설정!$B$5))</x:f>
        <x:v>#NAME?</x:v>
      </x:c>
      <x:c r="G397" s="27" t="e">
        <x:f>IF($A397="","",IF(발령대장_설정!$B$6="","",발령대장_설정!$B$6))</x:f>
        <x:v>#NAME?</x:v>
      </x:c>
      <x:c r="H397" s="27" t="e">
        <x:f>IF($A397="","",IF(발령대장_설정!$B$7="","",발령대장_설정!$B$7))</x:f>
        <x:v>#NAME?</x:v>
      </x:c>
      <x:c r="I397" s="27" t="e">
        <x:f>IF($A397="","",IF(발령대장_설정!$B$8="","",발령대장_설정!$B$8))</x:f>
        <x:v>#NAME?</x:v>
      </x:c>
      <x:c r="J397" s="27" t="e">
        <x:f>IF($A397="","",IF(대장!K198="","",대장!K198))</x:f>
        <x:v>#NAME?</x:v>
      </x:c>
    </x:row>
    <x:row r="398" ht="42" customHeight="1">
      <x:c r="A398" s="47" t="e">
        <x:f>IF(AND(대장!A198&lt;&gt;"",ISNUMBER(대장!F198),ISNUMBER(대장!G198),대장!G198&gt;=대장!F198,대장!H198&lt;&gt;""),대장!G198,"")</x:f>
        <x:v>#NAME?</x:v>
      </x:c>
      <x:c r="B398" s="27" t="e">
        <x:f>IF($A398="","",IF(발령대장_설정!$B$4="","",발령대장_설정!$B$4))</x:f>
        <x:v>#NAME?</x:v>
      </x:c>
      <x:c r="C398" s="27" t="e">
        <x:f>IF($A398="","",대장!D198)</x:f>
        <x:v>#NAME?</x:v>
      </x:c>
      <x:c r="D398" s="27" t="e">
        <x:f>IF($A398="","",대장!A198)</x:f>
        <x:v>#NAME?</x:v>
      </x:c>
      <x:c r="E398" s="27" t="e">
        <x:f>IF($A398="","",IF(OR(ISNUMBER(SEARCH("계약만료",대장!H198&amp;"")),ISNUMBER(SEARCH("기간만료",대장!H198&amp;""))),"계약기간 만료로 퇴직",IF(ISNUMBER(SEARCH("의원면직",대장!H198&amp;"")),"의원면직",IF(ISNUMBER(SEARCH("정년퇴직",대장!H198&amp;"")),"정년퇴직",대장!H198))))</x:f>
        <x:v>#NAME?</x:v>
      </x:c>
      <x:c r="F398" s="27" t="e">
        <x:f>IF($A398="","",IF(발령대장_설정!$B$5="","",발령대장_설정!$B$5))</x:f>
        <x:v>#NAME?</x:v>
      </x:c>
      <x:c r="G398" s="27" t="e">
        <x:f>IF($A398="","",IF(발령대장_설정!$B$6="","",발령대장_설정!$B$6))</x:f>
        <x:v>#NAME?</x:v>
      </x:c>
      <x:c r="H398" s="27" t="e">
        <x:f>IF($A398="","",IF(발령대장_설정!$B$7="","",발령대장_설정!$B$7))</x:f>
        <x:v>#NAME?</x:v>
      </x:c>
      <x:c r="I398" s="27" t="e">
        <x:f>IF($A398="","",IF(발령대장_설정!$B$8="","",발령대장_설정!$B$8))</x:f>
        <x:v>#NAME?</x:v>
      </x:c>
      <x:c r="J398" s="27" t="str">
        <x:f>""</x:f>
      </x:c>
    </x:row>
    <x:row r="399" ht="42" customHeight="1">
      <x:c r="A399" s="47" t="e">
        <x:f>IF(AND(대장!A199&lt;&gt;"",ISNUMBER(대장!F199),OR(대장!G199="",AND(ISNUMBER(대장!G199),대장!G199&gt;=대장!F199))),대장!F199,"")</x:f>
        <x:v>#NAME?</x:v>
      </x:c>
      <x:c r="B399" s="27" t="e">
        <x:f>IF($A399="","",IF(발령대장_설정!$B$4="","",발령대장_설정!$B$4))</x:f>
        <x:v>#NAME?</x:v>
      </x:c>
      <x:c r="C399" s="27" t="e">
        <x:f>IF($A399="","",대장!D199)</x:f>
        <x:v>#NAME?</x:v>
      </x:c>
      <x:c r="D399" s="27" t="e">
        <x:f>IF($A399="","",대장!A199)</x:f>
        <x:v>#NAME?</x:v>
      </x:c>
      <x:c r="E399" s="27" t="e">
        <x:f>IF($A399="","",IF(대장!J199&lt;&gt;"",대장!J199,대장!D199&amp;"에 임함"&amp;IF(대장!E199="","",CHAR(10)&amp;"고용형태: "&amp;대장!E199)&amp;IF(대장!I199="","",CHAR(10)&amp;"소정근로시간: "&amp;대장!I199)&amp;CHAR(10)&amp;"근로기간: "&amp;YEAR(대장!F199)&amp;"."&amp;MONTH(대장!F199)&amp;"."&amp;DAY(대장!F199)&amp;"."&amp;" ~ "&amp;IF(ISNUMBER(대장!G199),YEAR(대장!G199)&amp;"."&amp;MONTH(대장!G199)&amp;"."&amp;DAY(대장!G199)&amp;".","재직 중")))</x:f>
        <x:v>#NAME?</x:v>
      </x:c>
      <x:c r="F399" s="27" t="e">
        <x:f>IF($A399="","",IF(발령대장_설정!$B$5="","",발령대장_설정!$B$5))</x:f>
        <x:v>#NAME?</x:v>
      </x:c>
      <x:c r="G399" s="27" t="e">
        <x:f>IF($A399="","",IF(발령대장_설정!$B$6="","",발령대장_설정!$B$6))</x:f>
        <x:v>#NAME?</x:v>
      </x:c>
      <x:c r="H399" s="27" t="e">
        <x:f>IF($A399="","",IF(발령대장_설정!$B$7="","",발령대장_설정!$B$7))</x:f>
        <x:v>#NAME?</x:v>
      </x:c>
      <x:c r="I399" s="27" t="e">
        <x:f>IF($A399="","",IF(발령대장_설정!$B$8="","",발령대장_설정!$B$8))</x:f>
        <x:v>#NAME?</x:v>
      </x:c>
      <x:c r="J399" s="27" t="e">
        <x:f>IF($A399="","",IF(대장!K199="","",대장!K199))</x:f>
        <x:v>#NAME?</x:v>
      </x:c>
    </x:row>
    <x:row r="400" ht="42" customHeight="1">
      <x:c r="A400" s="47" t="e">
        <x:f>IF(AND(대장!A199&lt;&gt;"",ISNUMBER(대장!F199),ISNUMBER(대장!G199),대장!G199&gt;=대장!F199,대장!H199&lt;&gt;""),대장!G199,"")</x:f>
        <x:v>#NAME?</x:v>
      </x:c>
      <x:c r="B400" s="27" t="e">
        <x:f>IF($A400="","",IF(발령대장_설정!$B$4="","",발령대장_설정!$B$4))</x:f>
        <x:v>#NAME?</x:v>
      </x:c>
      <x:c r="C400" s="27" t="e">
        <x:f>IF($A400="","",대장!D199)</x:f>
        <x:v>#NAME?</x:v>
      </x:c>
      <x:c r="D400" s="27" t="e">
        <x:f>IF($A400="","",대장!A199)</x:f>
        <x:v>#NAME?</x:v>
      </x:c>
      <x:c r="E400" s="27" t="e">
        <x:f>IF($A400="","",IF(OR(ISNUMBER(SEARCH("계약만료",대장!H199&amp;"")),ISNUMBER(SEARCH("기간만료",대장!H199&amp;""))),"계약기간 만료로 퇴직",IF(ISNUMBER(SEARCH("의원면직",대장!H199&amp;"")),"의원면직",IF(ISNUMBER(SEARCH("정년퇴직",대장!H199&amp;"")),"정년퇴직",대장!H199))))</x:f>
        <x:v>#NAME?</x:v>
      </x:c>
      <x:c r="F400" s="27" t="e">
        <x:f>IF($A400="","",IF(발령대장_설정!$B$5="","",발령대장_설정!$B$5))</x:f>
        <x:v>#NAME?</x:v>
      </x:c>
      <x:c r="G400" s="27" t="e">
        <x:f>IF($A400="","",IF(발령대장_설정!$B$6="","",발령대장_설정!$B$6))</x:f>
        <x:v>#NAME?</x:v>
      </x:c>
      <x:c r="H400" s="27" t="e">
        <x:f>IF($A400="","",IF(발령대장_설정!$B$7="","",발령대장_설정!$B$7))</x:f>
        <x:v>#NAME?</x:v>
      </x:c>
      <x:c r="I400" s="27" t="e">
        <x:f>IF($A400="","",IF(발령대장_설정!$B$8="","",발령대장_설정!$B$8))</x:f>
        <x:v>#NAME?</x:v>
      </x:c>
      <x:c r="J400" s="27" t="str">
        <x:f>""</x:f>
      </x:c>
    </x:row>
    <x:row r="401" ht="42" customHeight="1">
      <x:c r="A401" s="47" t="e">
        <x:f>IF(AND(대장!A200&lt;&gt;"",ISNUMBER(대장!F200),OR(대장!G200="",AND(ISNUMBER(대장!G200),대장!G200&gt;=대장!F200))),대장!F200,"")</x:f>
        <x:v>#NAME?</x:v>
      </x:c>
      <x:c r="B401" s="27" t="e">
        <x:f>IF($A401="","",IF(발령대장_설정!$B$4="","",발령대장_설정!$B$4))</x:f>
        <x:v>#NAME?</x:v>
      </x:c>
      <x:c r="C401" s="27" t="e">
        <x:f>IF($A401="","",대장!D200)</x:f>
        <x:v>#NAME?</x:v>
      </x:c>
      <x:c r="D401" s="27" t="e">
        <x:f>IF($A401="","",대장!A200)</x:f>
        <x:v>#NAME?</x:v>
      </x:c>
      <x:c r="E401" s="27" t="e">
        <x:f>IF($A401="","",IF(대장!J200&lt;&gt;"",대장!J200,대장!D200&amp;"에 임함"&amp;IF(대장!E200="","",CHAR(10)&amp;"고용형태: "&amp;대장!E200)&amp;IF(대장!I200="","",CHAR(10)&amp;"소정근로시간: "&amp;대장!I200)&amp;CHAR(10)&amp;"근로기간: "&amp;YEAR(대장!F200)&amp;"."&amp;MONTH(대장!F200)&amp;"."&amp;DAY(대장!F200)&amp;"."&amp;" ~ "&amp;IF(ISNUMBER(대장!G200),YEAR(대장!G200)&amp;"."&amp;MONTH(대장!G200)&amp;"."&amp;DAY(대장!G200)&amp;".","재직 중")))</x:f>
        <x:v>#NAME?</x:v>
      </x:c>
      <x:c r="F401" s="27" t="e">
        <x:f>IF($A401="","",IF(발령대장_설정!$B$5="","",발령대장_설정!$B$5))</x:f>
        <x:v>#NAME?</x:v>
      </x:c>
      <x:c r="G401" s="27" t="e">
        <x:f>IF($A401="","",IF(발령대장_설정!$B$6="","",발령대장_설정!$B$6))</x:f>
        <x:v>#NAME?</x:v>
      </x:c>
      <x:c r="H401" s="27" t="e">
        <x:f>IF($A401="","",IF(발령대장_설정!$B$7="","",발령대장_설정!$B$7))</x:f>
        <x:v>#NAME?</x:v>
      </x:c>
      <x:c r="I401" s="27" t="e">
        <x:f>IF($A401="","",IF(발령대장_설정!$B$8="","",발령대장_설정!$B$8))</x:f>
        <x:v>#NAME?</x:v>
      </x:c>
      <x:c r="J401" s="27" t="e">
        <x:f>IF($A401="","",IF(대장!K200="","",대장!K200))</x:f>
        <x:v>#NAME?</x:v>
      </x:c>
    </x:row>
    <x:row r="402" ht="42" customHeight="1">
      <x:c r="A402" s="47" t="e">
        <x:f>IF(AND(대장!A200&lt;&gt;"",ISNUMBER(대장!F200),ISNUMBER(대장!G200),대장!G200&gt;=대장!F200,대장!H200&lt;&gt;""),대장!G200,"")</x:f>
        <x:v>#NAME?</x:v>
      </x:c>
      <x:c r="B402" s="27" t="e">
        <x:f>IF($A402="","",IF(발령대장_설정!$B$4="","",발령대장_설정!$B$4))</x:f>
        <x:v>#NAME?</x:v>
      </x:c>
      <x:c r="C402" s="27" t="e">
        <x:f>IF($A402="","",대장!D200)</x:f>
        <x:v>#NAME?</x:v>
      </x:c>
      <x:c r="D402" s="27" t="e">
        <x:f>IF($A402="","",대장!A200)</x:f>
        <x:v>#NAME?</x:v>
      </x:c>
      <x:c r="E402" s="27" t="e">
        <x:f>IF($A402="","",IF(OR(ISNUMBER(SEARCH("계약만료",대장!H200&amp;"")),ISNUMBER(SEARCH("기간만료",대장!H200&amp;""))),"계약기간 만료로 퇴직",IF(ISNUMBER(SEARCH("의원면직",대장!H200&amp;"")),"의원면직",IF(ISNUMBER(SEARCH("정년퇴직",대장!H200&amp;"")),"정년퇴직",대장!H200))))</x:f>
        <x:v>#NAME?</x:v>
      </x:c>
      <x:c r="F402" s="27" t="e">
        <x:f>IF($A402="","",IF(발령대장_설정!$B$5="","",발령대장_설정!$B$5))</x:f>
        <x:v>#NAME?</x:v>
      </x:c>
      <x:c r="G402" s="27" t="e">
        <x:f>IF($A402="","",IF(발령대장_설정!$B$6="","",발령대장_설정!$B$6))</x:f>
        <x:v>#NAME?</x:v>
      </x:c>
      <x:c r="H402" s="27" t="e">
        <x:f>IF($A402="","",IF(발령대장_설정!$B$7="","",발령대장_설정!$B$7))</x:f>
        <x:v>#NAME?</x:v>
      </x:c>
      <x:c r="I402" s="27" t="e">
        <x:f>IF($A402="","",IF(발령대장_설정!$B$8="","",발령대장_설정!$B$8))</x:f>
        <x:v>#NAME?</x:v>
      </x:c>
      <x:c r="J402" s="27" t="str">
        <x:f>""</x:f>
      </x:c>
    </x:row>
    <x:row r="403" ht="42" customHeight="1">
      <x:c r="A403" s="47" t="e">
        <x:f>IF(AND(대장!A201&lt;&gt;"",ISNUMBER(대장!F201),OR(대장!G201="",AND(ISNUMBER(대장!G201),대장!G201&gt;=대장!F201))),대장!F201,"")</x:f>
        <x:v>#NAME?</x:v>
      </x:c>
      <x:c r="B403" s="27" t="e">
        <x:f>IF($A403="","",IF(발령대장_설정!$B$4="","",발령대장_설정!$B$4))</x:f>
        <x:v>#NAME?</x:v>
      </x:c>
      <x:c r="C403" s="27" t="e">
        <x:f>IF($A403="","",대장!D201)</x:f>
        <x:v>#NAME?</x:v>
      </x:c>
      <x:c r="D403" s="27" t="e">
        <x:f>IF($A403="","",대장!A201)</x:f>
        <x:v>#NAME?</x:v>
      </x:c>
      <x:c r="E403" s="27" t="e">
        <x:f>IF($A403="","",IF(대장!J201&lt;&gt;"",대장!J201,대장!D201&amp;"에 임함"&amp;IF(대장!E201="","",CHAR(10)&amp;"고용형태: "&amp;대장!E201)&amp;IF(대장!I201="","",CHAR(10)&amp;"소정근로시간: "&amp;대장!I201)&amp;CHAR(10)&amp;"근로기간: "&amp;YEAR(대장!F201)&amp;"."&amp;MONTH(대장!F201)&amp;"."&amp;DAY(대장!F201)&amp;"."&amp;" ~ "&amp;IF(ISNUMBER(대장!G201),YEAR(대장!G201)&amp;"."&amp;MONTH(대장!G201)&amp;"."&amp;DAY(대장!G201)&amp;".","재직 중")))</x:f>
        <x:v>#NAME?</x:v>
      </x:c>
      <x:c r="F403" s="27" t="e">
        <x:f>IF($A403="","",IF(발령대장_설정!$B$5="","",발령대장_설정!$B$5))</x:f>
        <x:v>#NAME?</x:v>
      </x:c>
      <x:c r="G403" s="27" t="e">
        <x:f>IF($A403="","",IF(발령대장_설정!$B$6="","",발령대장_설정!$B$6))</x:f>
        <x:v>#NAME?</x:v>
      </x:c>
      <x:c r="H403" s="27" t="e">
        <x:f>IF($A403="","",IF(발령대장_설정!$B$7="","",발령대장_설정!$B$7))</x:f>
        <x:v>#NAME?</x:v>
      </x:c>
      <x:c r="I403" s="27" t="e">
        <x:f>IF($A403="","",IF(발령대장_설정!$B$8="","",발령대장_설정!$B$8))</x:f>
        <x:v>#NAME?</x:v>
      </x:c>
      <x:c r="J403" s="27" t="e">
        <x:f>IF($A403="","",IF(대장!K201="","",대장!K201))</x:f>
        <x:v>#NAME?</x:v>
      </x:c>
    </x:row>
    <x:row r="404" ht="42" customHeight="1">
      <x:c r="A404" s="47" t="e">
        <x:f>IF(AND(대장!A201&lt;&gt;"",ISNUMBER(대장!F201),ISNUMBER(대장!G201),대장!G201&gt;=대장!F201,대장!H201&lt;&gt;""),대장!G201,"")</x:f>
        <x:v>#NAME?</x:v>
      </x:c>
      <x:c r="B404" s="27" t="e">
        <x:f>IF($A404="","",IF(발령대장_설정!$B$4="","",발령대장_설정!$B$4))</x:f>
        <x:v>#NAME?</x:v>
      </x:c>
      <x:c r="C404" s="27" t="e">
        <x:f>IF($A404="","",대장!D201)</x:f>
        <x:v>#NAME?</x:v>
      </x:c>
      <x:c r="D404" s="27" t="e">
        <x:f>IF($A404="","",대장!A201)</x:f>
        <x:v>#NAME?</x:v>
      </x:c>
      <x:c r="E404" s="27" t="e">
        <x:f>IF($A404="","",IF(OR(ISNUMBER(SEARCH("계약만료",대장!H201&amp;"")),ISNUMBER(SEARCH("기간만료",대장!H201&amp;""))),"계약기간 만료로 퇴직",IF(ISNUMBER(SEARCH("의원면직",대장!H201&amp;"")),"의원면직",IF(ISNUMBER(SEARCH("정년퇴직",대장!H201&amp;"")),"정년퇴직",대장!H201))))</x:f>
        <x:v>#NAME?</x:v>
      </x:c>
      <x:c r="F404" s="27" t="e">
        <x:f>IF($A404="","",IF(발령대장_설정!$B$5="","",발령대장_설정!$B$5))</x:f>
        <x:v>#NAME?</x:v>
      </x:c>
      <x:c r="G404" s="27" t="e">
        <x:f>IF($A404="","",IF(발령대장_설정!$B$6="","",발령대장_설정!$B$6))</x:f>
        <x:v>#NAME?</x:v>
      </x:c>
      <x:c r="H404" s="27" t="e">
        <x:f>IF($A404="","",IF(발령대장_설정!$B$7="","",발령대장_설정!$B$7))</x:f>
        <x:v>#NAME?</x:v>
      </x:c>
      <x:c r="I404" s="27" t="e">
        <x:f>IF($A404="","",IF(발령대장_설정!$B$8="","",발령대장_설정!$B$8))</x:f>
        <x:v>#NAME?</x:v>
      </x:c>
      <x:c r="J404" s="27" t="str">
        <x:f>""</x:f>
      </x:c>
    </x:row>
    <x:row r="405" ht="42" customHeight="1">
      <x:c r="A405" s="47" t="e">
        <x:f>IF(AND(대장!A202&lt;&gt;"",ISNUMBER(대장!F202),OR(대장!G202="",AND(ISNUMBER(대장!G202),대장!G202&gt;=대장!F202))),대장!F202,"")</x:f>
        <x:v>#NAME?</x:v>
      </x:c>
      <x:c r="B405" s="27" t="e">
        <x:f>IF($A405="","",IF(발령대장_설정!$B$4="","",발령대장_설정!$B$4))</x:f>
        <x:v>#NAME?</x:v>
      </x:c>
      <x:c r="C405" s="27" t="e">
        <x:f>IF($A405="","",대장!D202)</x:f>
        <x:v>#NAME?</x:v>
      </x:c>
      <x:c r="D405" s="27" t="e">
        <x:f>IF($A405="","",대장!A202)</x:f>
        <x:v>#NAME?</x:v>
      </x:c>
      <x:c r="E405" s="27" t="e">
        <x:f>IF($A405="","",IF(대장!J202&lt;&gt;"",대장!J202,대장!D202&amp;"에 임함"&amp;IF(대장!E202="","",CHAR(10)&amp;"고용형태: "&amp;대장!E202)&amp;IF(대장!I202="","",CHAR(10)&amp;"소정근로시간: "&amp;대장!I202)&amp;CHAR(10)&amp;"근로기간: "&amp;YEAR(대장!F202)&amp;"."&amp;MONTH(대장!F202)&amp;"."&amp;DAY(대장!F202)&amp;"."&amp;" ~ "&amp;IF(ISNUMBER(대장!G202),YEAR(대장!G202)&amp;"."&amp;MONTH(대장!G202)&amp;"."&amp;DAY(대장!G202)&amp;".","재직 중")))</x:f>
        <x:v>#NAME?</x:v>
      </x:c>
      <x:c r="F405" s="27" t="e">
        <x:f>IF($A405="","",IF(발령대장_설정!$B$5="","",발령대장_설정!$B$5))</x:f>
        <x:v>#NAME?</x:v>
      </x:c>
      <x:c r="G405" s="27" t="e">
        <x:f>IF($A405="","",IF(발령대장_설정!$B$6="","",발령대장_설정!$B$6))</x:f>
        <x:v>#NAME?</x:v>
      </x:c>
      <x:c r="H405" s="27" t="e">
        <x:f>IF($A405="","",IF(발령대장_설정!$B$7="","",발령대장_설정!$B$7))</x:f>
        <x:v>#NAME?</x:v>
      </x:c>
      <x:c r="I405" s="27" t="e">
        <x:f>IF($A405="","",IF(발령대장_설정!$B$8="","",발령대장_설정!$B$8))</x:f>
        <x:v>#NAME?</x:v>
      </x:c>
      <x:c r="J405" s="27" t="e">
        <x:f>IF($A405="","",IF(대장!K202="","",대장!K202))</x:f>
        <x:v>#NAME?</x:v>
      </x:c>
    </x:row>
    <x:row r="406" ht="42" customHeight="1">
      <x:c r="A406" s="47" t="e">
        <x:f>IF(AND(대장!A202&lt;&gt;"",ISNUMBER(대장!F202),ISNUMBER(대장!G202),대장!G202&gt;=대장!F202,대장!H202&lt;&gt;""),대장!G202,"")</x:f>
        <x:v>#NAME?</x:v>
      </x:c>
      <x:c r="B406" s="27" t="e">
        <x:f>IF($A406="","",IF(발령대장_설정!$B$4="","",발령대장_설정!$B$4))</x:f>
        <x:v>#NAME?</x:v>
      </x:c>
      <x:c r="C406" s="27" t="e">
        <x:f>IF($A406="","",대장!D202)</x:f>
        <x:v>#NAME?</x:v>
      </x:c>
      <x:c r="D406" s="27" t="e">
        <x:f>IF($A406="","",대장!A202)</x:f>
        <x:v>#NAME?</x:v>
      </x:c>
      <x:c r="E406" s="27" t="e">
        <x:f>IF($A406="","",IF(OR(ISNUMBER(SEARCH("계약만료",대장!H202&amp;"")),ISNUMBER(SEARCH("기간만료",대장!H202&amp;""))),"계약기간 만료로 퇴직",IF(ISNUMBER(SEARCH("의원면직",대장!H202&amp;"")),"의원면직",IF(ISNUMBER(SEARCH("정년퇴직",대장!H202&amp;"")),"정년퇴직",대장!H202))))</x:f>
        <x:v>#NAME?</x:v>
      </x:c>
      <x:c r="F406" s="27" t="e">
        <x:f>IF($A406="","",IF(발령대장_설정!$B$5="","",발령대장_설정!$B$5))</x:f>
        <x:v>#NAME?</x:v>
      </x:c>
      <x:c r="G406" s="27" t="e">
        <x:f>IF($A406="","",IF(발령대장_설정!$B$6="","",발령대장_설정!$B$6))</x:f>
        <x:v>#NAME?</x:v>
      </x:c>
      <x:c r="H406" s="27" t="e">
        <x:f>IF($A406="","",IF(발령대장_설정!$B$7="","",발령대장_설정!$B$7))</x:f>
        <x:v>#NAME?</x:v>
      </x:c>
      <x:c r="I406" s="27" t="e">
        <x:f>IF($A406="","",IF(발령대장_설정!$B$8="","",발령대장_설정!$B$8))</x:f>
        <x:v>#NAME?</x:v>
      </x:c>
      <x:c r="J406" s="27" t="str">
        <x:f>""</x:f>
      </x:c>
    </x:row>
    <x:row r="407" ht="42" customHeight="1">
      <x:c r="A407" s="47" t="e">
        <x:f>IF(AND(대장!A203&lt;&gt;"",ISNUMBER(대장!F203),OR(대장!G203="",AND(ISNUMBER(대장!G203),대장!G203&gt;=대장!F203))),대장!F203,"")</x:f>
        <x:v>#NAME?</x:v>
      </x:c>
      <x:c r="B407" s="27" t="e">
        <x:f>IF($A407="","",IF(발령대장_설정!$B$4="","",발령대장_설정!$B$4))</x:f>
        <x:v>#NAME?</x:v>
      </x:c>
      <x:c r="C407" s="27" t="e">
        <x:f>IF($A407="","",대장!D203)</x:f>
        <x:v>#NAME?</x:v>
      </x:c>
      <x:c r="D407" s="27" t="e">
        <x:f>IF($A407="","",대장!A203)</x:f>
        <x:v>#NAME?</x:v>
      </x:c>
      <x:c r="E407" s="27" t="e">
        <x:f>IF($A407="","",IF(대장!J203&lt;&gt;"",대장!J203,대장!D203&amp;"에 임함"&amp;IF(대장!E203="","",CHAR(10)&amp;"고용형태: "&amp;대장!E203)&amp;IF(대장!I203="","",CHAR(10)&amp;"소정근로시간: "&amp;대장!I203)&amp;CHAR(10)&amp;"근로기간: "&amp;YEAR(대장!F203)&amp;"."&amp;MONTH(대장!F203)&amp;"."&amp;DAY(대장!F203)&amp;"."&amp;" ~ "&amp;IF(ISNUMBER(대장!G203),YEAR(대장!G203)&amp;"."&amp;MONTH(대장!G203)&amp;"."&amp;DAY(대장!G203)&amp;".","재직 중")))</x:f>
        <x:v>#NAME?</x:v>
      </x:c>
      <x:c r="F407" s="27" t="e">
        <x:f>IF($A407="","",IF(발령대장_설정!$B$5="","",발령대장_설정!$B$5))</x:f>
        <x:v>#NAME?</x:v>
      </x:c>
      <x:c r="G407" s="27" t="e">
        <x:f>IF($A407="","",IF(발령대장_설정!$B$6="","",발령대장_설정!$B$6))</x:f>
        <x:v>#NAME?</x:v>
      </x:c>
      <x:c r="H407" s="27" t="e">
        <x:f>IF($A407="","",IF(발령대장_설정!$B$7="","",발령대장_설정!$B$7))</x:f>
        <x:v>#NAME?</x:v>
      </x:c>
      <x:c r="I407" s="27" t="e">
        <x:f>IF($A407="","",IF(발령대장_설정!$B$8="","",발령대장_설정!$B$8))</x:f>
        <x:v>#NAME?</x:v>
      </x:c>
      <x:c r="J407" s="27" t="e">
        <x:f>IF($A407="","",IF(대장!K203="","",대장!K203))</x:f>
        <x:v>#NAME?</x:v>
      </x:c>
    </x:row>
    <x:row r="408" ht="42" customHeight="1">
      <x:c r="A408" s="47" t="e">
        <x:f>IF(AND(대장!A203&lt;&gt;"",ISNUMBER(대장!F203),ISNUMBER(대장!G203),대장!G203&gt;=대장!F203,대장!H203&lt;&gt;""),대장!G203,"")</x:f>
        <x:v>#NAME?</x:v>
      </x:c>
      <x:c r="B408" s="27" t="e">
        <x:f>IF($A408="","",IF(발령대장_설정!$B$4="","",발령대장_설정!$B$4))</x:f>
        <x:v>#NAME?</x:v>
      </x:c>
      <x:c r="C408" s="27" t="e">
        <x:f>IF($A408="","",대장!D203)</x:f>
        <x:v>#NAME?</x:v>
      </x:c>
      <x:c r="D408" s="27" t="e">
        <x:f>IF($A408="","",대장!A203)</x:f>
        <x:v>#NAME?</x:v>
      </x:c>
      <x:c r="E408" s="27" t="e">
        <x:f>IF($A408="","",IF(OR(ISNUMBER(SEARCH("계약만료",대장!H203&amp;"")),ISNUMBER(SEARCH("기간만료",대장!H203&amp;""))),"계약기간 만료로 퇴직",IF(ISNUMBER(SEARCH("의원면직",대장!H203&amp;"")),"의원면직",IF(ISNUMBER(SEARCH("정년퇴직",대장!H203&amp;"")),"정년퇴직",대장!H203))))</x:f>
        <x:v>#NAME?</x:v>
      </x:c>
      <x:c r="F408" s="27" t="e">
        <x:f>IF($A408="","",IF(발령대장_설정!$B$5="","",발령대장_설정!$B$5))</x:f>
        <x:v>#NAME?</x:v>
      </x:c>
      <x:c r="G408" s="27" t="e">
        <x:f>IF($A408="","",IF(발령대장_설정!$B$6="","",발령대장_설정!$B$6))</x:f>
        <x:v>#NAME?</x:v>
      </x:c>
      <x:c r="H408" s="27" t="e">
        <x:f>IF($A408="","",IF(발령대장_설정!$B$7="","",발령대장_설정!$B$7))</x:f>
        <x:v>#NAME?</x:v>
      </x:c>
      <x:c r="I408" s="27" t="e">
        <x:f>IF($A408="","",IF(발령대장_설정!$B$8="","",발령대장_설정!$B$8))</x:f>
        <x:v>#NAME?</x:v>
      </x:c>
      <x:c r="J408" s="27" t="str">
        <x:f>""</x:f>
      </x:c>
    </x:row>
    <x:row r="409" ht="42" customHeight="1">
      <x:c r="A409" s="47" t="e">
        <x:f>IF(AND(대장!A204&lt;&gt;"",ISNUMBER(대장!F204),OR(대장!G204="",AND(ISNUMBER(대장!G204),대장!G204&gt;=대장!F204))),대장!F204,"")</x:f>
        <x:v>#NAME?</x:v>
      </x:c>
      <x:c r="B409" s="27" t="e">
        <x:f>IF($A409="","",IF(발령대장_설정!$B$4="","",발령대장_설정!$B$4))</x:f>
        <x:v>#NAME?</x:v>
      </x:c>
      <x:c r="C409" s="27" t="e">
        <x:f>IF($A409="","",대장!D204)</x:f>
        <x:v>#NAME?</x:v>
      </x:c>
      <x:c r="D409" s="27" t="e">
        <x:f>IF($A409="","",대장!A204)</x:f>
        <x:v>#NAME?</x:v>
      </x:c>
      <x:c r="E409" s="27" t="e">
        <x:f>IF($A409="","",IF(대장!J204&lt;&gt;"",대장!J204,대장!D204&amp;"에 임함"&amp;IF(대장!E204="","",CHAR(10)&amp;"고용형태: "&amp;대장!E204)&amp;IF(대장!I204="","",CHAR(10)&amp;"소정근로시간: "&amp;대장!I204)&amp;CHAR(10)&amp;"근로기간: "&amp;YEAR(대장!F204)&amp;"."&amp;MONTH(대장!F204)&amp;"."&amp;DAY(대장!F204)&amp;"."&amp;" ~ "&amp;IF(ISNUMBER(대장!G204),YEAR(대장!G204)&amp;"."&amp;MONTH(대장!G204)&amp;"."&amp;DAY(대장!G204)&amp;".","재직 중")))</x:f>
        <x:v>#NAME?</x:v>
      </x:c>
      <x:c r="F409" s="27" t="e">
        <x:f>IF($A409="","",IF(발령대장_설정!$B$5="","",발령대장_설정!$B$5))</x:f>
        <x:v>#NAME?</x:v>
      </x:c>
      <x:c r="G409" s="27" t="e">
        <x:f>IF($A409="","",IF(발령대장_설정!$B$6="","",발령대장_설정!$B$6))</x:f>
        <x:v>#NAME?</x:v>
      </x:c>
      <x:c r="H409" s="27" t="e">
        <x:f>IF($A409="","",IF(발령대장_설정!$B$7="","",발령대장_설정!$B$7))</x:f>
        <x:v>#NAME?</x:v>
      </x:c>
      <x:c r="I409" s="27" t="e">
        <x:f>IF($A409="","",IF(발령대장_설정!$B$8="","",발령대장_설정!$B$8))</x:f>
        <x:v>#NAME?</x:v>
      </x:c>
      <x:c r="J409" s="27" t="e">
        <x:f>IF($A409="","",IF(대장!K204="","",대장!K204))</x:f>
        <x:v>#NAME?</x:v>
      </x:c>
    </x:row>
    <x:row r="410" ht="42" customHeight="1">
      <x:c r="A410" s="47" t="e">
        <x:f>IF(AND(대장!A204&lt;&gt;"",ISNUMBER(대장!F204),ISNUMBER(대장!G204),대장!G204&gt;=대장!F204,대장!H204&lt;&gt;""),대장!G204,"")</x:f>
        <x:v>#NAME?</x:v>
      </x:c>
      <x:c r="B410" s="27" t="e">
        <x:f>IF($A410="","",IF(발령대장_설정!$B$4="","",발령대장_설정!$B$4))</x:f>
        <x:v>#NAME?</x:v>
      </x:c>
      <x:c r="C410" s="27" t="e">
        <x:f>IF($A410="","",대장!D204)</x:f>
        <x:v>#NAME?</x:v>
      </x:c>
      <x:c r="D410" s="27" t="e">
        <x:f>IF($A410="","",대장!A204)</x:f>
        <x:v>#NAME?</x:v>
      </x:c>
      <x:c r="E410" s="27" t="e">
        <x:f>IF($A410="","",IF(OR(ISNUMBER(SEARCH("계약만료",대장!H204&amp;"")),ISNUMBER(SEARCH("기간만료",대장!H204&amp;""))),"계약기간 만료로 퇴직",IF(ISNUMBER(SEARCH("의원면직",대장!H204&amp;"")),"의원면직",IF(ISNUMBER(SEARCH("정년퇴직",대장!H204&amp;"")),"정년퇴직",대장!H204))))</x:f>
        <x:v>#NAME?</x:v>
      </x:c>
      <x:c r="F410" s="27" t="e">
        <x:f>IF($A410="","",IF(발령대장_설정!$B$5="","",발령대장_설정!$B$5))</x:f>
        <x:v>#NAME?</x:v>
      </x:c>
      <x:c r="G410" s="27" t="e">
        <x:f>IF($A410="","",IF(발령대장_설정!$B$6="","",발령대장_설정!$B$6))</x:f>
        <x:v>#NAME?</x:v>
      </x:c>
      <x:c r="H410" s="27" t="e">
        <x:f>IF($A410="","",IF(발령대장_설정!$B$7="","",발령대장_설정!$B$7))</x:f>
        <x:v>#NAME?</x:v>
      </x:c>
      <x:c r="I410" s="27" t="e">
        <x:f>IF($A410="","",IF(발령대장_설정!$B$8="","",발령대장_설정!$B$8))</x:f>
        <x:v>#NAME?</x:v>
      </x:c>
      <x:c r="J410" s="27" t="str">
        <x:f>""</x:f>
      </x:c>
    </x:row>
    <x:row r="411" ht="42" customHeight="1">
      <x:c r="A411" s="47" t="e">
        <x:f>IF(AND(대장!A205&lt;&gt;"",ISNUMBER(대장!F205),OR(대장!G205="",AND(ISNUMBER(대장!G205),대장!G205&gt;=대장!F205))),대장!F205,"")</x:f>
        <x:v>#NAME?</x:v>
      </x:c>
      <x:c r="B411" s="27" t="e">
        <x:f>IF($A411="","",IF(발령대장_설정!$B$4="","",발령대장_설정!$B$4))</x:f>
        <x:v>#NAME?</x:v>
      </x:c>
      <x:c r="C411" s="27" t="e">
        <x:f>IF($A411="","",대장!D205)</x:f>
        <x:v>#NAME?</x:v>
      </x:c>
      <x:c r="D411" s="27" t="e">
        <x:f>IF($A411="","",대장!A205)</x:f>
        <x:v>#NAME?</x:v>
      </x:c>
      <x:c r="E411" s="27" t="e">
        <x:f>IF($A411="","",IF(대장!J205&lt;&gt;"",대장!J205,대장!D205&amp;"에 임함"&amp;IF(대장!E205="","",CHAR(10)&amp;"고용형태: "&amp;대장!E205)&amp;IF(대장!I205="","",CHAR(10)&amp;"소정근로시간: "&amp;대장!I205)&amp;CHAR(10)&amp;"근로기간: "&amp;YEAR(대장!F205)&amp;"."&amp;MONTH(대장!F205)&amp;"."&amp;DAY(대장!F205)&amp;"."&amp;" ~ "&amp;IF(ISNUMBER(대장!G205),YEAR(대장!G205)&amp;"."&amp;MONTH(대장!G205)&amp;"."&amp;DAY(대장!G205)&amp;".","재직 중")))</x:f>
        <x:v>#NAME?</x:v>
      </x:c>
      <x:c r="F411" s="27" t="e">
        <x:f>IF($A411="","",IF(발령대장_설정!$B$5="","",발령대장_설정!$B$5))</x:f>
        <x:v>#NAME?</x:v>
      </x:c>
      <x:c r="G411" s="27" t="e">
        <x:f>IF($A411="","",IF(발령대장_설정!$B$6="","",발령대장_설정!$B$6))</x:f>
        <x:v>#NAME?</x:v>
      </x:c>
      <x:c r="H411" s="27" t="e">
        <x:f>IF($A411="","",IF(발령대장_설정!$B$7="","",발령대장_설정!$B$7))</x:f>
        <x:v>#NAME?</x:v>
      </x:c>
      <x:c r="I411" s="27" t="e">
        <x:f>IF($A411="","",IF(발령대장_설정!$B$8="","",발령대장_설정!$B$8))</x:f>
        <x:v>#NAME?</x:v>
      </x:c>
      <x:c r="J411" s="27" t="e">
        <x:f>IF($A411="","",IF(대장!K205="","",대장!K205))</x:f>
        <x:v>#NAME?</x:v>
      </x:c>
    </x:row>
    <x:row r="412" ht="42" customHeight="1">
      <x:c r="A412" s="47" t="e">
        <x:f>IF(AND(대장!A205&lt;&gt;"",ISNUMBER(대장!F205),ISNUMBER(대장!G205),대장!G205&gt;=대장!F205,대장!H205&lt;&gt;""),대장!G205,"")</x:f>
        <x:v>#NAME?</x:v>
      </x:c>
      <x:c r="B412" s="27" t="e">
        <x:f>IF($A412="","",IF(발령대장_설정!$B$4="","",발령대장_설정!$B$4))</x:f>
        <x:v>#NAME?</x:v>
      </x:c>
      <x:c r="C412" s="27" t="e">
        <x:f>IF($A412="","",대장!D205)</x:f>
        <x:v>#NAME?</x:v>
      </x:c>
      <x:c r="D412" s="27" t="e">
        <x:f>IF($A412="","",대장!A205)</x:f>
        <x:v>#NAME?</x:v>
      </x:c>
      <x:c r="E412" s="27" t="e">
        <x:f>IF($A412="","",IF(OR(ISNUMBER(SEARCH("계약만료",대장!H205&amp;"")),ISNUMBER(SEARCH("기간만료",대장!H205&amp;""))),"계약기간 만료로 퇴직",IF(ISNUMBER(SEARCH("의원면직",대장!H205&amp;"")),"의원면직",IF(ISNUMBER(SEARCH("정년퇴직",대장!H205&amp;"")),"정년퇴직",대장!H205))))</x:f>
        <x:v>#NAME?</x:v>
      </x:c>
      <x:c r="F412" s="27" t="e">
        <x:f>IF($A412="","",IF(발령대장_설정!$B$5="","",발령대장_설정!$B$5))</x:f>
        <x:v>#NAME?</x:v>
      </x:c>
      <x:c r="G412" s="27" t="e">
        <x:f>IF($A412="","",IF(발령대장_설정!$B$6="","",발령대장_설정!$B$6))</x:f>
        <x:v>#NAME?</x:v>
      </x:c>
      <x:c r="H412" s="27" t="e">
        <x:f>IF($A412="","",IF(발령대장_설정!$B$7="","",발령대장_설정!$B$7))</x:f>
        <x:v>#NAME?</x:v>
      </x:c>
      <x:c r="I412" s="27" t="e">
        <x:f>IF($A412="","",IF(발령대장_설정!$B$8="","",발령대장_설정!$B$8))</x:f>
        <x:v>#NAME?</x:v>
      </x:c>
      <x:c r="J412" s="27" t="str">
        <x:f>""</x:f>
      </x:c>
    </x:row>
    <x:row r="413" ht="42" customHeight="1">
      <x:c r="A413" s="47" t="e">
        <x:f>IF(AND(대장!A206&lt;&gt;"",ISNUMBER(대장!F206),OR(대장!G206="",AND(ISNUMBER(대장!G206),대장!G206&gt;=대장!F206))),대장!F206,"")</x:f>
        <x:v>#NAME?</x:v>
      </x:c>
      <x:c r="B413" s="27" t="e">
        <x:f>IF($A413="","",IF(발령대장_설정!$B$4="","",발령대장_설정!$B$4))</x:f>
        <x:v>#NAME?</x:v>
      </x:c>
      <x:c r="C413" s="27" t="e">
        <x:f>IF($A413="","",대장!D206)</x:f>
        <x:v>#NAME?</x:v>
      </x:c>
      <x:c r="D413" s="27" t="e">
        <x:f>IF($A413="","",대장!A206)</x:f>
        <x:v>#NAME?</x:v>
      </x:c>
      <x:c r="E413" s="27" t="e">
        <x:f>IF($A413="","",IF(대장!J206&lt;&gt;"",대장!J206,대장!D206&amp;"에 임함"&amp;IF(대장!E206="","",CHAR(10)&amp;"고용형태: "&amp;대장!E206)&amp;IF(대장!I206="","",CHAR(10)&amp;"소정근로시간: "&amp;대장!I206)&amp;CHAR(10)&amp;"근로기간: "&amp;YEAR(대장!F206)&amp;"."&amp;MONTH(대장!F206)&amp;"."&amp;DAY(대장!F206)&amp;"."&amp;" ~ "&amp;IF(ISNUMBER(대장!G206),YEAR(대장!G206)&amp;"."&amp;MONTH(대장!G206)&amp;"."&amp;DAY(대장!G206)&amp;".","재직 중")))</x:f>
        <x:v>#NAME?</x:v>
      </x:c>
      <x:c r="F413" s="27" t="e">
        <x:f>IF($A413="","",IF(발령대장_설정!$B$5="","",발령대장_설정!$B$5))</x:f>
        <x:v>#NAME?</x:v>
      </x:c>
      <x:c r="G413" s="27" t="e">
        <x:f>IF($A413="","",IF(발령대장_설정!$B$6="","",발령대장_설정!$B$6))</x:f>
        <x:v>#NAME?</x:v>
      </x:c>
      <x:c r="H413" s="27" t="e">
        <x:f>IF($A413="","",IF(발령대장_설정!$B$7="","",발령대장_설정!$B$7))</x:f>
        <x:v>#NAME?</x:v>
      </x:c>
      <x:c r="I413" s="27" t="e">
        <x:f>IF($A413="","",IF(발령대장_설정!$B$8="","",발령대장_설정!$B$8))</x:f>
        <x:v>#NAME?</x:v>
      </x:c>
      <x:c r="J413" s="27" t="e">
        <x:f>IF($A413="","",IF(대장!K206="","",대장!K206))</x:f>
        <x:v>#NAME?</x:v>
      </x:c>
    </x:row>
    <x:row r="414" ht="42" customHeight="1">
      <x:c r="A414" s="47" t="e">
        <x:f>IF(AND(대장!A206&lt;&gt;"",ISNUMBER(대장!F206),ISNUMBER(대장!G206),대장!G206&gt;=대장!F206,대장!H206&lt;&gt;""),대장!G206,"")</x:f>
        <x:v>#NAME?</x:v>
      </x:c>
      <x:c r="B414" s="27" t="e">
        <x:f>IF($A414="","",IF(발령대장_설정!$B$4="","",발령대장_설정!$B$4))</x:f>
        <x:v>#NAME?</x:v>
      </x:c>
      <x:c r="C414" s="27" t="e">
        <x:f>IF($A414="","",대장!D206)</x:f>
        <x:v>#NAME?</x:v>
      </x:c>
      <x:c r="D414" s="27" t="e">
        <x:f>IF($A414="","",대장!A206)</x:f>
        <x:v>#NAME?</x:v>
      </x:c>
      <x:c r="E414" s="27" t="e">
        <x:f>IF($A414="","",IF(OR(ISNUMBER(SEARCH("계약만료",대장!H206&amp;"")),ISNUMBER(SEARCH("기간만료",대장!H206&amp;""))),"계약기간 만료로 퇴직",IF(ISNUMBER(SEARCH("의원면직",대장!H206&amp;"")),"의원면직",IF(ISNUMBER(SEARCH("정년퇴직",대장!H206&amp;"")),"정년퇴직",대장!H206))))</x:f>
        <x:v>#NAME?</x:v>
      </x:c>
      <x:c r="F414" s="27" t="e">
        <x:f>IF($A414="","",IF(발령대장_설정!$B$5="","",발령대장_설정!$B$5))</x:f>
        <x:v>#NAME?</x:v>
      </x:c>
      <x:c r="G414" s="27" t="e">
        <x:f>IF($A414="","",IF(발령대장_설정!$B$6="","",발령대장_설정!$B$6))</x:f>
        <x:v>#NAME?</x:v>
      </x:c>
      <x:c r="H414" s="27" t="e">
        <x:f>IF($A414="","",IF(발령대장_설정!$B$7="","",발령대장_설정!$B$7))</x:f>
        <x:v>#NAME?</x:v>
      </x:c>
      <x:c r="I414" s="27" t="e">
        <x:f>IF($A414="","",IF(발령대장_설정!$B$8="","",발령대장_설정!$B$8))</x:f>
        <x:v>#NAME?</x:v>
      </x:c>
      <x:c r="J414" s="27" t="str">
        <x:f>""</x:f>
      </x:c>
    </x:row>
    <x:row r="415" ht="42" customHeight="1">
      <x:c r="A415" s="47" t="e">
        <x:f>IF(AND(대장!A207&lt;&gt;"",ISNUMBER(대장!F207),OR(대장!G207="",AND(ISNUMBER(대장!G207),대장!G207&gt;=대장!F207))),대장!F207,"")</x:f>
        <x:v>#NAME?</x:v>
      </x:c>
      <x:c r="B415" s="27" t="e">
        <x:f>IF($A415="","",IF(발령대장_설정!$B$4="","",발령대장_설정!$B$4))</x:f>
        <x:v>#NAME?</x:v>
      </x:c>
      <x:c r="C415" s="27" t="e">
        <x:f>IF($A415="","",대장!D207)</x:f>
        <x:v>#NAME?</x:v>
      </x:c>
      <x:c r="D415" s="27" t="e">
        <x:f>IF($A415="","",대장!A207)</x:f>
        <x:v>#NAME?</x:v>
      </x:c>
      <x:c r="E415" s="27" t="e">
        <x:f>IF($A415="","",IF(대장!J207&lt;&gt;"",대장!J207,대장!D207&amp;"에 임함"&amp;IF(대장!E207="","",CHAR(10)&amp;"고용형태: "&amp;대장!E207)&amp;IF(대장!I207="","",CHAR(10)&amp;"소정근로시간: "&amp;대장!I207)&amp;CHAR(10)&amp;"근로기간: "&amp;YEAR(대장!F207)&amp;"."&amp;MONTH(대장!F207)&amp;"."&amp;DAY(대장!F207)&amp;"."&amp;" ~ "&amp;IF(ISNUMBER(대장!G207),YEAR(대장!G207)&amp;"."&amp;MONTH(대장!G207)&amp;"."&amp;DAY(대장!G207)&amp;".","재직 중")))</x:f>
        <x:v>#NAME?</x:v>
      </x:c>
      <x:c r="F415" s="27" t="e">
        <x:f>IF($A415="","",IF(발령대장_설정!$B$5="","",발령대장_설정!$B$5))</x:f>
        <x:v>#NAME?</x:v>
      </x:c>
      <x:c r="G415" s="27" t="e">
        <x:f>IF($A415="","",IF(발령대장_설정!$B$6="","",발령대장_설정!$B$6))</x:f>
        <x:v>#NAME?</x:v>
      </x:c>
      <x:c r="H415" s="27" t="e">
        <x:f>IF($A415="","",IF(발령대장_설정!$B$7="","",발령대장_설정!$B$7))</x:f>
        <x:v>#NAME?</x:v>
      </x:c>
      <x:c r="I415" s="27" t="e">
        <x:f>IF($A415="","",IF(발령대장_설정!$B$8="","",발령대장_설정!$B$8))</x:f>
        <x:v>#NAME?</x:v>
      </x:c>
      <x:c r="J415" s="27" t="e">
        <x:f>IF($A415="","",IF(대장!K207="","",대장!K207))</x:f>
        <x:v>#NAME?</x:v>
      </x:c>
    </x:row>
    <x:row r="416" ht="42" customHeight="1">
      <x:c r="A416" s="47" t="e">
        <x:f>IF(AND(대장!A207&lt;&gt;"",ISNUMBER(대장!F207),ISNUMBER(대장!G207),대장!G207&gt;=대장!F207,대장!H207&lt;&gt;""),대장!G207,"")</x:f>
        <x:v>#NAME?</x:v>
      </x:c>
      <x:c r="B416" s="27" t="e">
        <x:f>IF($A416="","",IF(발령대장_설정!$B$4="","",발령대장_설정!$B$4))</x:f>
        <x:v>#NAME?</x:v>
      </x:c>
      <x:c r="C416" s="27" t="e">
        <x:f>IF($A416="","",대장!D207)</x:f>
        <x:v>#NAME?</x:v>
      </x:c>
      <x:c r="D416" s="27" t="e">
        <x:f>IF($A416="","",대장!A207)</x:f>
        <x:v>#NAME?</x:v>
      </x:c>
      <x:c r="E416" s="27" t="e">
        <x:f>IF($A416="","",IF(OR(ISNUMBER(SEARCH("계약만료",대장!H207&amp;"")),ISNUMBER(SEARCH("기간만료",대장!H207&amp;""))),"계약기간 만료로 퇴직",IF(ISNUMBER(SEARCH("의원면직",대장!H207&amp;"")),"의원면직",IF(ISNUMBER(SEARCH("정년퇴직",대장!H207&amp;"")),"정년퇴직",대장!H207))))</x:f>
        <x:v>#NAME?</x:v>
      </x:c>
      <x:c r="F416" s="27" t="e">
        <x:f>IF($A416="","",IF(발령대장_설정!$B$5="","",발령대장_설정!$B$5))</x:f>
        <x:v>#NAME?</x:v>
      </x:c>
      <x:c r="G416" s="27" t="e">
        <x:f>IF($A416="","",IF(발령대장_설정!$B$6="","",발령대장_설정!$B$6))</x:f>
        <x:v>#NAME?</x:v>
      </x:c>
      <x:c r="H416" s="27" t="e">
        <x:f>IF($A416="","",IF(발령대장_설정!$B$7="","",발령대장_설정!$B$7))</x:f>
        <x:v>#NAME?</x:v>
      </x:c>
      <x:c r="I416" s="27" t="e">
        <x:f>IF($A416="","",IF(발령대장_설정!$B$8="","",발령대장_설정!$B$8))</x:f>
        <x:v>#NAME?</x:v>
      </x:c>
      <x:c r="J416" s="27" t="str">
        <x:f>""</x:f>
      </x:c>
    </x:row>
    <x:row r="417" ht="42" customHeight="1">
      <x:c r="A417" s="47" t="e">
        <x:f>IF(AND(대장!A208&lt;&gt;"",ISNUMBER(대장!F208),OR(대장!G208="",AND(ISNUMBER(대장!G208),대장!G208&gt;=대장!F208))),대장!F208,"")</x:f>
        <x:v>#NAME?</x:v>
      </x:c>
      <x:c r="B417" s="27" t="e">
        <x:f>IF($A417="","",IF(발령대장_설정!$B$4="","",발령대장_설정!$B$4))</x:f>
        <x:v>#NAME?</x:v>
      </x:c>
      <x:c r="C417" s="27" t="e">
        <x:f>IF($A417="","",대장!D208)</x:f>
        <x:v>#NAME?</x:v>
      </x:c>
      <x:c r="D417" s="27" t="e">
        <x:f>IF($A417="","",대장!A208)</x:f>
        <x:v>#NAME?</x:v>
      </x:c>
      <x:c r="E417" s="27" t="e">
        <x:f>IF($A417="","",IF(대장!J208&lt;&gt;"",대장!J208,대장!D208&amp;"에 임함"&amp;IF(대장!E208="","",CHAR(10)&amp;"고용형태: "&amp;대장!E208)&amp;IF(대장!I208="","",CHAR(10)&amp;"소정근로시간: "&amp;대장!I208)&amp;CHAR(10)&amp;"근로기간: "&amp;YEAR(대장!F208)&amp;"."&amp;MONTH(대장!F208)&amp;"."&amp;DAY(대장!F208)&amp;"."&amp;" ~ "&amp;IF(ISNUMBER(대장!G208),YEAR(대장!G208)&amp;"."&amp;MONTH(대장!G208)&amp;"."&amp;DAY(대장!G208)&amp;".","재직 중")))</x:f>
        <x:v>#NAME?</x:v>
      </x:c>
      <x:c r="F417" s="27" t="e">
        <x:f>IF($A417="","",IF(발령대장_설정!$B$5="","",발령대장_설정!$B$5))</x:f>
        <x:v>#NAME?</x:v>
      </x:c>
      <x:c r="G417" s="27" t="e">
        <x:f>IF($A417="","",IF(발령대장_설정!$B$6="","",발령대장_설정!$B$6))</x:f>
        <x:v>#NAME?</x:v>
      </x:c>
      <x:c r="H417" s="27" t="e">
        <x:f>IF($A417="","",IF(발령대장_설정!$B$7="","",발령대장_설정!$B$7))</x:f>
        <x:v>#NAME?</x:v>
      </x:c>
      <x:c r="I417" s="27" t="e">
        <x:f>IF($A417="","",IF(발령대장_설정!$B$8="","",발령대장_설정!$B$8))</x:f>
        <x:v>#NAME?</x:v>
      </x:c>
      <x:c r="J417" s="27" t="e">
        <x:f>IF($A417="","",IF(대장!K208="","",대장!K208))</x:f>
        <x:v>#NAME?</x:v>
      </x:c>
    </x:row>
    <x:row r="418" ht="42" customHeight="1">
      <x:c r="A418" s="47" t="e">
        <x:f>IF(AND(대장!A208&lt;&gt;"",ISNUMBER(대장!F208),ISNUMBER(대장!G208),대장!G208&gt;=대장!F208,대장!H208&lt;&gt;""),대장!G208,"")</x:f>
        <x:v>#NAME?</x:v>
      </x:c>
      <x:c r="B418" s="27" t="e">
        <x:f>IF($A418="","",IF(발령대장_설정!$B$4="","",발령대장_설정!$B$4))</x:f>
        <x:v>#NAME?</x:v>
      </x:c>
      <x:c r="C418" s="27" t="e">
        <x:f>IF($A418="","",대장!D208)</x:f>
        <x:v>#NAME?</x:v>
      </x:c>
      <x:c r="D418" s="27" t="e">
        <x:f>IF($A418="","",대장!A208)</x:f>
        <x:v>#NAME?</x:v>
      </x:c>
      <x:c r="E418" s="27" t="e">
        <x:f>IF($A418="","",IF(OR(ISNUMBER(SEARCH("계약만료",대장!H208&amp;"")),ISNUMBER(SEARCH("기간만료",대장!H208&amp;""))),"계약기간 만료로 퇴직",IF(ISNUMBER(SEARCH("의원면직",대장!H208&amp;"")),"의원면직",IF(ISNUMBER(SEARCH("정년퇴직",대장!H208&amp;"")),"정년퇴직",대장!H208))))</x:f>
        <x:v>#NAME?</x:v>
      </x:c>
      <x:c r="F418" s="27" t="e">
        <x:f>IF($A418="","",IF(발령대장_설정!$B$5="","",발령대장_설정!$B$5))</x:f>
        <x:v>#NAME?</x:v>
      </x:c>
      <x:c r="G418" s="27" t="e">
        <x:f>IF($A418="","",IF(발령대장_설정!$B$6="","",발령대장_설정!$B$6))</x:f>
        <x:v>#NAME?</x:v>
      </x:c>
      <x:c r="H418" s="27" t="e">
        <x:f>IF($A418="","",IF(발령대장_설정!$B$7="","",발령대장_설정!$B$7))</x:f>
        <x:v>#NAME?</x:v>
      </x:c>
      <x:c r="I418" s="27" t="e">
        <x:f>IF($A418="","",IF(발령대장_설정!$B$8="","",발령대장_설정!$B$8))</x:f>
        <x:v>#NAME?</x:v>
      </x:c>
      <x:c r="J418" s="27" t="str">
        <x:f>""</x:f>
      </x:c>
    </x:row>
    <x:row r="419" ht="42" customHeight="1">
      <x:c r="A419" s="47" t="e">
        <x:f>IF(AND(대장!A209&lt;&gt;"",ISNUMBER(대장!F209),OR(대장!G209="",AND(ISNUMBER(대장!G209),대장!G209&gt;=대장!F209))),대장!F209,"")</x:f>
        <x:v>#NAME?</x:v>
      </x:c>
      <x:c r="B419" s="27" t="e">
        <x:f>IF($A419="","",IF(발령대장_설정!$B$4="","",발령대장_설정!$B$4))</x:f>
        <x:v>#NAME?</x:v>
      </x:c>
      <x:c r="C419" s="27" t="e">
        <x:f>IF($A419="","",대장!D209)</x:f>
        <x:v>#NAME?</x:v>
      </x:c>
      <x:c r="D419" s="27" t="e">
        <x:f>IF($A419="","",대장!A209)</x:f>
        <x:v>#NAME?</x:v>
      </x:c>
      <x:c r="E419" s="27" t="e">
        <x:f>IF($A419="","",IF(대장!J209&lt;&gt;"",대장!J209,대장!D209&amp;"에 임함"&amp;IF(대장!E209="","",CHAR(10)&amp;"고용형태: "&amp;대장!E209)&amp;IF(대장!I209="","",CHAR(10)&amp;"소정근로시간: "&amp;대장!I209)&amp;CHAR(10)&amp;"근로기간: "&amp;YEAR(대장!F209)&amp;"."&amp;MONTH(대장!F209)&amp;"."&amp;DAY(대장!F209)&amp;"."&amp;" ~ "&amp;IF(ISNUMBER(대장!G209),YEAR(대장!G209)&amp;"."&amp;MONTH(대장!G209)&amp;"."&amp;DAY(대장!G209)&amp;".","재직 중")))</x:f>
        <x:v>#NAME?</x:v>
      </x:c>
      <x:c r="F419" s="27" t="e">
        <x:f>IF($A419="","",IF(발령대장_설정!$B$5="","",발령대장_설정!$B$5))</x:f>
        <x:v>#NAME?</x:v>
      </x:c>
      <x:c r="G419" s="27" t="e">
        <x:f>IF($A419="","",IF(발령대장_설정!$B$6="","",발령대장_설정!$B$6))</x:f>
        <x:v>#NAME?</x:v>
      </x:c>
      <x:c r="H419" s="27" t="e">
        <x:f>IF($A419="","",IF(발령대장_설정!$B$7="","",발령대장_설정!$B$7))</x:f>
        <x:v>#NAME?</x:v>
      </x:c>
      <x:c r="I419" s="27" t="e">
        <x:f>IF($A419="","",IF(발령대장_설정!$B$8="","",발령대장_설정!$B$8))</x:f>
        <x:v>#NAME?</x:v>
      </x:c>
      <x:c r="J419" s="27" t="e">
        <x:f>IF($A419="","",IF(대장!K209="","",대장!K209))</x:f>
        <x:v>#NAME?</x:v>
      </x:c>
    </x:row>
    <x:row r="420" ht="42" customHeight="1">
      <x:c r="A420" s="47" t="e">
        <x:f>IF(AND(대장!A209&lt;&gt;"",ISNUMBER(대장!F209),ISNUMBER(대장!G209),대장!G209&gt;=대장!F209,대장!H209&lt;&gt;""),대장!G209,"")</x:f>
        <x:v>#NAME?</x:v>
      </x:c>
      <x:c r="B420" s="27" t="e">
        <x:f>IF($A420="","",IF(발령대장_설정!$B$4="","",발령대장_설정!$B$4))</x:f>
        <x:v>#NAME?</x:v>
      </x:c>
      <x:c r="C420" s="27" t="e">
        <x:f>IF($A420="","",대장!D209)</x:f>
        <x:v>#NAME?</x:v>
      </x:c>
      <x:c r="D420" s="27" t="e">
        <x:f>IF($A420="","",대장!A209)</x:f>
        <x:v>#NAME?</x:v>
      </x:c>
      <x:c r="E420" s="27" t="e">
        <x:f>IF($A420="","",IF(OR(ISNUMBER(SEARCH("계약만료",대장!H209&amp;"")),ISNUMBER(SEARCH("기간만료",대장!H209&amp;""))),"계약기간 만료로 퇴직",IF(ISNUMBER(SEARCH("의원면직",대장!H209&amp;"")),"의원면직",IF(ISNUMBER(SEARCH("정년퇴직",대장!H209&amp;"")),"정년퇴직",대장!H209))))</x:f>
        <x:v>#NAME?</x:v>
      </x:c>
      <x:c r="F420" s="27" t="e">
        <x:f>IF($A420="","",IF(발령대장_설정!$B$5="","",발령대장_설정!$B$5))</x:f>
        <x:v>#NAME?</x:v>
      </x:c>
      <x:c r="G420" s="27" t="e">
        <x:f>IF($A420="","",IF(발령대장_설정!$B$6="","",발령대장_설정!$B$6))</x:f>
        <x:v>#NAME?</x:v>
      </x:c>
      <x:c r="H420" s="27" t="e">
        <x:f>IF($A420="","",IF(발령대장_설정!$B$7="","",발령대장_설정!$B$7))</x:f>
        <x:v>#NAME?</x:v>
      </x:c>
      <x:c r="I420" s="27" t="e">
        <x:f>IF($A420="","",IF(발령대장_설정!$B$8="","",발령대장_설정!$B$8))</x:f>
        <x:v>#NAME?</x:v>
      </x:c>
      <x:c r="J420" s="27" t="str">
        <x:f>""</x:f>
      </x:c>
    </x:row>
    <x:row r="421" ht="42" customHeight="1">
      <x:c r="A421" s="47" t="e">
        <x:f>IF(AND(대장!A210&lt;&gt;"",ISNUMBER(대장!F210),OR(대장!G210="",AND(ISNUMBER(대장!G210),대장!G210&gt;=대장!F210))),대장!F210,"")</x:f>
        <x:v>#NAME?</x:v>
      </x:c>
      <x:c r="B421" s="27" t="e">
        <x:f>IF($A421="","",IF(발령대장_설정!$B$4="","",발령대장_설정!$B$4))</x:f>
        <x:v>#NAME?</x:v>
      </x:c>
      <x:c r="C421" s="27" t="e">
        <x:f>IF($A421="","",대장!D210)</x:f>
        <x:v>#NAME?</x:v>
      </x:c>
      <x:c r="D421" s="27" t="e">
        <x:f>IF($A421="","",대장!A210)</x:f>
        <x:v>#NAME?</x:v>
      </x:c>
      <x:c r="E421" s="27" t="e">
        <x:f>IF($A421="","",IF(대장!J210&lt;&gt;"",대장!J210,대장!D210&amp;"에 임함"&amp;IF(대장!E210="","",CHAR(10)&amp;"고용형태: "&amp;대장!E210)&amp;IF(대장!I210="","",CHAR(10)&amp;"소정근로시간: "&amp;대장!I210)&amp;CHAR(10)&amp;"근로기간: "&amp;YEAR(대장!F210)&amp;"."&amp;MONTH(대장!F210)&amp;"."&amp;DAY(대장!F210)&amp;"."&amp;" ~ "&amp;IF(ISNUMBER(대장!G210),YEAR(대장!G210)&amp;"."&amp;MONTH(대장!G210)&amp;"."&amp;DAY(대장!G210)&amp;".","재직 중")))</x:f>
        <x:v>#NAME?</x:v>
      </x:c>
      <x:c r="F421" s="27" t="e">
        <x:f>IF($A421="","",IF(발령대장_설정!$B$5="","",발령대장_설정!$B$5))</x:f>
        <x:v>#NAME?</x:v>
      </x:c>
      <x:c r="G421" s="27" t="e">
        <x:f>IF($A421="","",IF(발령대장_설정!$B$6="","",발령대장_설정!$B$6))</x:f>
        <x:v>#NAME?</x:v>
      </x:c>
      <x:c r="H421" s="27" t="e">
        <x:f>IF($A421="","",IF(발령대장_설정!$B$7="","",발령대장_설정!$B$7))</x:f>
        <x:v>#NAME?</x:v>
      </x:c>
      <x:c r="I421" s="27" t="e">
        <x:f>IF($A421="","",IF(발령대장_설정!$B$8="","",발령대장_설정!$B$8))</x:f>
        <x:v>#NAME?</x:v>
      </x:c>
      <x:c r="J421" s="27" t="e">
        <x:f>IF($A421="","",IF(대장!K210="","",대장!K210))</x:f>
        <x:v>#NAME?</x:v>
      </x:c>
    </x:row>
    <x:row r="422" ht="42" customHeight="1">
      <x:c r="A422" s="47" t="e">
        <x:f>IF(AND(대장!A210&lt;&gt;"",ISNUMBER(대장!F210),ISNUMBER(대장!G210),대장!G210&gt;=대장!F210,대장!H210&lt;&gt;""),대장!G210,"")</x:f>
        <x:v>#NAME?</x:v>
      </x:c>
      <x:c r="B422" s="27" t="e">
        <x:f>IF($A422="","",IF(발령대장_설정!$B$4="","",발령대장_설정!$B$4))</x:f>
        <x:v>#NAME?</x:v>
      </x:c>
      <x:c r="C422" s="27" t="e">
        <x:f>IF($A422="","",대장!D210)</x:f>
        <x:v>#NAME?</x:v>
      </x:c>
      <x:c r="D422" s="27" t="e">
        <x:f>IF($A422="","",대장!A210)</x:f>
        <x:v>#NAME?</x:v>
      </x:c>
      <x:c r="E422" s="27" t="e">
        <x:f>IF($A422="","",IF(OR(ISNUMBER(SEARCH("계약만료",대장!H210&amp;"")),ISNUMBER(SEARCH("기간만료",대장!H210&amp;""))),"계약기간 만료로 퇴직",IF(ISNUMBER(SEARCH("의원면직",대장!H210&amp;"")),"의원면직",IF(ISNUMBER(SEARCH("정년퇴직",대장!H210&amp;"")),"정년퇴직",대장!H210))))</x:f>
        <x:v>#NAME?</x:v>
      </x:c>
      <x:c r="F422" s="27" t="e">
        <x:f>IF($A422="","",IF(발령대장_설정!$B$5="","",발령대장_설정!$B$5))</x:f>
        <x:v>#NAME?</x:v>
      </x:c>
      <x:c r="G422" s="27" t="e">
        <x:f>IF($A422="","",IF(발령대장_설정!$B$6="","",발령대장_설정!$B$6))</x:f>
        <x:v>#NAME?</x:v>
      </x:c>
      <x:c r="H422" s="27" t="e">
        <x:f>IF($A422="","",IF(발령대장_설정!$B$7="","",발령대장_설정!$B$7))</x:f>
        <x:v>#NAME?</x:v>
      </x:c>
      <x:c r="I422" s="27" t="e">
        <x:f>IF($A422="","",IF(발령대장_설정!$B$8="","",발령대장_설정!$B$8))</x:f>
        <x:v>#NAME?</x:v>
      </x:c>
      <x:c r="J422" s="27" t="str">
        <x:f>""</x:f>
      </x:c>
    </x:row>
    <x:row r="423" ht="42" customHeight="1">
      <x:c r="A423" s="47" t="e">
        <x:f>IF(AND(대장!A211&lt;&gt;"",ISNUMBER(대장!F211),OR(대장!G211="",AND(ISNUMBER(대장!G211),대장!G211&gt;=대장!F211))),대장!F211,"")</x:f>
        <x:v>#NAME?</x:v>
      </x:c>
      <x:c r="B423" s="27" t="e">
        <x:f>IF($A423="","",IF(발령대장_설정!$B$4="","",발령대장_설정!$B$4))</x:f>
        <x:v>#NAME?</x:v>
      </x:c>
      <x:c r="C423" s="27" t="e">
        <x:f>IF($A423="","",대장!D211)</x:f>
        <x:v>#NAME?</x:v>
      </x:c>
      <x:c r="D423" s="27" t="e">
        <x:f>IF($A423="","",대장!A211)</x:f>
        <x:v>#NAME?</x:v>
      </x:c>
      <x:c r="E423" s="27" t="e">
        <x:f>IF($A423="","",IF(대장!J211&lt;&gt;"",대장!J211,대장!D211&amp;"에 임함"&amp;IF(대장!E211="","",CHAR(10)&amp;"고용형태: "&amp;대장!E211)&amp;IF(대장!I211="","",CHAR(10)&amp;"소정근로시간: "&amp;대장!I211)&amp;CHAR(10)&amp;"근로기간: "&amp;YEAR(대장!F211)&amp;"."&amp;MONTH(대장!F211)&amp;"."&amp;DAY(대장!F211)&amp;"."&amp;" ~ "&amp;IF(ISNUMBER(대장!G211),YEAR(대장!G211)&amp;"."&amp;MONTH(대장!G211)&amp;"."&amp;DAY(대장!G211)&amp;".","재직 중")))</x:f>
        <x:v>#NAME?</x:v>
      </x:c>
      <x:c r="F423" s="27" t="e">
        <x:f>IF($A423="","",IF(발령대장_설정!$B$5="","",발령대장_설정!$B$5))</x:f>
        <x:v>#NAME?</x:v>
      </x:c>
      <x:c r="G423" s="27" t="e">
        <x:f>IF($A423="","",IF(발령대장_설정!$B$6="","",발령대장_설정!$B$6))</x:f>
        <x:v>#NAME?</x:v>
      </x:c>
      <x:c r="H423" s="27" t="e">
        <x:f>IF($A423="","",IF(발령대장_설정!$B$7="","",발령대장_설정!$B$7))</x:f>
        <x:v>#NAME?</x:v>
      </x:c>
      <x:c r="I423" s="27" t="e">
        <x:f>IF($A423="","",IF(발령대장_설정!$B$8="","",발령대장_설정!$B$8))</x:f>
        <x:v>#NAME?</x:v>
      </x:c>
      <x:c r="J423" s="27" t="e">
        <x:f>IF($A423="","",IF(대장!K211="","",대장!K211))</x:f>
        <x:v>#NAME?</x:v>
      </x:c>
    </x:row>
    <x:row r="424" ht="42" customHeight="1">
      <x:c r="A424" s="47" t="e">
        <x:f>IF(AND(대장!A211&lt;&gt;"",ISNUMBER(대장!F211),ISNUMBER(대장!G211),대장!G211&gt;=대장!F211,대장!H211&lt;&gt;""),대장!G211,"")</x:f>
        <x:v>#NAME?</x:v>
      </x:c>
      <x:c r="B424" s="27" t="e">
        <x:f>IF($A424="","",IF(발령대장_설정!$B$4="","",발령대장_설정!$B$4))</x:f>
        <x:v>#NAME?</x:v>
      </x:c>
      <x:c r="C424" s="27" t="e">
        <x:f>IF($A424="","",대장!D211)</x:f>
        <x:v>#NAME?</x:v>
      </x:c>
      <x:c r="D424" s="27" t="e">
        <x:f>IF($A424="","",대장!A211)</x:f>
        <x:v>#NAME?</x:v>
      </x:c>
      <x:c r="E424" s="27" t="e">
        <x:f>IF($A424="","",IF(OR(ISNUMBER(SEARCH("계약만료",대장!H211&amp;"")),ISNUMBER(SEARCH("기간만료",대장!H211&amp;""))),"계약기간 만료로 퇴직",IF(ISNUMBER(SEARCH("의원면직",대장!H211&amp;"")),"의원면직",IF(ISNUMBER(SEARCH("정년퇴직",대장!H211&amp;"")),"정년퇴직",대장!H211))))</x:f>
        <x:v>#NAME?</x:v>
      </x:c>
      <x:c r="F424" s="27" t="e">
        <x:f>IF($A424="","",IF(발령대장_설정!$B$5="","",발령대장_설정!$B$5))</x:f>
        <x:v>#NAME?</x:v>
      </x:c>
      <x:c r="G424" s="27" t="e">
        <x:f>IF($A424="","",IF(발령대장_설정!$B$6="","",발령대장_설정!$B$6))</x:f>
        <x:v>#NAME?</x:v>
      </x:c>
      <x:c r="H424" s="27" t="e">
        <x:f>IF($A424="","",IF(발령대장_설정!$B$7="","",발령대장_설정!$B$7))</x:f>
        <x:v>#NAME?</x:v>
      </x:c>
      <x:c r="I424" s="27" t="e">
        <x:f>IF($A424="","",IF(발령대장_설정!$B$8="","",발령대장_설정!$B$8))</x:f>
        <x:v>#NAME?</x:v>
      </x:c>
      <x:c r="J424" s="27" t="str">
        <x:f>""</x:f>
      </x:c>
    </x:row>
    <x:row r="425" ht="42" customHeight="1">
      <x:c r="A425" s="47" t="e">
        <x:f>IF(AND(대장!A212&lt;&gt;"",ISNUMBER(대장!F212),OR(대장!G212="",AND(ISNUMBER(대장!G212),대장!G212&gt;=대장!F212))),대장!F212,"")</x:f>
        <x:v>#NAME?</x:v>
      </x:c>
      <x:c r="B425" s="27" t="e">
        <x:f>IF($A425="","",IF(발령대장_설정!$B$4="","",발령대장_설정!$B$4))</x:f>
        <x:v>#NAME?</x:v>
      </x:c>
      <x:c r="C425" s="27" t="e">
        <x:f>IF($A425="","",대장!D212)</x:f>
        <x:v>#NAME?</x:v>
      </x:c>
      <x:c r="D425" s="27" t="e">
        <x:f>IF($A425="","",대장!A212)</x:f>
        <x:v>#NAME?</x:v>
      </x:c>
      <x:c r="E425" s="27" t="e">
        <x:f>IF($A425="","",IF(대장!J212&lt;&gt;"",대장!J212,대장!D212&amp;"에 임함"&amp;IF(대장!E212="","",CHAR(10)&amp;"고용형태: "&amp;대장!E212)&amp;IF(대장!I212="","",CHAR(10)&amp;"소정근로시간: "&amp;대장!I212)&amp;CHAR(10)&amp;"근로기간: "&amp;YEAR(대장!F212)&amp;"."&amp;MONTH(대장!F212)&amp;"."&amp;DAY(대장!F212)&amp;"."&amp;" ~ "&amp;IF(ISNUMBER(대장!G212),YEAR(대장!G212)&amp;"."&amp;MONTH(대장!G212)&amp;"."&amp;DAY(대장!G212)&amp;".","재직 중")))</x:f>
        <x:v>#NAME?</x:v>
      </x:c>
      <x:c r="F425" s="27" t="e">
        <x:f>IF($A425="","",IF(발령대장_설정!$B$5="","",발령대장_설정!$B$5))</x:f>
        <x:v>#NAME?</x:v>
      </x:c>
      <x:c r="G425" s="27" t="e">
        <x:f>IF($A425="","",IF(발령대장_설정!$B$6="","",발령대장_설정!$B$6))</x:f>
        <x:v>#NAME?</x:v>
      </x:c>
      <x:c r="H425" s="27" t="e">
        <x:f>IF($A425="","",IF(발령대장_설정!$B$7="","",발령대장_설정!$B$7))</x:f>
        <x:v>#NAME?</x:v>
      </x:c>
      <x:c r="I425" s="27" t="e">
        <x:f>IF($A425="","",IF(발령대장_설정!$B$8="","",발령대장_설정!$B$8))</x:f>
        <x:v>#NAME?</x:v>
      </x:c>
      <x:c r="J425" s="27" t="e">
        <x:f>IF($A425="","",IF(대장!K212="","",대장!K212))</x:f>
        <x:v>#NAME?</x:v>
      </x:c>
    </x:row>
    <x:row r="426" ht="42" customHeight="1">
      <x:c r="A426" s="47" t="e">
        <x:f>IF(AND(대장!A212&lt;&gt;"",ISNUMBER(대장!F212),ISNUMBER(대장!G212),대장!G212&gt;=대장!F212,대장!H212&lt;&gt;""),대장!G212,"")</x:f>
        <x:v>#NAME?</x:v>
      </x:c>
      <x:c r="B426" s="27" t="e">
        <x:f>IF($A426="","",IF(발령대장_설정!$B$4="","",발령대장_설정!$B$4))</x:f>
        <x:v>#NAME?</x:v>
      </x:c>
      <x:c r="C426" s="27" t="e">
        <x:f>IF($A426="","",대장!D212)</x:f>
        <x:v>#NAME?</x:v>
      </x:c>
      <x:c r="D426" s="27" t="e">
        <x:f>IF($A426="","",대장!A212)</x:f>
        <x:v>#NAME?</x:v>
      </x:c>
      <x:c r="E426" s="27" t="e">
        <x:f>IF($A426="","",IF(OR(ISNUMBER(SEARCH("계약만료",대장!H212&amp;"")),ISNUMBER(SEARCH("기간만료",대장!H212&amp;""))),"계약기간 만료로 퇴직",IF(ISNUMBER(SEARCH("의원면직",대장!H212&amp;"")),"의원면직",IF(ISNUMBER(SEARCH("정년퇴직",대장!H212&amp;"")),"정년퇴직",대장!H212))))</x:f>
        <x:v>#NAME?</x:v>
      </x:c>
      <x:c r="F426" s="27" t="e">
        <x:f>IF($A426="","",IF(발령대장_설정!$B$5="","",발령대장_설정!$B$5))</x:f>
        <x:v>#NAME?</x:v>
      </x:c>
      <x:c r="G426" s="27" t="e">
        <x:f>IF($A426="","",IF(발령대장_설정!$B$6="","",발령대장_설정!$B$6))</x:f>
        <x:v>#NAME?</x:v>
      </x:c>
      <x:c r="H426" s="27" t="e">
        <x:f>IF($A426="","",IF(발령대장_설정!$B$7="","",발령대장_설정!$B$7))</x:f>
        <x:v>#NAME?</x:v>
      </x:c>
      <x:c r="I426" s="27" t="e">
        <x:f>IF($A426="","",IF(발령대장_설정!$B$8="","",발령대장_설정!$B$8))</x:f>
        <x:v>#NAME?</x:v>
      </x:c>
      <x:c r="J426" s="27" t="str">
        <x:f>""</x:f>
      </x:c>
    </x:row>
    <x:row r="427" ht="42" customHeight="1">
      <x:c r="A427" s="47" t="e">
        <x:f>IF(AND(대장!A213&lt;&gt;"",ISNUMBER(대장!F213),OR(대장!G213="",AND(ISNUMBER(대장!G213),대장!G213&gt;=대장!F213))),대장!F213,"")</x:f>
        <x:v>#NAME?</x:v>
      </x:c>
      <x:c r="B427" s="27" t="e">
        <x:f>IF($A427="","",IF(발령대장_설정!$B$4="","",발령대장_설정!$B$4))</x:f>
        <x:v>#NAME?</x:v>
      </x:c>
      <x:c r="C427" s="27" t="e">
        <x:f>IF($A427="","",대장!D213)</x:f>
        <x:v>#NAME?</x:v>
      </x:c>
      <x:c r="D427" s="27" t="e">
        <x:f>IF($A427="","",대장!A213)</x:f>
        <x:v>#NAME?</x:v>
      </x:c>
      <x:c r="E427" s="27" t="e">
        <x:f>IF($A427="","",IF(대장!J213&lt;&gt;"",대장!J213,대장!D213&amp;"에 임함"&amp;IF(대장!E213="","",CHAR(10)&amp;"고용형태: "&amp;대장!E213)&amp;IF(대장!I213="","",CHAR(10)&amp;"소정근로시간: "&amp;대장!I213)&amp;CHAR(10)&amp;"근로기간: "&amp;YEAR(대장!F213)&amp;"."&amp;MONTH(대장!F213)&amp;"."&amp;DAY(대장!F213)&amp;"."&amp;" ~ "&amp;IF(ISNUMBER(대장!G213),YEAR(대장!G213)&amp;"."&amp;MONTH(대장!G213)&amp;"."&amp;DAY(대장!G213)&amp;".","재직 중")))</x:f>
        <x:v>#NAME?</x:v>
      </x:c>
      <x:c r="F427" s="27" t="e">
        <x:f>IF($A427="","",IF(발령대장_설정!$B$5="","",발령대장_설정!$B$5))</x:f>
        <x:v>#NAME?</x:v>
      </x:c>
      <x:c r="G427" s="27" t="e">
        <x:f>IF($A427="","",IF(발령대장_설정!$B$6="","",발령대장_설정!$B$6))</x:f>
        <x:v>#NAME?</x:v>
      </x:c>
      <x:c r="H427" s="27" t="e">
        <x:f>IF($A427="","",IF(발령대장_설정!$B$7="","",발령대장_설정!$B$7))</x:f>
        <x:v>#NAME?</x:v>
      </x:c>
      <x:c r="I427" s="27" t="e">
        <x:f>IF($A427="","",IF(발령대장_설정!$B$8="","",발령대장_설정!$B$8))</x:f>
        <x:v>#NAME?</x:v>
      </x:c>
      <x:c r="J427" s="27" t="e">
        <x:f>IF($A427="","",IF(대장!K213="","",대장!K213))</x:f>
        <x:v>#NAME?</x:v>
      </x:c>
    </x:row>
    <x:row r="428" ht="42" customHeight="1">
      <x:c r="A428" s="47" t="e">
        <x:f>IF(AND(대장!A213&lt;&gt;"",ISNUMBER(대장!F213),ISNUMBER(대장!G213),대장!G213&gt;=대장!F213,대장!H213&lt;&gt;""),대장!G213,"")</x:f>
        <x:v>#NAME?</x:v>
      </x:c>
      <x:c r="B428" s="27" t="e">
        <x:f>IF($A428="","",IF(발령대장_설정!$B$4="","",발령대장_설정!$B$4))</x:f>
        <x:v>#NAME?</x:v>
      </x:c>
      <x:c r="C428" s="27" t="e">
        <x:f>IF($A428="","",대장!D213)</x:f>
        <x:v>#NAME?</x:v>
      </x:c>
      <x:c r="D428" s="27" t="e">
        <x:f>IF($A428="","",대장!A213)</x:f>
        <x:v>#NAME?</x:v>
      </x:c>
      <x:c r="E428" s="27" t="e">
        <x:f>IF($A428="","",IF(OR(ISNUMBER(SEARCH("계약만료",대장!H213&amp;"")),ISNUMBER(SEARCH("기간만료",대장!H213&amp;""))),"계약기간 만료로 퇴직",IF(ISNUMBER(SEARCH("의원면직",대장!H213&amp;"")),"의원면직",IF(ISNUMBER(SEARCH("정년퇴직",대장!H213&amp;"")),"정년퇴직",대장!H213))))</x:f>
        <x:v>#NAME?</x:v>
      </x:c>
      <x:c r="F428" s="27" t="e">
        <x:f>IF($A428="","",IF(발령대장_설정!$B$5="","",발령대장_설정!$B$5))</x:f>
        <x:v>#NAME?</x:v>
      </x:c>
      <x:c r="G428" s="27" t="e">
        <x:f>IF($A428="","",IF(발령대장_설정!$B$6="","",발령대장_설정!$B$6))</x:f>
        <x:v>#NAME?</x:v>
      </x:c>
      <x:c r="H428" s="27" t="e">
        <x:f>IF($A428="","",IF(발령대장_설정!$B$7="","",발령대장_설정!$B$7))</x:f>
        <x:v>#NAME?</x:v>
      </x:c>
      <x:c r="I428" s="27" t="e">
        <x:f>IF($A428="","",IF(발령대장_설정!$B$8="","",발령대장_설정!$B$8))</x:f>
        <x:v>#NAME?</x:v>
      </x:c>
      <x:c r="J428" s="27" t="str">
        <x:f>""</x:f>
      </x:c>
    </x:row>
    <x:row r="429" ht="42" customHeight="1">
      <x:c r="A429" s="47" t="e">
        <x:f>IF(AND(대장!A214&lt;&gt;"",ISNUMBER(대장!F214),OR(대장!G214="",AND(ISNUMBER(대장!G214),대장!G214&gt;=대장!F214))),대장!F214,"")</x:f>
        <x:v>#NAME?</x:v>
      </x:c>
      <x:c r="B429" s="27" t="e">
        <x:f>IF($A429="","",IF(발령대장_설정!$B$4="","",발령대장_설정!$B$4))</x:f>
        <x:v>#NAME?</x:v>
      </x:c>
      <x:c r="C429" s="27" t="e">
        <x:f>IF($A429="","",대장!D214)</x:f>
        <x:v>#NAME?</x:v>
      </x:c>
      <x:c r="D429" s="27" t="e">
        <x:f>IF($A429="","",대장!A214)</x:f>
        <x:v>#NAME?</x:v>
      </x:c>
      <x:c r="E429" s="27" t="e">
        <x:f>IF($A429="","",IF(대장!J214&lt;&gt;"",대장!J214,대장!D214&amp;"에 임함"&amp;IF(대장!E214="","",CHAR(10)&amp;"고용형태: "&amp;대장!E214)&amp;IF(대장!I214="","",CHAR(10)&amp;"소정근로시간: "&amp;대장!I214)&amp;CHAR(10)&amp;"근로기간: "&amp;YEAR(대장!F214)&amp;"."&amp;MONTH(대장!F214)&amp;"."&amp;DAY(대장!F214)&amp;"."&amp;" ~ "&amp;IF(ISNUMBER(대장!G214),YEAR(대장!G214)&amp;"."&amp;MONTH(대장!G214)&amp;"."&amp;DAY(대장!G214)&amp;".","재직 중")))</x:f>
        <x:v>#NAME?</x:v>
      </x:c>
      <x:c r="F429" s="27" t="e">
        <x:f>IF($A429="","",IF(발령대장_설정!$B$5="","",발령대장_설정!$B$5))</x:f>
        <x:v>#NAME?</x:v>
      </x:c>
      <x:c r="G429" s="27" t="e">
        <x:f>IF($A429="","",IF(발령대장_설정!$B$6="","",발령대장_설정!$B$6))</x:f>
        <x:v>#NAME?</x:v>
      </x:c>
      <x:c r="H429" s="27" t="e">
        <x:f>IF($A429="","",IF(발령대장_설정!$B$7="","",발령대장_설정!$B$7))</x:f>
        <x:v>#NAME?</x:v>
      </x:c>
      <x:c r="I429" s="27" t="e">
        <x:f>IF($A429="","",IF(발령대장_설정!$B$8="","",발령대장_설정!$B$8))</x:f>
        <x:v>#NAME?</x:v>
      </x:c>
      <x:c r="J429" s="27" t="e">
        <x:f>IF($A429="","",IF(대장!K214="","",대장!K214))</x:f>
        <x:v>#NAME?</x:v>
      </x:c>
    </x:row>
    <x:row r="430" ht="42" customHeight="1">
      <x:c r="A430" s="47" t="e">
        <x:f>IF(AND(대장!A214&lt;&gt;"",ISNUMBER(대장!F214),ISNUMBER(대장!G214),대장!G214&gt;=대장!F214,대장!H214&lt;&gt;""),대장!G214,"")</x:f>
        <x:v>#NAME?</x:v>
      </x:c>
      <x:c r="B430" s="27" t="e">
        <x:f>IF($A430="","",IF(발령대장_설정!$B$4="","",발령대장_설정!$B$4))</x:f>
        <x:v>#NAME?</x:v>
      </x:c>
      <x:c r="C430" s="27" t="e">
        <x:f>IF($A430="","",대장!D214)</x:f>
        <x:v>#NAME?</x:v>
      </x:c>
      <x:c r="D430" s="27" t="e">
        <x:f>IF($A430="","",대장!A214)</x:f>
        <x:v>#NAME?</x:v>
      </x:c>
      <x:c r="E430" s="27" t="e">
        <x:f>IF($A430="","",IF(OR(ISNUMBER(SEARCH("계약만료",대장!H214&amp;"")),ISNUMBER(SEARCH("기간만료",대장!H214&amp;""))),"계약기간 만료로 퇴직",IF(ISNUMBER(SEARCH("의원면직",대장!H214&amp;"")),"의원면직",IF(ISNUMBER(SEARCH("정년퇴직",대장!H214&amp;"")),"정년퇴직",대장!H214))))</x:f>
        <x:v>#NAME?</x:v>
      </x:c>
      <x:c r="F430" s="27" t="e">
        <x:f>IF($A430="","",IF(발령대장_설정!$B$5="","",발령대장_설정!$B$5))</x:f>
        <x:v>#NAME?</x:v>
      </x:c>
      <x:c r="G430" s="27" t="e">
        <x:f>IF($A430="","",IF(발령대장_설정!$B$6="","",발령대장_설정!$B$6))</x:f>
        <x:v>#NAME?</x:v>
      </x:c>
      <x:c r="H430" s="27" t="e">
        <x:f>IF($A430="","",IF(발령대장_설정!$B$7="","",발령대장_설정!$B$7))</x:f>
        <x:v>#NAME?</x:v>
      </x:c>
      <x:c r="I430" s="27" t="e">
        <x:f>IF($A430="","",IF(발령대장_설정!$B$8="","",발령대장_설정!$B$8))</x:f>
        <x:v>#NAME?</x:v>
      </x:c>
      <x:c r="J430" s="27" t="str">
        <x:f>""</x:f>
      </x:c>
    </x:row>
    <x:row r="431" ht="42" customHeight="1">
      <x:c r="A431" s="47" t="e">
        <x:f>IF(AND(대장!A215&lt;&gt;"",ISNUMBER(대장!F215),OR(대장!G215="",AND(ISNUMBER(대장!G215),대장!G215&gt;=대장!F215))),대장!F215,"")</x:f>
        <x:v>#NAME?</x:v>
      </x:c>
      <x:c r="B431" s="27" t="e">
        <x:f>IF($A431="","",IF(발령대장_설정!$B$4="","",발령대장_설정!$B$4))</x:f>
        <x:v>#NAME?</x:v>
      </x:c>
      <x:c r="C431" s="27" t="e">
        <x:f>IF($A431="","",대장!D215)</x:f>
        <x:v>#NAME?</x:v>
      </x:c>
      <x:c r="D431" s="27" t="e">
        <x:f>IF($A431="","",대장!A215)</x:f>
        <x:v>#NAME?</x:v>
      </x:c>
      <x:c r="E431" s="27" t="e">
        <x:f>IF($A431="","",IF(대장!J215&lt;&gt;"",대장!J215,대장!D215&amp;"에 임함"&amp;IF(대장!E215="","",CHAR(10)&amp;"고용형태: "&amp;대장!E215)&amp;IF(대장!I215="","",CHAR(10)&amp;"소정근로시간: "&amp;대장!I215)&amp;CHAR(10)&amp;"근로기간: "&amp;YEAR(대장!F215)&amp;"."&amp;MONTH(대장!F215)&amp;"."&amp;DAY(대장!F215)&amp;"."&amp;" ~ "&amp;IF(ISNUMBER(대장!G215),YEAR(대장!G215)&amp;"."&amp;MONTH(대장!G215)&amp;"."&amp;DAY(대장!G215)&amp;".","재직 중")))</x:f>
        <x:v>#NAME?</x:v>
      </x:c>
      <x:c r="F431" s="27" t="e">
        <x:f>IF($A431="","",IF(발령대장_설정!$B$5="","",발령대장_설정!$B$5))</x:f>
        <x:v>#NAME?</x:v>
      </x:c>
      <x:c r="G431" s="27" t="e">
        <x:f>IF($A431="","",IF(발령대장_설정!$B$6="","",발령대장_설정!$B$6))</x:f>
        <x:v>#NAME?</x:v>
      </x:c>
      <x:c r="H431" s="27" t="e">
        <x:f>IF($A431="","",IF(발령대장_설정!$B$7="","",발령대장_설정!$B$7))</x:f>
        <x:v>#NAME?</x:v>
      </x:c>
      <x:c r="I431" s="27" t="e">
        <x:f>IF($A431="","",IF(발령대장_설정!$B$8="","",발령대장_설정!$B$8))</x:f>
        <x:v>#NAME?</x:v>
      </x:c>
      <x:c r="J431" s="27" t="e">
        <x:f>IF($A431="","",IF(대장!K215="","",대장!K215))</x:f>
        <x:v>#NAME?</x:v>
      </x:c>
    </x:row>
    <x:row r="432" ht="42" customHeight="1">
      <x:c r="A432" s="47" t="e">
        <x:f>IF(AND(대장!A215&lt;&gt;"",ISNUMBER(대장!F215),ISNUMBER(대장!G215),대장!G215&gt;=대장!F215,대장!H215&lt;&gt;""),대장!G215,"")</x:f>
        <x:v>#NAME?</x:v>
      </x:c>
      <x:c r="B432" s="27" t="e">
        <x:f>IF($A432="","",IF(발령대장_설정!$B$4="","",발령대장_설정!$B$4))</x:f>
        <x:v>#NAME?</x:v>
      </x:c>
      <x:c r="C432" s="27" t="e">
        <x:f>IF($A432="","",대장!D215)</x:f>
        <x:v>#NAME?</x:v>
      </x:c>
      <x:c r="D432" s="27" t="e">
        <x:f>IF($A432="","",대장!A215)</x:f>
        <x:v>#NAME?</x:v>
      </x:c>
      <x:c r="E432" s="27" t="e">
        <x:f>IF($A432="","",IF(OR(ISNUMBER(SEARCH("계약만료",대장!H215&amp;"")),ISNUMBER(SEARCH("기간만료",대장!H215&amp;""))),"계약기간 만료로 퇴직",IF(ISNUMBER(SEARCH("의원면직",대장!H215&amp;"")),"의원면직",IF(ISNUMBER(SEARCH("정년퇴직",대장!H215&amp;"")),"정년퇴직",대장!H215))))</x:f>
        <x:v>#NAME?</x:v>
      </x:c>
      <x:c r="F432" s="27" t="e">
        <x:f>IF($A432="","",IF(발령대장_설정!$B$5="","",발령대장_설정!$B$5))</x:f>
        <x:v>#NAME?</x:v>
      </x:c>
      <x:c r="G432" s="27" t="e">
        <x:f>IF($A432="","",IF(발령대장_설정!$B$6="","",발령대장_설정!$B$6))</x:f>
        <x:v>#NAME?</x:v>
      </x:c>
      <x:c r="H432" s="27" t="e">
        <x:f>IF($A432="","",IF(발령대장_설정!$B$7="","",발령대장_설정!$B$7))</x:f>
        <x:v>#NAME?</x:v>
      </x:c>
      <x:c r="I432" s="27" t="e">
        <x:f>IF($A432="","",IF(발령대장_설정!$B$8="","",발령대장_설정!$B$8))</x:f>
        <x:v>#NAME?</x:v>
      </x:c>
      <x:c r="J432" s="27" t="str">
        <x:f>""</x:f>
      </x:c>
    </x:row>
    <x:row r="433" ht="42" customHeight="1">
      <x:c r="A433" s="47" t="e">
        <x:f>IF(AND(대장!A216&lt;&gt;"",ISNUMBER(대장!F216),OR(대장!G216="",AND(ISNUMBER(대장!G216),대장!G216&gt;=대장!F216))),대장!F216,"")</x:f>
        <x:v>#NAME?</x:v>
      </x:c>
      <x:c r="B433" s="27" t="e">
        <x:f>IF($A433="","",IF(발령대장_설정!$B$4="","",발령대장_설정!$B$4))</x:f>
        <x:v>#NAME?</x:v>
      </x:c>
      <x:c r="C433" s="27" t="e">
        <x:f>IF($A433="","",대장!D216)</x:f>
        <x:v>#NAME?</x:v>
      </x:c>
      <x:c r="D433" s="27" t="e">
        <x:f>IF($A433="","",대장!A216)</x:f>
        <x:v>#NAME?</x:v>
      </x:c>
      <x:c r="E433" s="27" t="e">
        <x:f>IF($A433="","",IF(대장!J216&lt;&gt;"",대장!J216,대장!D216&amp;"에 임함"&amp;IF(대장!E216="","",CHAR(10)&amp;"고용형태: "&amp;대장!E216)&amp;IF(대장!I216="","",CHAR(10)&amp;"소정근로시간: "&amp;대장!I216)&amp;CHAR(10)&amp;"근로기간: "&amp;YEAR(대장!F216)&amp;"."&amp;MONTH(대장!F216)&amp;"."&amp;DAY(대장!F216)&amp;"."&amp;" ~ "&amp;IF(ISNUMBER(대장!G216),YEAR(대장!G216)&amp;"."&amp;MONTH(대장!G216)&amp;"."&amp;DAY(대장!G216)&amp;".","재직 중")))</x:f>
        <x:v>#NAME?</x:v>
      </x:c>
      <x:c r="F433" s="27" t="e">
        <x:f>IF($A433="","",IF(발령대장_설정!$B$5="","",발령대장_설정!$B$5))</x:f>
        <x:v>#NAME?</x:v>
      </x:c>
      <x:c r="G433" s="27" t="e">
        <x:f>IF($A433="","",IF(발령대장_설정!$B$6="","",발령대장_설정!$B$6))</x:f>
        <x:v>#NAME?</x:v>
      </x:c>
      <x:c r="H433" s="27" t="e">
        <x:f>IF($A433="","",IF(발령대장_설정!$B$7="","",발령대장_설정!$B$7))</x:f>
        <x:v>#NAME?</x:v>
      </x:c>
      <x:c r="I433" s="27" t="e">
        <x:f>IF($A433="","",IF(발령대장_설정!$B$8="","",발령대장_설정!$B$8))</x:f>
        <x:v>#NAME?</x:v>
      </x:c>
      <x:c r="J433" s="27" t="e">
        <x:f>IF($A433="","",IF(대장!K216="","",대장!K216))</x:f>
        <x:v>#NAME?</x:v>
      </x:c>
    </x:row>
    <x:row r="434" ht="42" customHeight="1">
      <x:c r="A434" s="47" t="e">
        <x:f>IF(AND(대장!A216&lt;&gt;"",ISNUMBER(대장!F216),ISNUMBER(대장!G216),대장!G216&gt;=대장!F216,대장!H216&lt;&gt;""),대장!G216,"")</x:f>
        <x:v>#NAME?</x:v>
      </x:c>
      <x:c r="B434" s="27" t="e">
        <x:f>IF($A434="","",IF(발령대장_설정!$B$4="","",발령대장_설정!$B$4))</x:f>
        <x:v>#NAME?</x:v>
      </x:c>
      <x:c r="C434" s="27" t="e">
        <x:f>IF($A434="","",대장!D216)</x:f>
        <x:v>#NAME?</x:v>
      </x:c>
      <x:c r="D434" s="27" t="e">
        <x:f>IF($A434="","",대장!A216)</x:f>
        <x:v>#NAME?</x:v>
      </x:c>
      <x:c r="E434" s="27" t="e">
        <x:f>IF($A434="","",IF(OR(ISNUMBER(SEARCH("계약만료",대장!H216&amp;"")),ISNUMBER(SEARCH("기간만료",대장!H216&amp;""))),"계약기간 만료로 퇴직",IF(ISNUMBER(SEARCH("의원면직",대장!H216&amp;"")),"의원면직",IF(ISNUMBER(SEARCH("정년퇴직",대장!H216&amp;"")),"정년퇴직",대장!H216))))</x:f>
        <x:v>#NAME?</x:v>
      </x:c>
      <x:c r="F434" s="27" t="e">
        <x:f>IF($A434="","",IF(발령대장_설정!$B$5="","",발령대장_설정!$B$5))</x:f>
        <x:v>#NAME?</x:v>
      </x:c>
      <x:c r="G434" s="27" t="e">
        <x:f>IF($A434="","",IF(발령대장_설정!$B$6="","",발령대장_설정!$B$6))</x:f>
        <x:v>#NAME?</x:v>
      </x:c>
      <x:c r="H434" s="27" t="e">
        <x:f>IF($A434="","",IF(발령대장_설정!$B$7="","",발령대장_설정!$B$7))</x:f>
        <x:v>#NAME?</x:v>
      </x:c>
      <x:c r="I434" s="27" t="e">
        <x:f>IF($A434="","",IF(발령대장_설정!$B$8="","",발령대장_설정!$B$8))</x:f>
        <x:v>#NAME?</x:v>
      </x:c>
      <x:c r="J434" s="27" t="str">
        <x:f>""</x:f>
      </x:c>
    </x:row>
    <x:row r="435" ht="42" customHeight="1">
      <x:c r="A435" s="47" t="e">
        <x:f>IF(AND(대장!A217&lt;&gt;"",ISNUMBER(대장!F217),OR(대장!G217="",AND(ISNUMBER(대장!G217),대장!G217&gt;=대장!F217))),대장!F217,"")</x:f>
        <x:v>#NAME?</x:v>
      </x:c>
      <x:c r="B435" s="27" t="e">
        <x:f>IF($A435="","",IF(발령대장_설정!$B$4="","",발령대장_설정!$B$4))</x:f>
        <x:v>#NAME?</x:v>
      </x:c>
      <x:c r="C435" s="27" t="e">
        <x:f>IF($A435="","",대장!D217)</x:f>
        <x:v>#NAME?</x:v>
      </x:c>
      <x:c r="D435" s="27" t="e">
        <x:f>IF($A435="","",대장!A217)</x:f>
        <x:v>#NAME?</x:v>
      </x:c>
      <x:c r="E435" s="27" t="e">
        <x:f>IF($A435="","",IF(대장!J217&lt;&gt;"",대장!J217,대장!D217&amp;"에 임함"&amp;IF(대장!E217="","",CHAR(10)&amp;"고용형태: "&amp;대장!E217)&amp;IF(대장!I217="","",CHAR(10)&amp;"소정근로시간: "&amp;대장!I217)&amp;CHAR(10)&amp;"근로기간: "&amp;YEAR(대장!F217)&amp;"."&amp;MONTH(대장!F217)&amp;"."&amp;DAY(대장!F217)&amp;"."&amp;" ~ "&amp;IF(ISNUMBER(대장!G217),YEAR(대장!G217)&amp;"."&amp;MONTH(대장!G217)&amp;"."&amp;DAY(대장!G217)&amp;".","재직 중")))</x:f>
        <x:v>#NAME?</x:v>
      </x:c>
      <x:c r="F435" s="27" t="e">
        <x:f>IF($A435="","",IF(발령대장_설정!$B$5="","",발령대장_설정!$B$5))</x:f>
        <x:v>#NAME?</x:v>
      </x:c>
      <x:c r="G435" s="27" t="e">
        <x:f>IF($A435="","",IF(발령대장_설정!$B$6="","",발령대장_설정!$B$6))</x:f>
        <x:v>#NAME?</x:v>
      </x:c>
      <x:c r="H435" s="27" t="e">
        <x:f>IF($A435="","",IF(발령대장_설정!$B$7="","",발령대장_설정!$B$7))</x:f>
        <x:v>#NAME?</x:v>
      </x:c>
      <x:c r="I435" s="27" t="e">
        <x:f>IF($A435="","",IF(발령대장_설정!$B$8="","",발령대장_설정!$B$8))</x:f>
        <x:v>#NAME?</x:v>
      </x:c>
      <x:c r="J435" s="27" t="e">
        <x:f>IF($A435="","",IF(대장!K217="","",대장!K217))</x:f>
        <x:v>#NAME?</x:v>
      </x:c>
    </x:row>
    <x:row r="436" ht="42" customHeight="1">
      <x:c r="A436" s="47" t="e">
        <x:f>IF(AND(대장!A217&lt;&gt;"",ISNUMBER(대장!F217),ISNUMBER(대장!G217),대장!G217&gt;=대장!F217,대장!H217&lt;&gt;""),대장!G217,"")</x:f>
        <x:v>#NAME?</x:v>
      </x:c>
      <x:c r="B436" s="27" t="e">
        <x:f>IF($A436="","",IF(발령대장_설정!$B$4="","",발령대장_설정!$B$4))</x:f>
        <x:v>#NAME?</x:v>
      </x:c>
      <x:c r="C436" s="27" t="e">
        <x:f>IF($A436="","",대장!D217)</x:f>
        <x:v>#NAME?</x:v>
      </x:c>
      <x:c r="D436" s="27" t="e">
        <x:f>IF($A436="","",대장!A217)</x:f>
        <x:v>#NAME?</x:v>
      </x:c>
      <x:c r="E436" s="27" t="e">
        <x:f>IF($A436="","",IF(OR(ISNUMBER(SEARCH("계약만료",대장!H217&amp;"")),ISNUMBER(SEARCH("기간만료",대장!H217&amp;""))),"계약기간 만료로 퇴직",IF(ISNUMBER(SEARCH("의원면직",대장!H217&amp;"")),"의원면직",IF(ISNUMBER(SEARCH("정년퇴직",대장!H217&amp;"")),"정년퇴직",대장!H217))))</x:f>
        <x:v>#NAME?</x:v>
      </x:c>
      <x:c r="F436" s="27" t="e">
        <x:f>IF($A436="","",IF(발령대장_설정!$B$5="","",발령대장_설정!$B$5))</x:f>
        <x:v>#NAME?</x:v>
      </x:c>
      <x:c r="G436" s="27" t="e">
        <x:f>IF($A436="","",IF(발령대장_설정!$B$6="","",발령대장_설정!$B$6))</x:f>
        <x:v>#NAME?</x:v>
      </x:c>
      <x:c r="H436" s="27" t="e">
        <x:f>IF($A436="","",IF(발령대장_설정!$B$7="","",발령대장_설정!$B$7))</x:f>
        <x:v>#NAME?</x:v>
      </x:c>
      <x:c r="I436" s="27" t="e">
        <x:f>IF($A436="","",IF(발령대장_설정!$B$8="","",발령대장_설정!$B$8))</x:f>
        <x:v>#NAME?</x:v>
      </x:c>
      <x:c r="J436" s="27" t="str">
        <x:f>""</x:f>
      </x:c>
    </x:row>
    <x:row r="437" ht="42" customHeight="1">
      <x:c r="A437" s="47" t="e">
        <x:f>IF(AND(대장!A218&lt;&gt;"",ISNUMBER(대장!F218),OR(대장!G218="",AND(ISNUMBER(대장!G218),대장!G218&gt;=대장!F218))),대장!F218,"")</x:f>
        <x:v>#NAME?</x:v>
      </x:c>
      <x:c r="B437" s="27" t="e">
        <x:f>IF($A437="","",IF(발령대장_설정!$B$4="","",발령대장_설정!$B$4))</x:f>
        <x:v>#NAME?</x:v>
      </x:c>
      <x:c r="C437" s="27" t="e">
        <x:f>IF($A437="","",대장!D218)</x:f>
        <x:v>#NAME?</x:v>
      </x:c>
      <x:c r="D437" s="27" t="e">
        <x:f>IF($A437="","",대장!A218)</x:f>
        <x:v>#NAME?</x:v>
      </x:c>
      <x:c r="E437" s="27" t="e">
        <x:f>IF($A437="","",IF(대장!J218&lt;&gt;"",대장!J218,대장!D218&amp;"에 임함"&amp;IF(대장!E218="","",CHAR(10)&amp;"고용형태: "&amp;대장!E218)&amp;IF(대장!I218="","",CHAR(10)&amp;"소정근로시간: "&amp;대장!I218)&amp;CHAR(10)&amp;"근로기간: "&amp;YEAR(대장!F218)&amp;"."&amp;MONTH(대장!F218)&amp;"."&amp;DAY(대장!F218)&amp;"."&amp;" ~ "&amp;IF(ISNUMBER(대장!G218),YEAR(대장!G218)&amp;"."&amp;MONTH(대장!G218)&amp;"."&amp;DAY(대장!G218)&amp;".","재직 중")))</x:f>
        <x:v>#NAME?</x:v>
      </x:c>
      <x:c r="F437" s="27" t="e">
        <x:f>IF($A437="","",IF(발령대장_설정!$B$5="","",발령대장_설정!$B$5))</x:f>
        <x:v>#NAME?</x:v>
      </x:c>
      <x:c r="G437" s="27" t="e">
        <x:f>IF($A437="","",IF(발령대장_설정!$B$6="","",발령대장_설정!$B$6))</x:f>
        <x:v>#NAME?</x:v>
      </x:c>
      <x:c r="H437" s="27" t="e">
        <x:f>IF($A437="","",IF(발령대장_설정!$B$7="","",발령대장_설정!$B$7))</x:f>
        <x:v>#NAME?</x:v>
      </x:c>
      <x:c r="I437" s="27" t="e">
        <x:f>IF($A437="","",IF(발령대장_설정!$B$8="","",발령대장_설정!$B$8))</x:f>
        <x:v>#NAME?</x:v>
      </x:c>
      <x:c r="J437" s="27" t="e">
        <x:f>IF($A437="","",IF(대장!K218="","",대장!K218))</x:f>
        <x:v>#NAME?</x:v>
      </x:c>
    </x:row>
    <x:row r="438" ht="42" customHeight="1">
      <x:c r="A438" s="47" t="e">
        <x:f>IF(AND(대장!A218&lt;&gt;"",ISNUMBER(대장!F218),ISNUMBER(대장!G218),대장!G218&gt;=대장!F218,대장!H218&lt;&gt;""),대장!G218,"")</x:f>
        <x:v>#NAME?</x:v>
      </x:c>
      <x:c r="B438" s="27" t="e">
        <x:f>IF($A438="","",IF(발령대장_설정!$B$4="","",발령대장_설정!$B$4))</x:f>
        <x:v>#NAME?</x:v>
      </x:c>
      <x:c r="C438" s="27" t="e">
        <x:f>IF($A438="","",대장!D218)</x:f>
        <x:v>#NAME?</x:v>
      </x:c>
      <x:c r="D438" s="27" t="e">
        <x:f>IF($A438="","",대장!A218)</x:f>
        <x:v>#NAME?</x:v>
      </x:c>
      <x:c r="E438" s="27" t="e">
        <x:f>IF($A438="","",IF(OR(ISNUMBER(SEARCH("계약만료",대장!H218&amp;"")),ISNUMBER(SEARCH("기간만료",대장!H218&amp;""))),"계약기간 만료로 퇴직",IF(ISNUMBER(SEARCH("의원면직",대장!H218&amp;"")),"의원면직",IF(ISNUMBER(SEARCH("정년퇴직",대장!H218&amp;"")),"정년퇴직",대장!H218))))</x:f>
        <x:v>#NAME?</x:v>
      </x:c>
      <x:c r="F438" s="27" t="e">
        <x:f>IF($A438="","",IF(발령대장_설정!$B$5="","",발령대장_설정!$B$5))</x:f>
        <x:v>#NAME?</x:v>
      </x:c>
      <x:c r="G438" s="27" t="e">
        <x:f>IF($A438="","",IF(발령대장_설정!$B$6="","",발령대장_설정!$B$6))</x:f>
        <x:v>#NAME?</x:v>
      </x:c>
      <x:c r="H438" s="27" t="e">
        <x:f>IF($A438="","",IF(발령대장_설정!$B$7="","",발령대장_설정!$B$7))</x:f>
        <x:v>#NAME?</x:v>
      </x:c>
      <x:c r="I438" s="27" t="e">
        <x:f>IF($A438="","",IF(발령대장_설정!$B$8="","",발령대장_설정!$B$8))</x:f>
        <x:v>#NAME?</x:v>
      </x:c>
      <x:c r="J438" s="27" t="str">
        <x:f>""</x:f>
      </x:c>
    </x:row>
    <x:row r="439" ht="42" customHeight="1">
      <x:c r="A439" s="47" t="e">
        <x:f>IF(AND(대장!A219&lt;&gt;"",ISNUMBER(대장!F219),OR(대장!G219="",AND(ISNUMBER(대장!G219),대장!G219&gt;=대장!F219))),대장!F219,"")</x:f>
        <x:v>#NAME?</x:v>
      </x:c>
      <x:c r="B439" s="27" t="e">
        <x:f>IF($A439="","",IF(발령대장_설정!$B$4="","",발령대장_설정!$B$4))</x:f>
        <x:v>#NAME?</x:v>
      </x:c>
      <x:c r="C439" s="27" t="e">
        <x:f>IF($A439="","",대장!D219)</x:f>
        <x:v>#NAME?</x:v>
      </x:c>
      <x:c r="D439" s="27" t="e">
        <x:f>IF($A439="","",대장!A219)</x:f>
        <x:v>#NAME?</x:v>
      </x:c>
      <x:c r="E439" s="27" t="e">
        <x:f>IF($A439="","",IF(대장!J219&lt;&gt;"",대장!J219,대장!D219&amp;"에 임함"&amp;IF(대장!E219="","",CHAR(10)&amp;"고용형태: "&amp;대장!E219)&amp;IF(대장!I219="","",CHAR(10)&amp;"소정근로시간: "&amp;대장!I219)&amp;CHAR(10)&amp;"근로기간: "&amp;YEAR(대장!F219)&amp;"."&amp;MONTH(대장!F219)&amp;"."&amp;DAY(대장!F219)&amp;"."&amp;" ~ "&amp;IF(ISNUMBER(대장!G219),YEAR(대장!G219)&amp;"."&amp;MONTH(대장!G219)&amp;"."&amp;DAY(대장!G219)&amp;".","재직 중")))</x:f>
        <x:v>#NAME?</x:v>
      </x:c>
      <x:c r="F439" s="27" t="e">
        <x:f>IF($A439="","",IF(발령대장_설정!$B$5="","",발령대장_설정!$B$5))</x:f>
        <x:v>#NAME?</x:v>
      </x:c>
      <x:c r="G439" s="27" t="e">
        <x:f>IF($A439="","",IF(발령대장_설정!$B$6="","",발령대장_설정!$B$6))</x:f>
        <x:v>#NAME?</x:v>
      </x:c>
      <x:c r="H439" s="27" t="e">
        <x:f>IF($A439="","",IF(발령대장_설정!$B$7="","",발령대장_설정!$B$7))</x:f>
        <x:v>#NAME?</x:v>
      </x:c>
      <x:c r="I439" s="27" t="e">
        <x:f>IF($A439="","",IF(발령대장_설정!$B$8="","",발령대장_설정!$B$8))</x:f>
        <x:v>#NAME?</x:v>
      </x:c>
      <x:c r="J439" s="27" t="e">
        <x:f>IF($A439="","",IF(대장!K219="","",대장!K219))</x:f>
        <x:v>#NAME?</x:v>
      </x:c>
    </x:row>
    <x:row r="440" ht="42" customHeight="1">
      <x:c r="A440" s="47" t="e">
        <x:f>IF(AND(대장!A219&lt;&gt;"",ISNUMBER(대장!F219),ISNUMBER(대장!G219),대장!G219&gt;=대장!F219,대장!H219&lt;&gt;""),대장!G219,"")</x:f>
        <x:v>#NAME?</x:v>
      </x:c>
      <x:c r="B440" s="27" t="e">
        <x:f>IF($A440="","",IF(발령대장_설정!$B$4="","",발령대장_설정!$B$4))</x:f>
        <x:v>#NAME?</x:v>
      </x:c>
      <x:c r="C440" s="27" t="e">
        <x:f>IF($A440="","",대장!D219)</x:f>
        <x:v>#NAME?</x:v>
      </x:c>
      <x:c r="D440" s="27" t="e">
        <x:f>IF($A440="","",대장!A219)</x:f>
        <x:v>#NAME?</x:v>
      </x:c>
      <x:c r="E440" s="27" t="e">
        <x:f>IF($A440="","",IF(OR(ISNUMBER(SEARCH("계약만료",대장!H219&amp;"")),ISNUMBER(SEARCH("기간만료",대장!H219&amp;""))),"계약기간 만료로 퇴직",IF(ISNUMBER(SEARCH("의원면직",대장!H219&amp;"")),"의원면직",IF(ISNUMBER(SEARCH("정년퇴직",대장!H219&amp;"")),"정년퇴직",대장!H219))))</x:f>
        <x:v>#NAME?</x:v>
      </x:c>
      <x:c r="F440" s="27" t="e">
        <x:f>IF($A440="","",IF(발령대장_설정!$B$5="","",발령대장_설정!$B$5))</x:f>
        <x:v>#NAME?</x:v>
      </x:c>
      <x:c r="G440" s="27" t="e">
        <x:f>IF($A440="","",IF(발령대장_설정!$B$6="","",발령대장_설정!$B$6))</x:f>
        <x:v>#NAME?</x:v>
      </x:c>
      <x:c r="H440" s="27" t="e">
        <x:f>IF($A440="","",IF(발령대장_설정!$B$7="","",발령대장_설정!$B$7))</x:f>
        <x:v>#NAME?</x:v>
      </x:c>
      <x:c r="I440" s="27" t="e">
        <x:f>IF($A440="","",IF(발령대장_설정!$B$8="","",발령대장_설정!$B$8))</x:f>
        <x:v>#NAME?</x:v>
      </x:c>
      <x:c r="J440" s="27" t="str">
        <x:f>""</x:f>
      </x:c>
    </x:row>
    <x:row r="441" ht="42" customHeight="1">
      <x:c r="A441" s="47" t="e">
        <x:f>IF(AND(대장!A220&lt;&gt;"",ISNUMBER(대장!F220),OR(대장!G220="",AND(ISNUMBER(대장!G220),대장!G220&gt;=대장!F220))),대장!F220,"")</x:f>
        <x:v>#NAME?</x:v>
      </x:c>
      <x:c r="B441" s="27" t="e">
        <x:f>IF($A441="","",IF(발령대장_설정!$B$4="","",발령대장_설정!$B$4))</x:f>
        <x:v>#NAME?</x:v>
      </x:c>
      <x:c r="C441" s="27" t="e">
        <x:f>IF($A441="","",대장!D220)</x:f>
        <x:v>#NAME?</x:v>
      </x:c>
      <x:c r="D441" s="27" t="e">
        <x:f>IF($A441="","",대장!A220)</x:f>
        <x:v>#NAME?</x:v>
      </x:c>
      <x:c r="E441" s="27" t="e">
        <x:f>IF($A441="","",IF(대장!J220&lt;&gt;"",대장!J220,대장!D220&amp;"에 임함"&amp;IF(대장!E220="","",CHAR(10)&amp;"고용형태: "&amp;대장!E220)&amp;IF(대장!I220="","",CHAR(10)&amp;"소정근로시간: "&amp;대장!I220)&amp;CHAR(10)&amp;"근로기간: "&amp;YEAR(대장!F220)&amp;"."&amp;MONTH(대장!F220)&amp;"."&amp;DAY(대장!F220)&amp;"."&amp;" ~ "&amp;IF(ISNUMBER(대장!G220),YEAR(대장!G220)&amp;"."&amp;MONTH(대장!G220)&amp;"."&amp;DAY(대장!G220)&amp;".","재직 중")))</x:f>
        <x:v>#NAME?</x:v>
      </x:c>
      <x:c r="F441" s="27" t="e">
        <x:f>IF($A441="","",IF(발령대장_설정!$B$5="","",발령대장_설정!$B$5))</x:f>
        <x:v>#NAME?</x:v>
      </x:c>
      <x:c r="G441" s="27" t="e">
        <x:f>IF($A441="","",IF(발령대장_설정!$B$6="","",발령대장_설정!$B$6))</x:f>
        <x:v>#NAME?</x:v>
      </x:c>
      <x:c r="H441" s="27" t="e">
        <x:f>IF($A441="","",IF(발령대장_설정!$B$7="","",발령대장_설정!$B$7))</x:f>
        <x:v>#NAME?</x:v>
      </x:c>
      <x:c r="I441" s="27" t="e">
        <x:f>IF($A441="","",IF(발령대장_설정!$B$8="","",발령대장_설정!$B$8))</x:f>
        <x:v>#NAME?</x:v>
      </x:c>
      <x:c r="J441" s="27" t="e">
        <x:f>IF($A441="","",IF(대장!K220="","",대장!K220))</x:f>
        <x:v>#NAME?</x:v>
      </x:c>
    </x:row>
    <x:row r="442" ht="42" customHeight="1">
      <x:c r="A442" s="47" t="e">
        <x:f>IF(AND(대장!A220&lt;&gt;"",ISNUMBER(대장!F220),ISNUMBER(대장!G220),대장!G220&gt;=대장!F220,대장!H220&lt;&gt;""),대장!G220,"")</x:f>
        <x:v>#NAME?</x:v>
      </x:c>
      <x:c r="B442" s="27" t="e">
        <x:f>IF($A442="","",IF(발령대장_설정!$B$4="","",발령대장_설정!$B$4))</x:f>
        <x:v>#NAME?</x:v>
      </x:c>
      <x:c r="C442" s="27" t="e">
        <x:f>IF($A442="","",대장!D220)</x:f>
        <x:v>#NAME?</x:v>
      </x:c>
      <x:c r="D442" s="27" t="e">
        <x:f>IF($A442="","",대장!A220)</x:f>
        <x:v>#NAME?</x:v>
      </x:c>
      <x:c r="E442" s="27" t="e">
        <x:f>IF($A442="","",IF(OR(ISNUMBER(SEARCH("계약만료",대장!H220&amp;"")),ISNUMBER(SEARCH("기간만료",대장!H220&amp;""))),"계약기간 만료로 퇴직",IF(ISNUMBER(SEARCH("의원면직",대장!H220&amp;"")),"의원면직",IF(ISNUMBER(SEARCH("정년퇴직",대장!H220&amp;"")),"정년퇴직",대장!H220))))</x:f>
        <x:v>#NAME?</x:v>
      </x:c>
      <x:c r="F442" s="27" t="e">
        <x:f>IF($A442="","",IF(발령대장_설정!$B$5="","",발령대장_설정!$B$5))</x:f>
        <x:v>#NAME?</x:v>
      </x:c>
      <x:c r="G442" s="27" t="e">
        <x:f>IF($A442="","",IF(발령대장_설정!$B$6="","",발령대장_설정!$B$6))</x:f>
        <x:v>#NAME?</x:v>
      </x:c>
      <x:c r="H442" s="27" t="e">
        <x:f>IF($A442="","",IF(발령대장_설정!$B$7="","",발령대장_설정!$B$7))</x:f>
        <x:v>#NAME?</x:v>
      </x:c>
      <x:c r="I442" s="27" t="e">
        <x:f>IF($A442="","",IF(발령대장_설정!$B$8="","",발령대장_설정!$B$8))</x:f>
        <x:v>#NAME?</x:v>
      </x:c>
      <x:c r="J442" s="27" t="str">
        <x:f>""</x:f>
      </x:c>
    </x:row>
    <x:row r="443" ht="42" customHeight="1">
      <x:c r="A443" s="47" t="e">
        <x:f>IF(AND(대장!A221&lt;&gt;"",ISNUMBER(대장!F221),OR(대장!G221="",AND(ISNUMBER(대장!G221),대장!G221&gt;=대장!F221))),대장!F221,"")</x:f>
        <x:v>#NAME?</x:v>
      </x:c>
      <x:c r="B443" s="27" t="e">
        <x:f>IF($A443="","",IF(발령대장_설정!$B$4="","",발령대장_설정!$B$4))</x:f>
        <x:v>#NAME?</x:v>
      </x:c>
      <x:c r="C443" s="27" t="e">
        <x:f>IF($A443="","",대장!D221)</x:f>
        <x:v>#NAME?</x:v>
      </x:c>
      <x:c r="D443" s="27" t="e">
        <x:f>IF($A443="","",대장!A221)</x:f>
        <x:v>#NAME?</x:v>
      </x:c>
      <x:c r="E443" s="27" t="e">
        <x:f>IF($A443="","",IF(대장!J221&lt;&gt;"",대장!J221,대장!D221&amp;"에 임함"&amp;IF(대장!E221="","",CHAR(10)&amp;"고용형태: "&amp;대장!E221)&amp;IF(대장!I221="","",CHAR(10)&amp;"소정근로시간: "&amp;대장!I221)&amp;CHAR(10)&amp;"근로기간: "&amp;YEAR(대장!F221)&amp;"."&amp;MONTH(대장!F221)&amp;"."&amp;DAY(대장!F221)&amp;"."&amp;" ~ "&amp;IF(ISNUMBER(대장!G221),YEAR(대장!G221)&amp;"."&amp;MONTH(대장!G221)&amp;"."&amp;DAY(대장!G221)&amp;".","재직 중")))</x:f>
        <x:v>#NAME?</x:v>
      </x:c>
      <x:c r="F443" s="27" t="e">
        <x:f>IF($A443="","",IF(발령대장_설정!$B$5="","",발령대장_설정!$B$5))</x:f>
        <x:v>#NAME?</x:v>
      </x:c>
      <x:c r="G443" s="27" t="e">
        <x:f>IF($A443="","",IF(발령대장_설정!$B$6="","",발령대장_설정!$B$6))</x:f>
        <x:v>#NAME?</x:v>
      </x:c>
      <x:c r="H443" s="27" t="e">
        <x:f>IF($A443="","",IF(발령대장_설정!$B$7="","",발령대장_설정!$B$7))</x:f>
        <x:v>#NAME?</x:v>
      </x:c>
      <x:c r="I443" s="27" t="e">
        <x:f>IF($A443="","",IF(발령대장_설정!$B$8="","",발령대장_설정!$B$8))</x:f>
        <x:v>#NAME?</x:v>
      </x:c>
      <x:c r="J443" s="27" t="e">
        <x:f>IF($A443="","",IF(대장!K221="","",대장!K221))</x:f>
        <x:v>#NAME?</x:v>
      </x:c>
    </x:row>
    <x:row r="444" ht="42" customHeight="1">
      <x:c r="A444" s="47" t="e">
        <x:f>IF(AND(대장!A221&lt;&gt;"",ISNUMBER(대장!F221),ISNUMBER(대장!G221),대장!G221&gt;=대장!F221,대장!H221&lt;&gt;""),대장!G221,"")</x:f>
        <x:v>#NAME?</x:v>
      </x:c>
      <x:c r="B444" s="27" t="e">
        <x:f>IF($A444="","",IF(발령대장_설정!$B$4="","",발령대장_설정!$B$4))</x:f>
        <x:v>#NAME?</x:v>
      </x:c>
      <x:c r="C444" s="27" t="e">
        <x:f>IF($A444="","",대장!D221)</x:f>
        <x:v>#NAME?</x:v>
      </x:c>
      <x:c r="D444" s="27" t="e">
        <x:f>IF($A444="","",대장!A221)</x:f>
        <x:v>#NAME?</x:v>
      </x:c>
      <x:c r="E444" s="27" t="e">
        <x:f>IF($A444="","",IF(OR(ISNUMBER(SEARCH("계약만료",대장!H221&amp;"")),ISNUMBER(SEARCH("기간만료",대장!H221&amp;""))),"계약기간 만료로 퇴직",IF(ISNUMBER(SEARCH("의원면직",대장!H221&amp;"")),"의원면직",IF(ISNUMBER(SEARCH("정년퇴직",대장!H221&amp;"")),"정년퇴직",대장!H221))))</x:f>
        <x:v>#NAME?</x:v>
      </x:c>
      <x:c r="F444" s="27" t="e">
        <x:f>IF($A444="","",IF(발령대장_설정!$B$5="","",발령대장_설정!$B$5))</x:f>
        <x:v>#NAME?</x:v>
      </x:c>
      <x:c r="G444" s="27" t="e">
        <x:f>IF($A444="","",IF(발령대장_설정!$B$6="","",발령대장_설정!$B$6))</x:f>
        <x:v>#NAME?</x:v>
      </x:c>
      <x:c r="H444" s="27" t="e">
        <x:f>IF($A444="","",IF(발령대장_설정!$B$7="","",발령대장_설정!$B$7))</x:f>
        <x:v>#NAME?</x:v>
      </x:c>
      <x:c r="I444" s="27" t="e">
        <x:f>IF($A444="","",IF(발령대장_설정!$B$8="","",발령대장_설정!$B$8))</x:f>
        <x:v>#NAME?</x:v>
      </x:c>
      <x:c r="J444" s="27" t="str">
        <x:f>""</x:f>
      </x:c>
    </x:row>
    <x:row r="445" ht="42" customHeight="1">
      <x:c r="A445" s="47" t="e">
        <x:f>IF(AND(대장!A222&lt;&gt;"",ISNUMBER(대장!F222),OR(대장!G222="",AND(ISNUMBER(대장!G222),대장!G222&gt;=대장!F222))),대장!F222,"")</x:f>
        <x:v>#NAME?</x:v>
      </x:c>
      <x:c r="B445" s="27" t="e">
        <x:f>IF($A445="","",IF(발령대장_설정!$B$4="","",발령대장_설정!$B$4))</x:f>
        <x:v>#NAME?</x:v>
      </x:c>
      <x:c r="C445" s="27" t="e">
        <x:f>IF($A445="","",대장!D222)</x:f>
        <x:v>#NAME?</x:v>
      </x:c>
      <x:c r="D445" s="27" t="e">
        <x:f>IF($A445="","",대장!A222)</x:f>
        <x:v>#NAME?</x:v>
      </x:c>
      <x:c r="E445" s="27" t="e">
        <x:f>IF($A445="","",IF(대장!J222&lt;&gt;"",대장!J222,대장!D222&amp;"에 임함"&amp;IF(대장!E222="","",CHAR(10)&amp;"고용형태: "&amp;대장!E222)&amp;IF(대장!I222="","",CHAR(10)&amp;"소정근로시간: "&amp;대장!I222)&amp;CHAR(10)&amp;"근로기간: "&amp;YEAR(대장!F222)&amp;"."&amp;MONTH(대장!F222)&amp;"."&amp;DAY(대장!F222)&amp;"."&amp;" ~ "&amp;IF(ISNUMBER(대장!G222),YEAR(대장!G222)&amp;"."&amp;MONTH(대장!G222)&amp;"."&amp;DAY(대장!G222)&amp;".","재직 중")))</x:f>
        <x:v>#NAME?</x:v>
      </x:c>
      <x:c r="F445" s="27" t="e">
        <x:f>IF($A445="","",IF(발령대장_설정!$B$5="","",발령대장_설정!$B$5))</x:f>
        <x:v>#NAME?</x:v>
      </x:c>
      <x:c r="G445" s="27" t="e">
        <x:f>IF($A445="","",IF(발령대장_설정!$B$6="","",발령대장_설정!$B$6))</x:f>
        <x:v>#NAME?</x:v>
      </x:c>
      <x:c r="H445" s="27" t="e">
        <x:f>IF($A445="","",IF(발령대장_설정!$B$7="","",발령대장_설정!$B$7))</x:f>
        <x:v>#NAME?</x:v>
      </x:c>
      <x:c r="I445" s="27" t="e">
        <x:f>IF($A445="","",IF(발령대장_설정!$B$8="","",발령대장_설정!$B$8))</x:f>
        <x:v>#NAME?</x:v>
      </x:c>
      <x:c r="J445" s="27" t="e">
        <x:f>IF($A445="","",IF(대장!K222="","",대장!K222))</x:f>
        <x:v>#NAME?</x:v>
      </x:c>
    </x:row>
    <x:row r="446" ht="42" customHeight="1">
      <x:c r="A446" s="47" t="e">
        <x:f>IF(AND(대장!A222&lt;&gt;"",ISNUMBER(대장!F222),ISNUMBER(대장!G222),대장!G222&gt;=대장!F222,대장!H222&lt;&gt;""),대장!G222,"")</x:f>
        <x:v>#NAME?</x:v>
      </x:c>
      <x:c r="B446" s="27" t="e">
        <x:f>IF($A446="","",IF(발령대장_설정!$B$4="","",발령대장_설정!$B$4))</x:f>
        <x:v>#NAME?</x:v>
      </x:c>
      <x:c r="C446" s="27" t="e">
        <x:f>IF($A446="","",대장!D222)</x:f>
        <x:v>#NAME?</x:v>
      </x:c>
      <x:c r="D446" s="27" t="e">
        <x:f>IF($A446="","",대장!A222)</x:f>
        <x:v>#NAME?</x:v>
      </x:c>
      <x:c r="E446" s="27" t="e">
        <x:f>IF($A446="","",IF(OR(ISNUMBER(SEARCH("계약만료",대장!H222&amp;"")),ISNUMBER(SEARCH("기간만료",대장!H222&amp;""))),"계약기간 만료로 퇴직",IF(ISNUMBER(SEARCH("의원면직",대장!H222&amp;"")),"의원면직",IF(ISNUMBER(SEARCH("정년퇴직",대장!H222&amp;"")),"정년퇴직",대장!H222))))</x:f>
        <x:v>#NAME?</x:v>
      </x:c>
      <x:c r="F446" s="27" t="e">
        <x:f>IF($A446="","",IF(발령대장_설정!$B$5="","",발령대장_설정!$B$5))</x:f>
        <x:v>#NAME?</x:v>
      </x:c>
      <x:c r="G446" s="27" t="e">
        <x:f>IF($A446="","",IF(발령대장_설정!$B$6="","",발령대장_설정!$B$6))</x:f>
        <x:v>#NAME?</x:v>
      </x:c>
      <x:c r="H446" s="27" t="e">
        <x:f>IF($A446="","",IF(발령대장_설정!$B$7="","",발령대장_설정!$B$7))</x:f>
        <x:v>#NAME?</x:v>
      </x:c>
      <x:c r="I446" s="27" t="e">
        <x:f>IF($A446="","",IF(발령대장_설정!$B$8="","",발령대장_설정!$B$8))</x:f>
        <x:v>#NAME?</x:v>
      </x:c>
      <x:c r="J446" s="27" t="str">
        <x:f>""</x:f>
      </x:c>
    </x:row>
    <x:row r="447" ht="42" customHeight="1">
      <x:c r="A447" s="47" t="e">
        <x:f>IF(AND(대장!A223&lt;&gt;"",ISNUMBER(대장!F223),OR(대장!G223="",AND(ISNUMBER(대장!G223),대장!G223&gt;=대장!F223))),대장!F223,"")</x:f>
        <x:v>#NAME?</x:v>
      </x:c>
      <x:c r="B447" s="27" t="e">
        <x:f>IF($A447="","",IF(발령대장_설정!$B$4="","",발령대장_설정!$B$4))</x:f>
        <x:v>#NAME?</x:v>
      </x:c>
      <x:c r="C447" s="27" t="e">
        <x:f>IF($A447="","",대장!D223)</x:f>
        <x:v>#NAME?</x:v>
      </x:c>
      <x:c r="D447" s="27" t="e">
        <x:f>IF($A447="","",대장!A223)</x:f>
        <x:v>#NAME?</x:v>
      </x:c>
      <x:c r="E447" s="27" t="e">
        <x:f>IF($A447="","",IF(대장!J223&lt;&gt;"",대장!J223,대장!D223&amp;"에 임함"&amp;IF(대장!E223="","",CHAR(10)&amp;"고용형태: "&amp;대장!E223)&amp;IF(대장!I223="","",CHAR(10)&amp;"소정근로시간: "&amp;대장!I223)&amp;CHAR(10)&amp;"근로기간: "&amp;YEAR(대장!F223)&amp;"."&amp;MONTH(대장!F223)&amp;"."&amp;DAY(대장!F223)&amp;"."&amp;" ~ "&amp;IF(ISNUMBER(대장!G223),YEAR(대장!G223)&amp;"."&amp;MONTH(대장!G223)&amp;"."&amp;DAY(대장!G223)&amp;".","재직 중")))</x:f>
        <x:v>#NAME?</x:v>
      </x:c>
      <x:c r="F447" s="27" t="e">
        <x:f>IF($A447="","",IF(발령대장_설정!$B$5="","",발령대장_설정!$B$5))</x:f>
        <x:v>#NAME?</x:v>
      </x:c>
      <x:c r="G447" s="27" t="e">
        <x:f>IF($A447="","",IF(발령대장_설정!$B$6="","",발령대장_설정!$B$6))</x:f>
        <x:v>#NAME?</x:v>
      </x:c>
      <x:c r="H447" s="27" t="e">
        <x:f>IF($A447="","",IF(발령대장_설정!$B$7="","",발령대장_설정!$B$7))</x:f>
        <x:v>#NAME?</x:v>
      </x:c>
      <x:c r="I447" s="27" t="e">
        <x:f>IF($A447="","",IF(발령대장_설정!$B$8="","",발령대장_설정!$B$8))</x:f>
        <x:v>#NAME?</x:v>
      </x:c>
      <x:c r="J447" s="27" t="e">
        <x:f>IF($A447="","",IF(대장!K223="","",대장!K223))</x:f>
        <x:v>#NAME?</x:v>
      </x:c>
    </x:row>
    <x:row r="448" ht="42" customHeight="1">
      <x:c r="A448" s="47" t="e">
        <x:f>IF(AND(대장!A223&lt;&gt;"",ISNUMBER(대장!F223),ISNUMBER(대장!G223),대장!G223&gt;=대장!F223,대장!H223&lt;&gt;""),대장!G223,"")</x:f>
        <x:v>#NAME?</x:v>
      </x:c>
      <x:c r="B448" s="27" t="e">
        <x:f>IF($A448="","",IF(발령대장_설정!$B$4="","",발령대장_설정!$B$4))</x:f>
        <x:v>#NAME?</x:v>
      </x:c>
      <x:c r="C448" s="27" t="e">
        <x:f>IF($A448="","",대장!D223)</x:f>
        <x:v>#NAME?</x:v>
      </x:c>
      <x:c r="D448" s="27" t="e">
        <x:f>IF($A448="","",대장!A223)</x:f>
        <x:v>#NAME?</x:v>
      </x:c>
      <x:c r="E448" s="27" t="e">
        <x:f>IF($A448="","",IF(OR(ISNUMBER(SEARCH("계약만료",대장!H223&amp;"")),ISNUMBER(SEARCH("기간만료",대장!H223&amp;""))),"계약기간 만료로 퇴직",IF(ISNUMBER(SEARCH("의원면직",대장!H223&amp;"")),"의원면직",IF(ISNUMBER(SEARCH("정년퇴직",대장!H223&amp;"")),"정년퇴직",대장!H223))))</x:f>
        <x:v>#NAME?</x:v>
      </x:c>
      <x:c r="F448" s="27" t="e">
        <x:f>IF($A448="","",IF(발령대장_설정!$B$5="","",발령대장_설정!$B$5))</x:f>
        <x:v>#NAME?</x:v>
      </x:c>
      <x:c r="G448" s="27" t="e">
        <x:f>IF($A448="","",IF(발령대장_설정!$B$6="","",발령대장_설정!$B$6))</x:f>
        <x:v>#NAME?</x:v>
      </x:c>
      <x:c r="H448" s="27" t="e">
        <x:f>IF($A448="","",IF(발령대장_설정!$B$7="","",발령대장_설정!$B$7))</x:f>
        <x:v>#NAME?</x:v>
      </x:c>
      <x:c r="I448" s="27" t="e">
        <x:f>IF($A448="","",IF(발령대장_설정!$B$8="","",발령대장_설정!$B$8))</x:f>
        <x:v>#NAME?</x:v>
      </x:c>
      <x:c r="J448" s="27" t="str">
        <x:f>""</x:f>
      </x:c>
    </x:row>
    <x:row r="449" ht="42" customHeight="1">
      <x:c r="A449" s="47" t="e">
        <x:f>IF(AND(대장!A224&lt;&gt;"",ISNUMBER(대장!F224),OR(대장!G224="",AND(ISNUMBER(대장!G224),대장!G224&gt;=대장!F224))),대장!F224,"")</x:f>
        <x:v>#NAME?</x:v>
      </x:c>
      <x:c r="B449" s="27" t="e">
        <x:f>IF($A449="","",IF(발령대장_설정!$B$4="","",발령대장_설정!$B$4))</x:f>
        <x:v>#NAME?</x:v>
      </x:c>
      <x:c r="C449" s="27" t="e">
        <x:f>IF($A449="","",대장!D224)</x:f>
        <x:v>#NAME?</x:v>
      </x:c>
      <x:c r="D449" s="27" t="e">
        <x:f>IF($A449="","",대장!A224)</x:f>
        <x:v>#NAME?</x:v>
      </x:c>
      <x:c r="E449" s="27" t="e">
        <x:f>IF($A449="","",IF(대장!J224&lt;&gt;"",대장!J224,대장!D224&amp;"에 임함"&amp;IF(대장!E224="","",CHAR(10)&amp;"고용형태: "&amp;대장!E224)&amp;IF(대장!I224="","",CHAR(10)&amp;"소정근로시간: "&amp;대장!I224)&amp;CHAR(10)&amp;"근로기간: "&amp;YEAR(대장!F224)&amp;"."&amp;MONTH(대장!F224)&amp;"."&amp;DAY(대장!F224)&amp;"."&amp;" ~ "&amp;IF(ISNUMBER(대장!G224),YEAR(대장!G224)&amp;"."&amp;MONTH(대장!G224)&amp;"."&amp;DAY(대장!G224)&amp;".","재직 중")))</x:f>
        <x:v>#NAME?</x:v>
      </x:c>
      <x:c r="F449" s="27" t="e">
        <x:f>IF($A449="","",IF(발령대장_설정!$B$5="","",발령대장_설정!$B$5))</x:f>
        <x:v>#NAME?</x:v>
      </x:c>
      <x:c r="G449" s="27" t="e">
        <x:f>IF($A449="","",IF(발령대장_설정!$B$6="","",발령대장_설정!$B$6))</x:f>
        <x:v>#NAME?</x:v>
      </x:c>
      <x:c r="H449" s="27" t="e">
        <x:f>IF($A449="","",IF(발령대장_설정!$B$7="","",발령대장_설정!$B$7))</x:f>
        <x:v>#NAME?</x:v>
      </x:c>
      <x:c r="I449" s="27" t="e">
        <x:f>IF($A449="","",IF(발령대장_설정!$B$8="","",발령대장_설정!$B$8))</x:f>
        <x:v>#NAME?</x:v>
      </x:c>
      <x:c r="J449" s="27" t="e">
        <x:f>IF($A449="","",IF(대장!K224="","",대장!K224))</x:f>
        <x:v>#NAME?</x:v>
      </x:c>
    </x:row>
    <x:row r="450" ht="42" customHeight="1">
      <x:c r="A450" s="47" t="e">
        <x:f>IF(AND(대장!A224&lt;&gt;"",ISNUMBER(대장!F224),ISNUMBER(대장!G224),대장!G224&gt;=대장!F224,대장!H224&lt;&gt;""),대장!G224,"")</x:f>
        <x:v>#NAME?</x:v>
      </x:c>
      <x:c r="B450" s="27" t="e">
        <x:f>IF($A450="","",IF(발령대장_설정!$B$4="","",발령대장_설정!$B$4))</x:f>
        <x:v>#NAME?</x:v>
      </x:c>
      <x:c r="C450" s="27" t="e">
        <x:f>IF($A450="","",대장!D224)</x:f>
        <x:v>#NAME?</x:v>
      </x:c>
      <x:c r="D450" s="27" t="e">
        <x:f>IF($A450="","",대장!A224)</x:f>
        <x:v>#NAME?</x:v>
      </x:c>
      <x:c r="E450" s="27" t="e">
        <x:f>IF($A450="","",IF(OR(ISNUMBER(SEARCH("계약만료",대장!H224&amp;"")),ISNUMBER(SEARCH("기간만료",대장!H224&amp;""))),"계약기간 만료로 퇴직",IF(ISNUMBER(SEARCH("의원면직",대장!H224&amp;"")),"의원면직",IF(ISNUMBER(SEARCH("정년퇴직",대장!H224&amp;"")),"정년퇴직",대장!H224))))</x:f>
        <x:v>#NAME?</x:v>
      </x:c>
      <x:c r="F450" s="27" t="e">
        <x:f>IF($A450="","",IF(발령대장_설정!$B$5="","",발령대장_설정!$B$5))</x:f>
        <x:v>#NAME?</x:v>
      </x:c>
      <x:c r="G450" s="27" t="e">
        <x:f>IF($A450="","",IF(발령대장_설정!$B$6="","",발령대장_설정!$B$6))</x:f>
        <x:v>#NAME?</x:v>
      </x:c>
      <x:c r="H450" s="27" t="e">
        <x:f>IF($A450="","",IF(발령대장_설정!$B$7="","",발령대장_설정!$B$7))</x:f>
        <x:v>#NAME?</x:v>
      </x:c>
      <x:c r="I450" s="27" t="e">
        <x:f>IF($A450="","",IF(발령대장_설정!$B$8="","",발령대장_설정!$B$8))</x:f>
        <x:v>#NAME?</x:v>
      </x:c>
      <x:c r="J450" s="27" t="str">
        <x:f>""</x:f>
      </x:c>
    </x:row>
    <x:row r="451" ht="42" customHeight="1">
      <x:c r="A451" s="47" t="e">
        <x:f>IF(AND(대장!A225&lt;&gt;"",ISNUMBER(대장!F225),OR(대장!G225="",AND(ISNUMBER(대장!G225),대장!G225&gt;=대장!F225))),대장!F225,"")</x:f>
        <x:v>#NAME?</x:v>
      </x:c>
      <x:c r="B451" s="27" t="e">
        <x:f>IF($A451="","",IF(발령대장_설정!$B$4="","",발령대장_설정!$B$4))</x:f>
        <x:v>#NAME?</x:v>
      </x:c>
      <x:c r="C451" s="27" t="e">
        <x:f>IF($A451="","",대장!D225)</x:f>
        <x:v>#NAME?</x:v>
      </x:c>
      <x:c r="D451" s="27" t="e">
        <x:f>IF($A451="","",대장!A225)</x:f>
        <x:v>#NAME?</x:v>
      </x:c>
      <x:c r="E451" s="27" t="e">
        <x:f>IF($A451="","",IF(대장!J225&lt;&gt;"",대장!J225,대장!D225&amp;"에 임함"&amp;IF(대장!E225="","",CHAR(10)&amp;"고용형태: "&amp;대장!E225)&amp;IF(대장!I225="","",CHAR(10)&amp;"소정근로시간: "&amp;대장!I225)&amp;CHAR(10)&amp;"근로기간: "&amp;YEAR(대장!F225)&amp;"."&amp;MONTH(대장!F225)&amp;"."&amp;DAY(대장!F225)&amp;"."&amp;" ~ "&amp;IF(ISNUMBER(대장!G225),YEAR(대장!G225)&amp;"."&amp;MONTH(대장!G225)&amp;"."&amp;DAY(대장!G225)&amp;".","재직 중")))</x:f>
        <x:v>#NAME?</x:v>
      </x:c>
      <x:c r="F451" s="27" t="e">
        <x:f>IF($A451="","",IF(발령대장_설정!$B$5="","",발령대장_설정!$B$5))</x:f>
        <x:v>#NAME?</x:v>
      </x:c>
      <x:c r="G451" s="27" t="e">
        <x:f>IF($A451="","",IF(발령대장_설정!$B$6="","",발령대장_설정!$B$6))</x:f>
        <x:v>#NAME?</x:v>
      </x:c>
      <x:c r="H451" s="27" t="e">
        <x:f>IF($A451="","",IF(발령대장_설정!$B$7="","",발령대장_설정!$B$7))</x:f>
        <x:v>#NAME?</x:v>
      </x:c>
      <x:c r="I451" s="27" t="e">
        <x:f>IF($A451="","",IF(발령대장_설정!$B$8="","",발령대장_설정!$B$8))</x:f>
        <x:v>#NAME?</x:v>
      </x:c>
      <x:c r="J451" s="27" t="e">
        <x:f>IF($A451="","",IF(대장!K225="","",대장!K225))</x:f>
        <x:v>#NAME?</x:v>
      </x:c>
    </x:row>
    <x:row r="452" ht="42" customHeight="1">
      <x:c r="A452" s="47" t="e">
        <x:f>IF(AND(대장!A225&lt;&gt;"",ISNUMBER(대장!F225),ISNUMBER(대장!G225),대장!G225&gt;=대장!F225,대장!H225&lt;&gt;""),대장!G225,"")</x:f>
        <x:v>#NAME?</x:v>
      </x:c>
      <x:c r="B452" s="27" t="e">
        <x:f>IF($A452="","",IF(발령대장_설정!$B$4="","",발령대장_설정!$B$4))</x:f>
        <x:v>#NAME?</x:v>
      </x:c>
      <x:c r="C452" s="27" t="e">
        <x:f>IF($A452="","",대장!D225)</x:f>
        <x:v>#NAME?</x:v>
      </x:c>
      <x:c r="D452" s="27" t="e">
        <x:f>IF($A452="","",대장!A225)</x:f>
        <x:v>#NAME?</x:v>
      </x:c>
      <x:c r="E452" s="27" t="e">
        <x:f>IF($A452="","",IF(OR(ISNUMBER(SEARCH("계약만료",대장!H225&amp;"")),ISNUMBER(SEARCH("기간만료",대장!H225&amp;""))),"계약기간 만료로 퇴직",IF(ISNUMBER(SEARCH("의원면직",대장!H225&amp;"")),"의원면직",IF(ISNUMBER(SEARCH("정년퇴직",대장!H225&amp;"")),"정년퇴직",대장!H225))))</x:f>
        <x:v>#NAME?</x:v>
      </x:c>
      <x:c r="F452" s="27" t="e">
        <x:f>IF($A452="","",IF(발령대장_설정!$B$5="","",발령대장_설정!$B$5))</x:f>
        <x:v>#NAME?</x:v>
      </x:c>
      <x:c r="G452" s="27" t="e">
        <x:f>IF($A452="","",IF(발령대장_설정!$B$6="","",발령대장_설정!$B$6))</x:f>
        <x:v>#NAME?</x:v>
      </x:c>
      <x:c r="H452" s="27" t="e">
        <x:f>IF($A452="","",IF(발령대장_설정!$B$7="","",발령대장_설정!$B$7))</x:f>
        <x:v>#NAME?</x:v>
      </x:c>
      <x:c r="I452" s="27" t="e">
        <x:f>IF($A452="","",IF(발령대장_설정!$B$8="","",발령대장_설정!$B$8))</x:f>
        <x:v>#NAME?</x:v>
      </x:c>
      <x:c r="J452" s="27" t="str">
        <x:f>""</x:f>
      </x:c>
    </x:row>
    <x:row r="453" ht="42" customHeight="1">
      <x:c r="A453" s="47" t="e">
        <x:f>IF(AND(대장!A226&lt;&gt;"",ISNUMBER(대장!F226),OR(대장!G226="",AND(ISNUMBER(대장!G226),대장!G226&gt;=대장!F226))),대장!F226,"")</x:f>
        <x:v>#NAME?</x:v>
      </x:c>
      <x:c r="B453" s="27" t="e">
        <x:f>IF($A453="","",IF(발령대장_설정!$B$4="","",발령대장_설정!$B$4))</x:f>
        <x:v>#NAME?</x:v>
      </x:c>
      <x:c r="C453" s="27" t="e">
        <x:f>IF($A453="","",대장!D226)</x:f>
        <x:v>#NAME?</x:v>
      </x:c>
      <x:c r="D453" s="27" t="e">
        <x:f>IF($A453="","",대장!A226)</x:f>
        <x:v>#NAME?</x:v>
      </x:c>
      <x:c r="E453" s="27" t="e">
        <x:f>IF($A453="","",IF(대장!J226&lt;&gt;"",대장!J226,대장!D226&amp;"에 임함"&amp;IF(대장!E226="","",CHAR(10)&amp;"고용형태: "&amp;대장!E226)&amp;IF(대장!I226="","",CHAR(10)&amp;"소정근로시간: "&amp;대장!I226)&amp;CHAR(10)&amp;"근로기간: "&amp;YEAR(대장!F226)&amp;"."&amp;MONTH(대장!F226)&amp;"."&amp;DAY(대장!F226)&amp;"."&amp;" ~ "&amp;IF(ISNUMBER(대장!G226),YEAR(대장!G226)&amp;"."&amp;MONTH(대장!G226)&amp;"."&amp;DAY(대장!G226)&amp;".","재직 중")))</x:f>
        <x:v>#NAME?</x:v>
      </x:c>
      <x:c r="F453" s="27" t="e">
        <x:f>IF($A453="","",IF(발령대장_설정!$B$5="","",발령대장_설정!$B$5))</x:f>
        <x:v>#NAME?</x:v>
      </x:c>
      <x:c r="G453" s="27" t="e">
        <x:f>IF($A453="","",IF(발령대장_설정!$B$6="","",발령대장_설정!$B$6))</x:f>
        <x:v>#NAME?</x:v>
      </x:c>
      <x:c r="H453" s="27" t="e">
        <x:f>IF($A453="","",IF(발령대장_설정!$B$7="","",발령대장_설정!$B$7))</x:f>
        <x:v>#NAME?</x:v>
      </x:c>
      <x:c r="I453" s="27" t="e">
        <x:f>IF($A453="","",IF(발령대장_설정!$B$8="","",발령대장_설정!$B$8))</x:f>
        <x:v>#NAME?</x:v>
      </x:c>
      <x:c r="J453" s="27" t="e">
        <x:f>IF($A453="","",IF(대장!K226="","",대장!K226))</x:f>
        <x:v>#NAME?</x:v>
      </x:c>
    </x:row>
    <x:row r="454" ht="42" customHeight="1">
      <x:c r="A454" s="47" t="e">
        <x:f>IF(AND(대장!A226&lt;&gt;"",ISNUMBER(대장!F226),ISNUMBER(대장!G226),대장!G226&gt;=대장!F226,대장!H226&lt;&gt;""),대장!G226,"")</x:f>
        <x:v>#NAME?</x:v>
      </x:c>
      <x:c r="B454" s="27" t="e">
        <x:f>IF($A454="","",IF(발령대장_설정!$B$4="","",발령대장_설정!$B$4))</x:f>
        <x:v>#NAME?</x:v>
      </x:c>
      <x:c r="C454" s="27" t="e">
        <x:f>IF($A454="","",대장!D226)</x:f>
        <x:v>#NAME?</x:v>
      </x:c>
      <x:c r="D454" s="27" t="e">
        <x:f>IF($A454="","",대장!A226)</x:f>
        <x:v>#NAME?</x:v>
      </x:c>
      <x:c r="E454" s="27" t="e">
        <x:f>IF($A454="","",IF(OR(ISNUMBER(SEARCH("계약만료",대장!H226&amp;"")),ISNUMBER(SEARCH("기간만료",대장!H226&amp;""))),"계약기간 만료로 퇴직",IF(ISNUMBER(SEARCH("의원면직",대장!H226&amp;"")),"의원면직",IF(ISNUMBER(SEARCH("정년퇴직",대장!H226&amp;"")),"정년퇴직",대장!H226))))</x:f>
        <x:v>#NAME?</x:v>
      </x:c>
      <x:c r="F454" s="27" t="e">
        <x:f>IF($A454="","",IF(발령대장_설정!$B$5="","",발령대장_설정!$B$5))</x:f>
        <x:v>#NAME?</x:v>
      </x:c>
      <x:c r="G454" s="27" t="e">
        <x:f>IF($A454="","",IF(발령대장_설정!$B$6="","",발령대장_설정!$B$6))</x:f>
        <x:v>#NAME?</x:v>
      </x:c>
      <x:c r="H454" s="27" t="e">
        <x:f>IF($A454="","",IF(발령대장_설정!$B$7="","",발령대장_설정!$B$7))</x:f>
        <x:v>#NAME?</x:v>
      </x:c>
      <x:c r="I454" s="27" t="e">
        <x:f>IF($A454="","",IF(발령대장_설정!$B$8="","",발령대장_설정!$B$8))</x:f>
        <x:v>#NAME?</x:v>
      </x:c>
      <x:c r="J454" s="27" t="str">
        <x:f>""</x:f>
      </x:c>
    </x:row>
    <x:row r="455" ht="42" customHeight="1">
      <x:c r="A455" s="47" t="e">
        <x:f>IF(AND(대장!A227&lt;&gt;"",ISNUMBER(대장!F227),OR(대장!G227="",AND(ISNUMBER(대장!G227),대장!G227&gt;=대장!F227))),대장!F227,"")</x:f>
        <x:v>#NAME?</x:v>
      </x:c>
      <x:c r="B455" s="27" t="e">
        <x:f>IF($A455="","",IF(발령대장_설정!$B$4="","",발령대장_설정!$B$4))</x:f>
        <x:v>#NAME?</x:v>
      </x:c>
      <x:c r="C455" s="27" t="e">
        <x:f>IF($A455="","",대장!D227)</x:f>
        <x:v>#NAME?</x:v>
      </x:c>
      <x:c r="D455" s="27" t="e">
        <x:f>IF($A455="","",대장!A227)</x:f>
        <x:v>#NAME?</x:v>
      </x:c>
      <x:c r="E455" s="27" t="e">
        <x:f>IF($A455="","",IF(대장!J227&lt;&gt;"",대장!J227,대장!D227&amp;"에 임함"&amp;IF(대장!E227="","",CHAR(10)&amp;"고용형태: "&amp;대장!E227)&amp;IF(대장!I227="","",CHAR(10)&amp;"소정근로시간: "&amp;대장!I227)&amp;CHAR(10)&amp;"근로기간: "&amp;YEAR(대장!F227)&amp;"."&amp;MONTH(대장!F227)&amp;"."&amp;DAY(대장!F227)&amp;"."&amp;" ~ "&amp;IF(ISNUMBER(대장!G227),YEAR(대장!G227)&amp;"."&amp;MONTH(대장!G227)&amp;"."&amp;DAY(대장!G227)&amp;".","재직 중")))</x:f>
        <x:v>#NAME?</x:v>
      </x:c>
      <x:c r="F455" s="27" t="e">
        <x:f>IF($A455="","",IF(발령대장_설정!$B$5="","",발령대장_설정!$B$5))</x:f>
        <x:v>#NAME?</x:v>
      </x:c>
      <x:c r="G455" s="27" t="e">
        <x:f>IF($A455="","",IF(발령대장_설정!$B$6="","",발령대장_설정!$B$6))</x:f>
        <x:v>#NAME?</x:v>
      </x:c>
      <x:c r="H455" s="27" t="e">
        <x:f>IF($A455="","",IF(발령대장_설정!$B$7="","",발령대장_설정!$B$7))</x:f>
        <x:v>#NAME?</x:v>
      </x:c>
      <x:c r="I455" s="27" t="e">
        <x:f>IF($A455="","",IF(발령대장_설정!$B$8="","",발령대장_설정!$B$8))</x:f>
        <x:v>#NAME?</x:v>
      </x:c>
      <x:c r="J455" s="27" t="e">
        <x:f>IF($A455="","",IF(대장!K227="","",대장!K227))</x:f>
        <x:v>#NAME?</x:v>
      </x:c>
    </x:row>
    <x:row r="456" ht="42" customHeight="1">
      <x:c r="A456" s="47" t="e">
        <x:f>IF(AND(대장!A227&lt;&gt;"",ISNUMBER(대장!F227),ISNUMBER(대장!G227),대장!G227&gt;=대장!F227,대장!H227&lt;&gt;""),대장!G227,"")</x:f>
        <x:v>#NAME?</x:v>
      </x:c>
      <x:c r="B456" s="27" t="e">
        <x:f>IF($A456="","",IF(발령대장_설정!$B$4="","",발령대장_설정!$B$4))</x:f>
        <x:v>#NAME?</x:v>
      </x:c>
      <x:c r="C456" s="27" t="e">
        <x:f>IF($A456="","",대장!D227)</x:f>
        <x:v>#NAME?</x:v>
      </x:c>
      <x:c r="D456" s="27" t="e">
        <x:f>IF($A456="","",대장!A227)</x:f>
        <x:v>#NAME?</x:v>
      </x:c>
      <x:c r="E456" s="27" t="e">
        <x:f>IF($A456="","",IF(OR(ISNUMBER(SEARCH("계약만료",대장!H227&amp;"")),ISNUMBER(SEARCH("기간만료",대장!H227&amp;""))),"계약기간 만료로 퇴직",IF(ISNUMBER(SEARCH("의원면직",대장!H227&amp;"")),"의원면직",IF(ISNUMBER(SEARCH("정년퇴직",대장!H227&amp;"")),"정년퇴직",대장!H227))))</x:f>
        <x:v>#NAME?</x:v>
      </x:c>
      <x:c r="F456" s="27" t="e">
        <x:f>IF($A456="","",IF(발령대장_설정!$B$5="","",발령대장_설정!$B$5))</x:f>
        <x:v>#NAME?</x:v>
      </x:c>
      <x:c r="G456" s="27" t="e">
        <x:f>IF($A456="","",IF(발령대장_설정!$B$6="","",발령대장_설정!$B$6))</x:f>
        <x:v>#NAME?</x:v>
      </x:c>
      <x:c r="H456" s="27" t="e">
        <x:f>IF($A456="","",IF(발령대장_설정!$B$7="","",발령대장_설정!$B$7))</x:f>
        <x:v>#NAME?</x:v>
      </x:c>
      <x:c r="I456" s="27" t="e">
        <x:f>IF($A456="","",IF(발령대장_설정!$B$8="","",발령대장_설정!$B$8))</x:f>
        <x:v>#NAME?</x:v>
      </x:c>
      <x:c r="J456" s="27" t="str">
        <x:f>""</x:f>
      </x:c>
    </x:row>
    <x:row r="457" ht="42" customHeight="1">
      <x:c r="A457" s="47" t="e">
        <x:f>IF(AND(대장!A228&lt;&gt;"",ISNUMBER(대장!F228),OR(대장!G228="",AND(ISNUMBER(대장!G228),대장!G228&gt;=대장!F228))),대장!F228,"")</x:f>
        <x:v>#NAME?</x:v>
      </x:c>
      <x:c r="B457" s="27" t="e">
        <x:f>IF($A457="","",IF(발령대장_설정!$B$4="","",발령대장_설정!$B$4))</x:f>
        <x:v>#NAME?</x:v>
      </x:c>
      <x:c r="C457" s="27" t="e">
        <x:f>IF($A457="","",대장!D228)</x:f>
        <x:v>#NAME?</x:v>
      </x:c>
      <x:c r="D457" s="27" t="e">
        <x:f>IF($A457="","",대장!A228)</x:f>
        <x:v>#NAME?</x:v>
      </x:c>
      <x:c r="E457" s="27" t="e">
        <x:f>IF($A457="","",IF(대장!J228&lt;&gt;"",대장!J228,대장!D228&amp;"에 임함"&amp;IF(대장!E228="","",CHAR(10)&amp;"고용형태: "&amp;대장!E228)&amp;IF(대장!I228="","",CHAR(10)&amp;"소정근로시간: "&amp;대장!I228)&amp;CHAR(10)&amp;"근로기간: "&amp;YEAR(대장!F228)&amp;"."&amp;MONTH(대장!F228)&amp;"."&amp;DAY(대장!F228)&amp;"."&amp;" ~ "&amp;IF(ISNUMBER(대장!G228),YEAR(대장!G228)&amp;"."&amp;MONTH(대장!G228)&amp;"."&amp;DAY(대장!G228)&amp;".","재직 중")))</x:f>
        <x:v>#NAME?</x:v>
      </x:c>
      <x:c r="F457" s="27" t="e">
        <x:f>IF($A457="","",IF(발령대장_설정!$B$5="","",발령대장_설정!$B$5))</x:f>
        <x:v>#NAME?</x:v>
      </x:c>
      <x:c r="G457" s="27" t="e">
        <x:f>IF($A457="","",IF(발령대장_설정!$B$6="","",발령대장_설정!$B$6))</x:f>
        <x:v>#NAME?</x:v>
      </x:c>
      <x:c r="H457" s="27" t="e">
        <x:f>IF($A457="","",IF(발령대장_설정!$B$7="","",발령대장_설정!$B$7))</x:f>
        <x:v>#NAME?</x:v>
      </x:c>
      <x:c r="I457" s="27" t="e">
        <x:f>IF($A457="","",IF(발령대장_설정!$B$8="","",발령대장_설정!$B$8))</x:f>
        <x:v>#NAME?</x:v>
      </x:c>
      <x:c r="J457" s="27" t="e">
        <x:f>IF($A457="","",IF(대장!K228="","",대장!K228))</x:f>
        <x:v>#NAME?</x:v>
      </x:c>
    </x:row>
    <x:row r="458" ht="42" customHeight="1">
      <x:c r="A458" s="47" t="e">
        <x:f>IF(AND(대장!A228&lt;&gt;"",ISNUMBER(대장!F228),ISNUMBER(대장!G228),대장!G228&gt;=대장!F228,대장!H228&lt;&gt;""),대장!G228,"")</x:f>
        <x:v>#NAME?</x:v>
      </x:c>
      <x:c r="B458" s="27" t="e">
        <x:f>IF($A458="","",IF(발령대장_설정!$B$4="","",발령대장_설정!$B$4))</x:f>
        <x:v>#NAME?</x:v>
      </x:c>
      <x:c r="C458" s="27" t="e">
        <x:f>IF($A458="","",대장!D228)</x:f>
        <x:v>#NAME?</x:v>
      </x:c>
      <x:c r="D458" s="27" t="e">
        <x:f>IF($A458="","",대장!A228)</x:f>
        <x:v>#NAME?</x:v>
      </x:c>
      <x:c r="E458" s="27" t="e">
        <x:f>IF($A458="","",IF(OR(ISNUMBER(SEARCH("계약만료",대장!H228&amp;"")),ISNUMBER(SEARCH("기간만료",대장!H228&amp;""))),"계약기간 만료로 퇴직",IF(ISNUMBER(SEARCH("의원면직",대장!H228&amp;"")),"의원면직",IF(ISNUMBER(SEARCH("정년퇴직",대장!H228&amp;"")),"정년퇴직",대장!H228))))</x:f>
        <x:v>#NAME?</x:v>
      </x:c>
      <x:c r="F458" s="27" t="e">
        <x:f>IF($A458="","",IF(발령대장_설정!$B$5="","",발령대장_설정!$B$5))</x:f>
        <x:v>#NAME?</x:v>
      </x:c>
      <x:c r="G458" s="27" t="e">
        <x:f>IF($A458="","",IF(발령대장_설정!$B$6="","",발령대장_설정!$B$6))</x:f>
        <x:v>#NAME?</x:v>
      </x:c>
      <x:c r="H458" s="27" t="e">
        <x:f>IF($A458="","",IF(발령대장_설정!$B$7="","",발령대장_설정!$B$7))</x:f>
        <x:v>#NAME?</x:v>
      </x:c>
      <x:c r="I458" s="27" t="e">
        <x:f>IF($A458="","",IF(발령대장_설정!$B$8="","",발령대장_설정!$B$8))</x:f>
        <x:v>#NAME?</x:v>
      </x:c>
      <x:c r="J458" s="27" t="str">
        <x:f>""</x:f>
      </x:c>
    </x:row>
    <x:row r="459" ht="42" customHeight="1">
      <x:c r="A459" s="47" t="e">
        <x:f>IF(AND(대장!A229&lt;&gt;"",ISNUMBER(대장!F229),OR(대장!G229="",AND(ISNUMBER(대장!G229),대장!G229&gt;=대장!F229))),대장!F229,"")</x:f>
        <x:v>#NAME?</x:v>
      </x:c>
      <x:c r="B459" s="27" t="e">
        <x:f>IF($A459="","",IF(발령대장_설정!$B$4="","",발령대장_설정!$B$4))</x:f>
        <x:v>#NAME?</x:v>
      </x:c>
      <x:c r="C459" s="27" t="e">
        <x:f>IF($A459="","",대장!D229)</x:f>
        <x:v>#NAME?</x:v>
      </x:c>
      <x:c r="D459" s="27" t="e">
        <x:f>IF($A459="","",대장!A229)</x:f>
        <x:v>#NAME?</x:v>
      </x:c>
      <x:c r="E459" s="27" t="e">
        <x:f>IF($A459="","",IF(대장!J229&lt;&gt;"",대장!J229,대장!D229&amp;"에 임함"&amp;IF(대장!E229="","",CHAR(10)&amp;"고용형태: "&amp;대장!E229)&amp;IF(대장!I229="","",CHAR(10)&amp;"소정근로시간: "&amp;대장!I229)&amp;CHAR(10)&amp;"근로기간: "&amp;YEAR(대장!F229)&amp;"."&amp;MONTH(대장!F229)&amp;"."&amp;DAY(대장!F229)&amp;"."&amp;" ~ "&amp;IF(ISNUMBER(대장!G229),YEAR(대장!G229)&amp;"."&amp;MONTH(대장!G229)&amp;"."&amp;DAY(대장!G229)&amp;".","재직 중")))</x:f>
        <x:v>#NAME?</x:v>
      </x:c>
      <x:c r="F459" s="27" t="e">
        <x:f>IF($A459="","",IF(발령대장_설정!$B$5="","",발령대장_설정!$B$5))</x:f>
        <x:v>#NAME?</x:v>
      </x:c>
      <x:c r="G459" s="27" t="e">
        <x:f>IF($A459="","",IF(발령대장_설정!$B$6="","",발령대장_설정!$B$6))</x:f>
        <x:v>#NAME?</x:v>
      </x:c>
      <x:c r="H459" s="27" t="e">
        <x:f>IF($A459="","",IF(발령대장_설정!$B$7="","",발령대장_설정!$B$7))</x:f>
        <x:v>#NAME?</x:v>
      </x:c>
      <x:c r="I459" s="27" t="e">
        <x:f>IF($A459="","",IF(발령대장_설정!$B$8="","",발령대장_설정!$B$8))</x:f>
        <x:v>#NAME?</x:v>
      </x:c>
      <x:c r="J459" s="27" t="e">
        <x:f>IF($A459="","",IF(대장!K229="","",대장!K229))</x:f>
        <x:v>#NAME?</x:v>
      </x:c>
    </x:row>
    <x:row r="460" ht="42" customHeight="1">
      <x:c r="A460" s="47" t="e">
        <x:f>IF(AND(대장!A229&lt;&gt;"",ISNUMBER(대장!F229),ISNUMBER(대장!G229),대장!G229&gt;=대장!F229,대장!H229&lt;&gt;""),대장!G229,"")</x:f>
        <x:v>#NAME?</x:v>
      </x:c>
      <x:c r="B460" s="27" t="e">
        <x:f>IF($A460="","",IF(발령대장_설정!$B$4="","",발령대장_설정!$B$4))</x:f>
        <x:v>#NAME?</x:v>
      </x:c>
      <x:c r="C460" s="27" t="e">
        <x:f>IF($A460="","",대장!D229)</x:f>
        <x:v>#NAME?</x:v>
      </x:c>
      <x:c r="D460" s="27" t="e">
        <x:f>IF($A460="","",대장!A229)</x:f>
        <x:v>#NAME?</x:v>
      </x:c>
      <x:c r="E460" s="27" t="e">
        <x:f>IF($A460="","",IF(OR(ISNUMBER(SEARCH("계약만료",대장!H229&amp;"")),ISNUMBER(SEARCH("기간만료",대장!H229&amp;""))),"계약기간 만료로 퇴직",IF(ISNUMBER(SEARCH("의원면직",대장!H229&amp;"")),"의원면직",IF(ISNUMBER(SEARCH("정년퇴직",대장!H229&amp;"")),"정년퇴직",대장!H229))))</x:f>
        <x:v>#NAME?</x:v>
      </x:c>
      <x:c r="F460" s="27" t="e">
        <x:f>IF($A460="","",IF(발령대장_설정!$B$5="","",발령대장_설정!$B$5))</x:f>
        <x:v>#NAME?</x:v>
      </x:c>
      <x:c r="G460" s="27" t="e">
        <x:f>IF($A460="","",IF(발령대장_설정!$B$6="","",발령대장_설정!$B$6))</x:f>
        <x:v>#NAME?</x:v>
      </x:c>
      <x:c r="H460" s="27" t="e">
        <x:f>IF($A460="","",IF(발령대장_설정!$B$7="","",발령대장_설정!$B$7))</x:f>
        <x:v>#NAME?</x:v>
      </x:c>
      <x:c r="I460" s="27" t="e">
        <x:f>IF($A460="","",IF(발령대장_설정!$B$8="","",발령대장_설정!$B$8))</x:f>
        <x:v>#NAME?</x:v>
      </x:c>
      <x:c r="J460" s="27" t="str">
        <x:f>""</x:f>
      </x:c>
    </x:row>
    <x:row r="461" ht="42" customHeight="1">
      <x:c r="A461" s="47" t="e">
        <x:f>IF(AND(대장!A230&lt;&gt;"",ISNUMBER(대장!F230),OR(대장!G230="",AND(ISNUMBER(대장!G230),대장!G230&gt;=대장!F230))),대장!F230,"")</x:f>
        <x:v>#NAME?</x:v>
      </x:c>
      <x:c r="B461" s="27" t="e">
        <x:f>IF($A461="","",IF(발령대장_설정!$B$4="","",발령대장_설정!$B$4))</x:f>
        <x:v>#NAME?</x:v>
      </x:c>
      <x:c r="C461" s="27" t="e">
        <x:f>IF($A461="","",대장!D230)</x:f>
        <x:v>#NAME?</x:v>
      </x:c>
      <x:c r="D461" s="27" t="e">
        <x:f>IF($A461="","",대장!A230)</x:f>
        <x:v>#NAME?</x:v>
      </x:c>
      <x:c r="E461" s="27" t="e">
        <x:f>IF($A461="","",IF(대장!J230&lt;&gt;"",대장!J230,대장!D230&amp;"에 임함"&amp;IF(대장!E230="","",CHAR(10)&amp;"고용형태: "&amp;대장!E230)&amp;IF(대장!I230="","",CHAR(10)&amp;"소정근로시간: "&amp;대장!I230)&amp;CHAR(10)&amp;"근로기간: "&amp;YEAR(대장!F230)&amp;"."&amp;MONTH(대장!F230)&amp;"."&amp;DAY(대장!F230)&amp;"."&amp;" ~ "&amp;IF(ISNUMBER(대장!G230),YEAR(대장!G230)&amp;"."&amp;MONTH(대장!G230)&amp;"."&amp;DAY(대장!G230)&amp;".","재직 중")))</x:f>
        <x:v>#NAME?</x:v>
      </x:c>
      <x:c r="F461" s="27" t="e">
        <x:f>IF($A461="","",IF(발령대장_설정!$B$5="","",발령대장_설정!$B$5))</x:f>
        <x:v>#NAME?</x:v>
      </x:c>
      <x:c r="G461" s="27" t="e">
        <x:f>IF($A461="","",IF(발령대장_설정!$B$6="","",발령대장_설정!$B$6))</x:f>
        <x:v>#NAME?</x:v>
      </x:c>
      <x:c r="H461" s="27" t="e">
        <x:f>IF($A461="","",IF(발령대장_설정!$B$7="","",발령대장_설정!$B$7))</x:f>
        <x:v>#NAME?</x:v>
      </x:c>
      <x:c r="I461" s="27" t="e">
        <x:f>IF($A461="","",IF(발령대장_설정!$B$8="","",발령대장_설정!$B$8))</x:f>
        <x:v>#NAME?</x:v>
      </x:c>
      <x:c r="J461" s="27" t="e">
        <x:f>IF($A461="","",IF(대장!K230="","",대장!K230))</x:f>
        <x:v>#NAME?</x:v>
      </x:c>
    </x:row>
    <x:row r="462" ht="42" customHeight="1">
      <x:c r="A462" s="47" t="e">
        <x:f>IF(AND(대장!A230&lt;&gt;"",ISNUMBER(대장!F230),ISNUMBER(대장!G230),대장!G230&gt;=대장!F230,대장!H230&lt;&gt;""),대장!G230,"")</x:f>
        <x:v>#NAME?</x:v>
      </x:c>
      <x:c r="B462" s="27" t="e">
        <x:f>IF($A462="","",IF(발령대장_설정!$B$4="","",발령대장_설정!$B$4))</x:f>
        <x:v>#NAME?</x:v>
      </x:c>
      <x:c r="C462" s="27" t="e">
        <x:f>IF($A462="","",대장!D230)</x:f>
        <x:v>#NAME?</x:v>
      </x:c>
      <x:c r="D462" s="27" t="e">
        <x:f>IF($A462="","",대장!A230)</x:f>
        <x:v>#NAME?</x:v>
      </x:c>
      <x:c r="E462" s="27" t="e">
        <x:f>IF($A462="","",IF(OR(ISNUMBER(SEARCH("계약만료",대장!H230&amp;"")),ISNUMBER(SEARCH("기간만료",대장!H230&amp;""))),"계약기간 만료로 퇴직",IF(ISNUMBER(SEARCH("의원면직",대장!H230&amp;"")),"의원면직",IF(ISNUMBER(SEARCH("정년퇴직",대장!H230&amp;"")),"정년퇴직",대장!H230))))</x:f>
        <x:v>#NAME?</x:v>
      </x:c>
      <x:c r="F462" s="27" t="e">
        <x:f>IF($A462="","",IF(발령대장_설정!$B$5="","",발령대장_설정!$B$5))</x:f>
        <x:v>#NAME?</x:v>
      </x:c>
      <x:c r="G462" s="27" t="e">
        <x:f>IF($A462="","",IF(발령대장_설정!$B$6="","",발령대장_설정!$B$6))</x:f>
        <x:v>#NAME?</x:v>
      </x:c>
      <x:c r="H462" s="27" t="e">
        <x:f>IF($A462="","",IF(발령대장_설정!$B$7="","",발령대장_설정!$B$7))</x:f>
        <x:v>#NAME?</x:v>
      </x:c>
      <x:c r="I462" s="27" t="e">
        <x:f>IF($A462="","",IF(발령대장_설정!$B$8="","",발령대장_설정!$B$8))</x:f>
        <x:v>#NAME?</x:v>
      </x:c>
      <x:c r="J462" s="27" t="str">
        <x:f>""</x:f>
      </x:c>
    </x:row>
    <x:row r="463" ht="42" customHeight="1">
      <x:c r="A463" s="47" t="e">
        <x:f>IF(AND(대장!A231&lt;&gt;"",ISNUMBER(대장!F231),OR(대장!G231="",AND(ISNUMBER(대장!G231),대장!G231&gt;=대장!F231))),대장!F231,"")</x:f>
        <x:v>#NAME?</x:v>
      </x:c>
      <x:c r="B463" s="27" t="e">
        <x:f>IF($A463="","",IF(발령대장_설정!$B$4="","",발령대장_설정!$B$4))</x:f>
        <x:v>#NAME?</x:v>
      </x:c>
      <x:c r="C463" s="27" t="e">
        <x:f>IF($A463="","",대장!D231)</x:f>
        <x:v>#NAME?</x:v>
      </x:c>
      <x:c r="D463" s="27" t="e">
        <x:f>IF($A463="","",대장!A231)</x:f>
        <x:v>#NAME?</x:v>
      </x:c>
      <x:c r="E463" s="27" t="e">
        <x:f>IF($A463="","",IF(대장!J231&lt;&gt;"",대장!J231,대장!D231&amp;"에 임함"&amp;IF(대장!E231="","",CHAR(10)&amp;"고용형태: "&amp;대장!E231)&amp;IF(대장!I231="","",CHAR(10)&amp;"소정근로시간: "&amp;대장!I231)&amp;CHAR(10)&amp;"근로기간: "&amp;YEAR(대장!F231)&amp;"."&amp;MONTH(대장!F231)&amp;"."&amp;DAY(대장!F231)&amp;"."&amp;" ~ "&amp;IF(ISNUMBER(대장!G231),YEAR(대장!G231)&amp;"."&amp;MONTH(대장!G231)&amp;"."&amp;DAY(대장!G231)&amp;".","재직 중")))</x:f>
        <x:v>#NAME?</x:v>
      </x:c>
      <x:c r="F463" s="27" t="e">
        <x:f>IF($A463="","",IF(발령대장_설정!$B$5="","",발령대장_설정!$B$5))</x:f>
        <x:v>#NAME?</x:v>
      </x:c>
      <x:c r="G463" s="27" t="e">
        <x:f>IF($A463="","",IF(발령대장_설정!$B$6="","",발령대장_설정!$B$6))</x:f>
        <x:v>#NAME?</x:v>
      </x:c>
      <x:c r="H463" s="27" t="e">
        <x:f>IF($A463="","",IF(발령대장_설정!$B$7="","",발령대장_설정!$B$7))</x:f>
        <x:v>#NAME?</x:v>
      </x:c>
      <x:c r="I463" s="27" t="e">
        <x:f>IF($A463="","",IF(발령대장_설정!$B$8="","",발령대장_설정!$B$8))</x:f>
        <x:v>#NAME?</x:v>
      </x:c>
      <x:c r="J463" s="27" t="e">
        <x:f>IF($A463="","",IF(대장!K231="","",대장!K231))</x:f>
        <x:v>#NAME?</x:v>
      </x:c>
    </x:row>
    <x:row r="464" ht="42" customHeight="1">
      <x:c r="A464" s="47" t="e">
        <x:f>IF(AND(대장!A231&lt;&gt;"",ISNUMBER(대장!F231),ISNUMBER(대장!G231),대장!G231&gt;=대장!F231,대장!H231&lt;&gt;""),대장!G231,"")</x:f>
        <x:v>#NAME?</x:v>
      </x:c>
      <x:c r="B464" s="27" t="e">
        <x:f>IF($A464="","",IF(발령대장_설정!$B$4="","",발령대장_설정!$B$4))</x:f>
        <x:v>#NAME?</x:v>
      </x:c>
      <x:c r="C464" s="27" t="e">
        <x:f>IF($A464="","",대장!D231)</x:f>
        <x:v>#NAME?</x:v>
      </x:c>
      <x:c r="D464" s="27" t="e">
        <x:f>IF($A464="","",대장!A231)</x:f>
        <x:v>#NAME?</x:v>
      </x:c>
      <x:c r="E464" s="27" t="e">
        <x:f>IF($A464="","",IF(OR(ISNUMBER(SEARCH("계약만료",대장!H231&amp;"")),ISNUMBER(SEARCH("기간만료",대장!H231&amp;""))),"계약기간 만료로 퇴직",IF(ISNUMBER(SEARCH("의원면직",대장!H231&amp;"")),"의원면직",IF(ISNUMBER(SEARCH("정년퇴직",대장!H231&amp;"")),"정년퇴직",대장!H231))))</x:f>
        <x:v>#NAME?</x:v>
      </x:c>
      <x:c r="F464" s="27" t="e">
        <x:f>IF($A464="","",IF(발령대장_설정!$B$5="","",발령대장_설정!$B$5))</x:f>
        <x:v>#NAME?</x:v>
      </x:c>
      <x:c r="G464" s="27" t="e">
        <x:f>IF($A464="","",IF(발령대장_설정!$B$6="","",발령대장_설정!$B$6))</x:f>
        <x:v>#NAME?</x:v>
      </x:c>
      <x:c r="H464" s="27" t="e">
        <x:f>IF($A464="","",IF(발령대장_설정!$B$7="","",발령대장_설정!$B$7))</x:f>
        <x:v>#NAME?</x:v>
      </x:c>
      <x:c r="I464" s="27" t="e">
        <x:f>IF($A464="","",IF(발령대장_설정!$B$8="","",발령대장_설정!$B$8))</x:f>
        <x:v>#NAME?</x:v>
      </x:c>
      <x:c r="J464" s="27" t="str">
        <x:f>""</x:f>
      </x:c>
    </x:row>
    <x:row r="465" ht="42" customHeight="1">
      <x:c r="A465" s="47" t="e">
        <x:f>IF(AND(대장!A232&lt;&gt;"",ISNUMBER(대장!F232),OR(대장!G232="",AND(ISNUMBER(대장!G232),대장!G232&gt;=대장!F232))),대장!F232,"")</x:f>
        <x:v>#NAME?</x:v>
      </x:c>
      <x:c r="B465" s="27" t="e">
        <x:f>IF($A465="","",IF(발령대장_설정!$B$4="","",발령대장_설정!$B$4))</x:f>
        <x:v>#NAME?</x:v>
      </x:c>
      <x:c r="C465" s="27" t="e">
        <x:f>IF($A465="","",대장!D232)</x:f>
        <x:v>#NAME?</x:v>
      </x:c>
      <x:c r="D465" s="27" t="e">
        <x:f>IF($A465="","",대장!A232)</x:f>
        <x:v>#NAME?</x:v>
      </x:c>
      <x:c r="E465" s="27" t="e">
        <x:f>IF($A465="","",IF(대장!J232&lt;&gt;"",대장!J232,대장!D232&amp;"에 임함"&amp;IF(대장!E232="","",CHAR(10)&amp;"고용형태: "&amp;대장!E232)&amp;IF(대장!I232="","",CHAR(10)&amp;"소정근로시간: "&amp;대장!I232)&amp;CHAR(10)&amp;"근로기간: "&amp;YEAR(대장!F232)&amp;"."&amp;MONTH(대장!F232)&amp;"."&amp;DAY(대장!F232)&amp;"."&amp;" ~ "&amp;IF(ISNUMBER(대장!G232),YEAR(대장!G232)&amp;"."&amp;MONTH(대장!G232)&amp;"."&amp;DAY(대장!G232)&amp;".","재직 중")))</x:f>
        <x:v>#NAME?</x:v>
      </x:c>
      <x:c r="F465" s="27" t="e">
        <x:f>IF($A465="","",IF(발령대장_설정!$B$5="","",발령대장_설정!$B$5))</x:f>
        <x:v>#NAME?</x:v>
      </x:c>
      <x:c r="G465" s="27" t="e">
        <x:f>IF($A465="","",IF(발령대장_설정!$B$6="","",발령대장_설정!$B$6))</x:f>
        <x:v>#NAME?</x:v>
      </x:c>
      <x:c r="H465" s="27" t="e">
        <x:f>IF($A465="","",IF(발령대장_설정!$B$7="","",발령대장_설정!$B$7))</x:f>
        <x:v>#NAME?</x:v>
      </x:c>
      <x:c r="I465" s="27" t="e">
        <x:f>IF($A465="","",IF(발령대장_설정!$B$8="","",발령대장_설정!$B$8))</x:f>
        <x:v>#NAME?</x:v>
      </x:c>
      <x:c r="J465" s="27" t="e">
        <x:f>IF($A465="","",IF(대장!K232="","",대장!K232))</x:f>
        <x:v>#NAME?</x:v>
      </x:c>
    </x:row>
    <x:row r="466" ht="42" customHeight="1">
      <x:c r="A466" s="47" t="e">
        <x:f>IF(AND(대장!A232&lt;&gt;"",ISNUMBER(대장!F232),ISNUMBER(대장!G232),대장!G232&gt;=대장!F232,대장!H232&lt;&gt;""),대장!G232,"")</x:f>
        <x:v>#NAME?</x:v>
      </x:c>
      <x:c r="B466" s="27" t="e">
        <x:f>IF($A466="","",IF(발령대장_설정!$B$4="","",발령대장_설정!$B$4))</x:f>
        <x:v>#NAME?</x:v>
      </x:c>
      <x:c r="C466" s="27" t="e">
        <x:f>IF($A466="","",대장!D232)</x:f>
        <x:v>#NAME?</x:v>
      </x:c>
      <x:c r="D466" s="27" t="e">
        <x:f>IF($A466="","",대장!A232)</x:f>
        <x:v>#NAME?</x:v>
      </x:c>
      <x:c r="E466" s="27" t="e">
        <x:f>IF($A466="","",IF(OR(ISNUMBER(SEARCH("계약만료",대장!H232&amp;"")),ISNUMBER(SEARCH("기간만료",대장!H232&amp;""))),"계약기간 만료로 퇴직",IF(ISNUMBER(SEARCH("의원면직",대장!H232&amp;"")),"의원면직",IF(ISNUMBER(SEARCH("정년퇴직",대장!H232&amp;"")),"정년퇴직",대장!H232))))</x:f>
        <x:v>#NAME?</x:v>
      </x:c>
      <x:c r="F466" s="27" t="e">
        <x:f>IF($A466="","",IF(발령대장_설정!$B$5="","",발령대장_설정!$B$5))</x:f>
        <x:v>#NAME?</x:v>
      </x:c>
      <x:c r="G466" s="27" t="e">
        <x:f>IF($A466="","",IF(발령대장_설정!$B$6="","",발령대장_설정!$B$6))</x:f>
        <x:v>#NAME?</x:v>
      </x:c>
      <x:c r="H466" s="27" t="e">
        <x:f>IF($A466="","",IF(발령대장_설정!$B$7="","",발령대장_설정!$B$7))</x:f>
        <x:v>#NAME?</x:v>
      </x:c>
      <x:c r="I466" s="27" t="e">
        <x:f>IF($A466="","",IF(발령대장_설정!$B$8="","",발령대장_설정!$B$8))</x:f>
        <x:v>#NAME?</x:v>
      </x:c>
      <x:c r="J466" s="27" t="str">
        <x:f>""</x:f>
      </x:c>
    </x:row>
    <x:row r="467" ht="42" customHeight="1">
      <x:c r="A467" s="47" t="e">
        <x:f>IF(AND(대장!A233&lt;&gt;"",ISNUMBER(대장!F233),OR(대장!G233="",AND(ISNUMBER(대장!G233),대장!G233&gt;=대장!F233))),대장!F233,"")</x:f>
        <x:v>#NAME?</x:v>
      </x:c>
      <x:c r="B467" s="27" t="e">
        <x:f>IF($A467="","",IF(발령대장_설정!$B$4="","",발령대장_설정!$B$4))</x:f>
        <x:v>#NAME?</x:v>
      </x:c>
      <x:c r="C467" s="27" t="e">
        <x:f>IF($A467="","",대장!D233)</x:f>
        <x:v>#NAME?</x:v>
      </x:c>
      <x:c r="D467" s="27" t="e">
        <x:f>IF($A467="","",대장!A233)</x:f>
        <x:v>#NAME?</x:v>
      </x:c>
      <x:c r="E467" s="27" t="e">
        <x:f>IF($A467="","",IF(대장!J233&lt;&gt;"",대장!J233,대장!D233&amp;"에 임함"&amp;IF(대장!E233="","",CHAR(10)&amp;"고용형태: "&amp;대장!E233)&amp;IF(대장!I233="","",CHAR(10)&amp;"소정근로시간: "&amp;대장!I233)&amp;CHAR(10)&amp;"근로기간: "&amp;YEAR(대장!F233)&amp;"."&amp;MONTH(대장!F233)&amp;"."&amp;DAY(대장!F233)&amp;"."&amp;" ~ "&amp;IF(ISNUMBER(대장!G233),YEAR(대장!G233)&amp;"."&amp;MONTH(대장!G233)&amp;"."&amp;DAY(대장!G233)&amp;".","재직 중")))</x:f>
        <x:v>#NAME?</x:v>
      </x:c>
      <x:c r="F467" s="27" t="e">
        <x:f>IF($A467="","",IF(발령대장_설정!$B$5="","",발령대장_설정!$B$5))</x:f>
        <x:v>#NAME?</x:v>
      </x:c>
      <x:c r="G467" s="27" t="e">
        <x:f>IF($A467="","",IF(발령대장_설정!$B$6="","",발령대장_설정!$B$6))</x:f>
        <x:v>#NAME?</x:v>
      </x:c>
      <x:c r="H467" s="27" t="e">
        <x:f>IF($A467="","",IF(발령대장_설정!$B$7="","",발령대장_설정!$B$7))</x:f>
        <x:v>#NAME?</x:v>
      </x:c>
      <x:c r="I467" s="27" t="e">
        <x:f>IF($A467="","",IF(발령대장_설정!$B$8="","",발령대장_설정!$B$8))</x:f>
        <x:v>#NAME?</x:v>
      </x:c>
      <x:c r="J467" s="27" t="e">
        <x:f>IF($A467="","",IF(대장!K233="","",대장!K233))</x:f>
        <x:v>#NAME?</x:v>
      </x:c>
    </x:row>
    <x:row r="468" ht="42" customHeight="1">
      <x:c r="A468" s="47" t="e">
        <x:f>IF(AND(대장!A233&lt;&gt;"",ISNUMBER(대장!F233),ISNUMBER(대장!G233),대장!G233&gt;=대장!F233,대장!H233&lt;&gt;""),대장!G233,"")</x:f>
        <x:v>#NAME?</x:v>
      </x:c>
      <x:c r="B468" s="27" t="e">
        <x:f>IF($A468="","",IF(발령대장_설정!$B$4="","",발령대장_설정!$B$4))</x:f>
        <x:v>#NAME?</x:v>
      </x:c>
      <x:c r="C468" s="27" t="e">
        <x:f>IF($A468="","",대장!D233)</x:f>
        <x:v>#NAME?</x:v>
      </x:c>
      <x:c r="D468" s="27" t="e">
        <x:f>IF($A468="","",대장!A233)</x:f>
        <x:v>#NAME?</x:v>
      </x:c>
      <x:c r="E468" s="27" t="e">
        <x:f>IF($A468="","",IF(OR(ISNUMBER(SEARCH("계약만료",대장!H233&amp;"")),ISNUMBER(SEARCH("기간만료",대장!H233&amp;""))),"계약기간 만료로 퇴직",IF(ISNUMBER(SEARCH("의원면직",대장!H233&amp;"")),"의원면직",IF(ISNUMBER(SEARCH("정년퇴직",대장!H233&amp;"")),"정년퇴직",대장!H233))))</x:f>
        <x:v>#NAME?</x:v>
      </x:c>
      <x:c r="F468" s="27" t="e">
        <x:f>IF($A468="","",IF(발령대장_설정!$B$5="","",발령대장_설정!$B$5))</x:f>
        <x:v>#NAME?</x:v>
      </x:c>
      <x:c r="G468" s="27" t="e">
        <x:f>IF($A468="","",IF(발령대장_설정!$B$6="","",발령대장_설정!$B$6))</x:f>
        <x:v>#NAME?</x:v>
      </x:c>
      <x:c r="H468" s="27" t="e">
        <x:f>IF($A468="","",IF(발령대장_설정!$B$7="","",발령대장_설정!$B$7))</x:f>
        <x:v>#NAME?</x:v>
      </x:c>
      <x:c r="I468" s="27" t="e">
        <x:f>IF($A468="","",IF(발령대장_설정!$B$8="","",발령대장_설정!$B$8))</x:f>
        <x:v>#NAME?</x:v>
      </x:c>
      <x:c r="J468" s="27" t="str">
        <x:f>""</x:f>
      </x:c>
    </x:row>
    <x:row r="469" ht="42" customHeight="1">
      <x:c r="A469" s="47" t="e">
        <x:f>IF(AND(대장!A234&lt;&gt;"",ISNUMBER(대장!F234),OR(대장!G234="",AND(ISNUMBER(대장!G234),대장!G234&gt;=대장!F234))),대장!F234,"")</x:f>
        <x:v>#NAME?</x:v>
      </x:c>
      <x:c r="B469" s="27" t="e">
        <x:f>IF($A469="","",IF(발령대장_설정!$B$4="","",발령대장_설정!$B$4))</x:f>
        <x:v>#NAME?</x:v>
      </x:c>
      <x:c r="C469" s="27" t="e">
        <x:f>IF($A469="","",대장!D234)</x:f>
        <x:v>#NAME?</x:v>
      </x:c>
      <x:c r="D469" s="27" t="e">
        <x:f>IF($A469="","",대장!A234)</x:f>
        <x:v>#NAME?</x:v>
      </x:c>
      <x:c r="E469" s="27" t="e">
        <x:f>IF($A469="","",IF(대장!J234&lt;&gt;"",대장!J234,대장!D234&amp;"에 임함"&amp;IF(대장!E234="","",CHAR(10)&amp;"고용형태: "&amp;대장!E234)&amp;IF(대장!I234="","",CHAR(10)&amp;"소정근로시간: "&amp;대장!I234)&amp;CHAR(10)&amp;"근로기간: "&amp;YEAR(대장!F234)&amp;"."&amp;MONTH(대장!F234)&amp;"."&amp;DAY(대장!F234)&amp;"."&amp;" ~ "&amp;IF(ISNUMBER(대장!G234),YEAR(대장!G234)&amp;"."&amp;MONTH(대장!G234)&amp;"."&amp;DAY(대장!G234)&amp;".","재직 중")))</x:f>
        <x:v>#NAME?</x:v>
      </x:c>
      <x:c r="F469" s="27" t="e">
        <x:f>IF($A469="","",IF(발령대장_설정!$B$5="","",발령대장_설정!$B$5))</x:f>
        <x:v>#NAME?</x:v>
      </x:c>
      <x:c r="G469" s="27" t="e">
        <x:f>IF($A469="","",IF(발령대장_설정!$B$6="","",발령대장_설정!$B$6))</x:f>
        <x:v>#NAME?</x:v>
      </x:c>
      <x:c r="H469" s="27" t="e">
        <x:f>IF($A469="","",IF(발령대장_설정!$B$7="","",발령대장_설정!$B$7))</x:f>
        <x:v>#NAME?</x:v>
      </x:c>
      <x:c r="I469" s="27" t="e">
        <x:f>IF($A469="","",IF(발령대장_설정!$B$8="","",발령대장_설정!$B$8))</x:f>
        <x:v>#NAME?</x:v>
      </x:c>
      <x:c r="J469" s="27" t="e">
        <x:f>IF($A469="","",IF(대장!K234="","",대장!K234))</x:f>
        <x:v>#NAME?</x:v>
      </x:c>
    </x:row>
    <x:row r="470" ht="42" customHeight="1">
      <x:c r="A470" s="47" t="e">
        <x:f>IF(AND(대장!A234&lt;&gt;"",ISNUMBER(대장!F234),ISNUMBER(대장!G234),대장!G234&gt;=대장!F234,대장!H234&lt;&gt;""),대장!G234,"")</x:f>
        <x:v>#NAME?</x:v>
      </x:c>
      <x:c r="B470" s="27" t="e">
        <x:f>IF($A470="","",IF(발령대장_설정!$B$4="","",발령대장_설정!$B$4))</x:f>
        <x:v>#NAME?</x:v>
      </x:c>
      <x:c r="C470" s="27" t="e">
        <x:f>IF($A470="","",대장!D234)</x:f>
        <x:v>#NAME?</x:v>
      </x:c>
      <x:c r="D470" s="27" t="e">
        <x:f>IF($A470="","",대장!A234)</x:f>
        <x:v>#NAME?</x:v>
      </x:c>
      <x:c r="E470" s="27" t="e">
        <x:f>IF($A470="","",IF(OR(ISNUMBER(SEARCH("계약만료",대장!H234&amp;"")),ISNUMBER(SEARCH("기간만료",대장!H234&amp;""))),"계약기간 만료로 퇴직",IF(ISNUMBER(SEARCH("의원면직",대장!H234&amp;"")),"의원면직",IF(ISNUMBER(SEARCH("정년퇴직",대장!H234&amp;"")),"정년퇴직",대장!H234))))</x:f>
        <x:v>#NAME?</x:v>
      </x:c>
      <x:c r="F470" s="27" t="e">
        <x:f>IF($A470="","",IF(발령대장_설정!$B$5="","",발령대장_설정!$B$5))</x:f>
        <x:v>#NAME?</x:v>
      </x:c>
      <x:c r="G470" s="27" t="e">
        <x:f>IF($A470="","",IF(발령대장_설정!$B$6="","",발령대장_설정!$B$6))</x:f>
        <x:v>#NAME?</x:v>
      </x:c>
      <x:c r="H470" s="27" t="e">
        <x:f>IF($A470="","",IF(발령대장_설정!$B$7="","",발령대장_설정!$B$7))</x:f>
        <x:v>#NAME?</x:v>
      </x:c>
      <x:c r="I470" s="27" t="e">
        <x:f>IF($A470="","",IF(발령대장_설정!$B$8="","",발령대장_설정!$B$8))</x:f>
        <x:v>#NAME?</x:v>
      </x:c>
      <x:c r="J470" s="27" t="str">
        <x:f>""</x:f>
      </x:c>
    </x:row>
    <x:row r="471" ht="42" customHeight="1">
      <x:c r="A471" s="47" t="e">
        <x:f>IF(AND(대장!A235&lt;&gt;"",ISNUMBER(대장!F235),OR(대장!G235="",AND(ISNUMBER(대장!G235),대장!G235&gt;=대장!F235))),대장!F235,"")</x:f>
        <x:v>#NAME?</x:v>
      </x:c>
      <x:c r="B471" s="27" t="e">
        <x:f>IF($A471="","",IF(발령대장_설정!$B$4="","",발령대장_설정!$B$4))</x:f>
        <x:v>#NAME?</x:v>
      </x:c>
      <x:c r="C471" s="27" t="e">
        <x:f>IF($A471="","",대장!D235)</x:f>
        <x:v>#NAME?</x:v>
      </x:c>
      <x:c r="D471" s="27" t="e">
        <x:f>IF($A471="","",대장!A235)</x:f>
        <x:v>#NAME?</x:v>
      </x:c>
      <x:c r="E471" s="27" t="e">
        <x:f>IF($A471="","",IF(대장!J235&lt;&gt;"",대장!J235,대장!D235&amp;"에 임함"&amp;IF(대장!E235="","",CHAR(10)&amp;"고용형태: "&amp;대장!E235)&amp;IF(대장!I235="","",CHAR(10)&amp;"소정근로시간: "&amp;대장!I235)&amp;CHAR(10)&amp;"근로기간: "&amp;YEAR(대장!F235)&amp;"."&amp;MONTH(대장!F235)&amp;"."&amp;DAY(대장!F235)&amp;"."&amp;" ~ "&amp;IF(ISNUMBER(대장!G235),YEAR(대장!G235)&amp;"."&amp;MONTH(대장!G235)&amp;"."&amp;DAY(대장!G235)&amp;".","재직 중")))</x:f>
        <x:v>#NAME?</x:v>
      </x:c>
      <x:c r="F471" s="27" t="e">
        <x:f>IF($A471="","",IF(발령대장_설정!$B$5="","",발령대장_설정!$B$5))</x:f>
        <x:v>#NAME?</x:v>
      </x:c>
      <x:c r="G471" s="27" t="e">
        <x:f>IF($A471="","",IF(발령대장_설정!$B$6="","",발령대장_설정!$B$6))</x:f>
        <x:v>#NAME?</x:v>
      </x:c>
      <x:c r="H471" s="27" t="e">
        <x:f>IF($A471="","",IF(발령대장_설정!$B$7="","",발령대장_설정!$B$7))</x:f>
        <x:v>#NAME?</x:v>
      </x:c>
      <x:c r="I471" s="27" t="e">
        <x:f>IF($A471="","",IF(발령대장_설정!$B$8="","",발령대장_설정!$B$8))</x:f>
        <x:v>#NAME?</x:v>
      </x:c>
      <x:c r="J471" s="27" t="e">
        <x:f>IF($A471="","",IF(대장!K235="","",대장!K235))</x:f>
        <x:v>#NAME?</x:v>
      </x:c>
    </x:row>
    <x:row r="472" ht="42" customHeight="1">
      <x:c r="A472" s="47" t="e">
        <x:f>IF(AND(대장!A235&lt;&gt;"",ISNUMBER(대장!F235),ISNUMBER(대장!G235),대장!G235&gt;=대장!F235,대장!H235&lt;&gt;""),대장!G235,"")</x:f>
        <x:v>#NAME?</x:v>
      </x:c>
      <x:c r="B472" s="27" t="e">
        <x:f>IF($A472="","",IF(발령대장_설정!$B$4="","",발령대장_설정!$B$4))</x:f>
        <x:v>#NAME?</x:v>
      </x:c>
      <x:c r="C472" s="27" t="e">
        <x:f>IF($A472="","",대장!D235)</x:f>
        <x:v>#NAME?</x:v>
      </x:c>
      <x:c r="D472" s="27" t="e">
        <x:f>IF($A472="","",대장!A235)</x:f>
        <x:v>#NAME?</x:v>
      </x:c>
      <x:c r="E472" s="27" t="e">
        <x:f>IF($A472="","",IF(OR(ISNUMBER(SEARCH("계약만료",대장!H235&amp;"")),ISNUMBER(SEARCH("기간만료",대장!H235&amp;""))),"계약기간 만료로 퇴직",IF(ISNUMBER(SEARCH("의원면직",대장!H235&amp;"")),"의원면직",IF(ISNUMBER(SEARCH("정년퇴직",대장!H235&amp;"")),"정년퇴직",대장!H235))))</x:f>
        <x:v>#NAME?</x:v>
      </x:c>
      <x:c r="F472" s="27" t="e">
        <x:f>IF($A472="","",IF(발령대장_설정!$B$5="","",발령대장_설정!$B$5))</x:f>
        <x:v>#NAME?</x:v>
      </x:c>
      <x:c r="G472" s="27" t="e">
        <x:f>IF($A472="","",IF(발령대장_설정!$B$6="","",발령대장_설정!$B$6))</x:f>
        <x:v>#NAME?</x:v>
      </x:c>
      <x:c r="H472" s="27" t="e">
        <x:f>IF($A472="","",IF(발령대장_설정!$B$7="","",발령대장_설정!$B$7))</x:f>
        <x:v>#NAME?</x:v>
      </x:c>
      <x:c r="I472" s="27" t="e">
        <x:f>IF($A472="","",IF(발령대장_설정!$B$8="","",발령대장_설정!$B$8))</x:f>
        <x:v>#NAME?</x:v>
      </x:c>
      <x:c r="J472" s="27" t="str">
        <x:f>""</x:f>
      </x:c>
    </x:row>
    <x:row r="473" ht="42" customHeight="1">
      <x:c r="A473" s="47" t="e">
        <x:f>IF(AND(대장!A236&lt;&gt;"",ISNUMBER(대장!F236),OR(대장!G236="",AND(ISNUMBER(대장!G236),대장!G236&gt;=대장!F236))),대장!F236,"")</x:f>
        <x:v>#NAME?</x:v>
      </x:c>
      <x:c r="B473" s="27" t="e">
        <x:f>IF($A473="","",IF(발령대장_설정!$B$4="","",발령대장_설정!$B$4))</x:f>
        <x:v>#NAME?</x:v>
      </x:c>
      <x:c r="C473" s="27" t="e">
        <x:f>IF($A473="","",대장!D236)</x:f>
        <x:v>#NAME?</x:v>
      </x:c>
      <x:c r="D473" s="27" t="e">
        <x:f>IF($A473="","",대장!A236)</x:f>
        <x:v>#NAME?</x:v>
      </x:c>
      <x:c r="E473" s="27" t="e">
        <x:f>IF($A473="","",IF(대장!J236&lt;&gt;"",대장!J236,대장!D236&amp;"에 임함"&amp;IF(대장!E236="","",CHAR(10)&amp;"고용형태: "&amp;대장!E236)&amp;IF(대장!I236="","",CHAR(10)&amp;"소정근로시간: "&amp;대장!I236)&amp;CHAR(10)&amp;"근로기간: "&amp;YEAR(대장!F236)&amp;"."&amp;MONTH(대장!F236)&amp;"."&amp;DAY(대장!F236)&amp;"."&amp;" ~ "&amp;IF(ISNUMBER(대장!G236),YEAR(대장!G236)&amp;"."&amp;MONTH(대장!G236)&amp;"."&amp;DAY(대장!G236)&amp;".","재직 중")))</x:f>
        <x:v>#NAME?</x:v>
      </x:c>
      <x:c r="F473" s="27" t="e">
        <x:f>IF($A473="","",IF(발령대장_설정!$B$5="","",발령대장_설정!$B$5))</x:f>
        <x:v>#NAME?</x:v>
      </x:c>
      <x:c r="G473" s="27" t="e">
        <x:f>IF($A473="","",IF(발령대장_설정!$B$6="","",발령대장_설정!$B$6))</x:f>
        <x:v>#NAME?</x:v>
      </x:c>
      <x:c r="H473" s="27" t="e">
        <x:f>IF($A473="","",IF(발령대장_설정!$B$7="","",발령대장_설정!$B$7))</x:f>
        <x:v>#NAME?</x:v>
      </x:c>
      <x:c r="I473" s="27" t="e">
        <x:f>IF($A473="","",IF(발령대장_설정!$B$8="","",발령대장_설정!$B$8))</x:f>
        <x:v>#NAME?</x:v>
      </x:c>
      <x:c r="J473" s="27" t="e">
        <x:f>IF($A473="","",IF(대장!K236="","",대장!K236))</x:f>
        <x:v>#NAME?</x:v>
      </x:c>
    </x:row>
    <x:row r="474" ht="42" customHeight="1">
      <x:c r="A474" s="47" t="e">
        <x:f>IF(AND(대장!A236&lt;&gt;"",ISNUMBER(대장!F236),ISNUMBER(대장!G236),대장!G236&gt;=대장!F236,대장!H236&lt;&gt;""),대장!G236,"")</x:f>
        <x:v>#NAME?</x:v>
      </x:c>
      <x:c r="B474" s="27" t="e">
        <x:f>IF($A474="","",IF(발령대장_설정!$B$4="","",발령대장_설정!$B$4))</x:f>
        <x:v>#NAME?</x:v>
      </x:c>
      <x:c r="C474" s="27" t="e">
        <x:f>IF($A474="","",대장!D236)</x:f>
        <x:v>#NAME?</x:v>
      </x:c>
      <x:c r="D474" s="27" t="e">
        <x:f>IF($A474="","",대장!A236)</x:f>
        <x:v>#NAME?</x:v>
      </x:c>
      <x:c r="E474" s="27" t="e">
        <x:f>IF($A474="","",IF(OR(ISNUMBER(SEARCH("계약만료",대장!H236&amp;"")),ISNUMBER(SEARCH("기간만료",대장!H236&amp;""))),"계약기간 만료로 퇴직",IF(ISNUMBER(SEARCH("의원면직",대장!H236&amp;"")),"의원면직",IF(ISNUMBER(SEARCH("정년퇴직",대장!H236&amp;"")),"정년퇴직",대장!H236))))</x:f>
        <x:v>#NAME?</x:v>
      </x:c>
      <x:c r="F474" s="27" t="e">
        <x:f>IF($A474="","",IF(발령대장_설정!$B$5="","",발령대장_설정!$B$5))</x:f>
        <x:v>#NAME?</x:v>
      </x:c>
      <x:c r="G474" s="27" t="e">
        <x:f>IF($A474="","",IF(발령대장_설정!$B$6="","",발령대장_설정!$B$6))</x:f>
        <x:v>#NAME?</x:v>
      </x:c>
      <x:c r="H474" s="27" t="e">
        <x:f>IF($A474="","",IF(발령대장_설정!$B$7="","",발령대장_설정!$B$7))</x:f>
        <x:v>#NAME?</x:v>
      </x:c>
      <x:c r="I474" s="27" t="e">
        <x:f>IF($A474="","",IF(발령대장_설정!$B$8="","",발령대장_설정!$B$8))</x:f>
        <x:v>#NAME?</x:v>
      </x:c>
      <x:c r="J474" s="27" t="str">
        <x:f>""</x:f>
      </x:c>
    </x:row>
    <x:row r="475" ht="42" customHeight="1">
      <x:c r="A475" s="47" t="e">
        <x:f>IF(AND(대장!A237&lt;&gt;"",ISNUMBER(대장!F237),OR(대장!G237="",AND(ISNUMBER(대장!G237),대장!G237&gt;=대장!F237))),대장!F237,"")</x:f>
        <x:v>#NAME?</x:v>
      </x:c>
      <x:c r="B475" s="27" t="e">
        <x:f>IF($A475="","",IF(발령대장_설정!$B$4="","",발령대장_설정!$B$4))</x:f>
        <x:v>#NAME?</x:v>
      </x:c>
      <x:c r="C475" s="27" t="e">
        <x:f>IF($A475="","",대장!D237)</x:f>
        <x:v>#NAME?</x:v>
      </x:c>
      <x:c r="D475" s="27" t="e">
        <x:f>IF($A475="","",대장!A237)</x:f>
        <x:v>#NAME?</x:v>
      </x:c>
      <x:c r="E475" s="27" t="e">
        <x:f>IF($A475="","",IF(대장!J237&lt;&gt;"",대장!J237,대장!D237&amp;"에 임함"&amp;IF(대장!E237="","",CHAR(10)&amp;"고용형태: "&amp;대장!E237)&amp;IF(대장!I237="","",CHAR(10)&amp;"소정근로시간: "&amp;대장!I237)&amp;CHAR(10)&amp;"근로기간: "&amp;YEAR(대장!F237)&amp;"."&amp;MONTH(대장!F237)&amp;"."&amp;DAY(대장!F237)&amp;"."&amp;" ~ "&amp;IF(ISNUMBER(대장!G237),YEAR(대장!G237)&amp;"."&amp;MONTH(대장!G237)&amp;"."&amp;DAY(대장!G237)&amp;".","재직 중")))</x:f>
        <x:v>#NAME?</x:v>
      </x:c>
      <x:c r="F475" s="27" t="e">
        <x:f>IF($A475="","",IF(발령대장_설정!$B$5="","",발령대장_설정!$B$5))</x:f>
        <x:v>#NAME?</x:v>
      </x:c>
      <x:c r="G475" s="27" t="e">
        <x:f>IF($A475="","",IF(발령대장_설정!$B$6="","",발령대장_설정!$B$6))</x:f>
        <x:v>#NAME?</x:v>
      </x:c>
      <x:c r="H475" s="27" t="e">
        <x:f>IF($A475="","",IF(발령대장_설정!$B$7="","",발령대장_설정!$B$7))</x:f>
        <x:v>#NAME?</x:v>
      </x:c>
      <x:c r="I475" s="27" t="e">
        <x:f>IF($A475="","",IF(발령대장_설정!$B$8="","",발령대장_설정!$B$8))</x:f>
        <x:v>#NAME?</x:v>
      </x:c>
      <x:c r="J475" s="27" t="e">
        <x:f>IF($A475="","",IF(대장!K237="","",대장!K237))</x:f>
        <x:v>#NAME?</x:v>
      </x:c>
    </x:row>
    <x:row r="476" ht="42" customHeight="1">
      <x:c r="A476" s="47" t="e">
        <x:f>IF(AND(대장!A237&lt;&gt;"",ISNUMBER(대장!F237),ISNUMBER(대장!G237),대장!G237&gt;=대장!F237,대장!H237&lt;&gt;""),대장!G237,"")</x:f>
        <x:v>#NAME?</x:v>
      </x:c>
      <x:c r="B476" s="27" t="e">
        <x:f>IF($A476="","",IF(발령대장_설정!$B$4="","",발령대장_설정!$B$4))</x:f>
        <x:v>#NAME?</x:v>
      </x:c>
      <x:c r="C476" s="27" t="e">
        <x:f>IF($A476="","",대장!D237)</x:f>
        <x:v>#NAME?</x:v>
      </x:c>
      <x:c r="D476" s="27" t="e">
        <x:f>IF($A476="","",대장!A237)</x:f>
        <x:v>#NAME?</x:v>
      </x:c>
      <x:c r="E476" s="27" t="e">
        <x:f>IF($A476="","",IF(OR(ISNUMBER(SEARCH("계약만료",대장!H237&amp;"")),ISNUMBER(SEARCH("기간만료",대장!H237&amp;""))),"계약기간 만료로 퇴직",IF(ISNUMBER(SEARCH("의원면직",대장!H237&amp;"")),"의원면직",IF(ISNUMBER(SEARCH("정년퇴직",대장!H237&amp;"")),"정년퇴직",대장!H237))))</x:f>
        <x:v>#NAME?</x:v>
      </x:c>
      <x:c r="F476" s="27" t="e">
        <x:f>IF($A476="","",IF(발령대장_설정!$B$5="","",발령대장_설정!$B$5))</x:f>
        <x:v>#NAME?</x:v>
      </x:c>
      <x:c r="G476" s="27" t="e">
        <x:f>IF($A476="","",IF(발령대장_설정!$B$6="","",발령대장_설정!$B$6))</x:f>
        <x:v>#NAME?</x:v>
      </x:c>
      <x:c r="H476" s="27" t="e">
        <x:f>IF($A476="","",IF(발령대장_설정!$B$7="","",발령대장_설정!$B$7))</x:f>
        <x:v>#NAME?</x:v>
      </x:c>
      <x:c r="I476" s="27" t="e">
        <x:f>IF($A476="","",IF(발령대장_설정!$B$8="","",발령대장_설정!$B$8))</x:f>
        <x:v>#NAME?</x:v>
      </x:c>
      <x:c r="J476" s="27" t="str">
        <x:f>""</x:f>
      </x:c>
    </x:row>
    <x:row r="477" ht="42" customHeight="1">
      <x:c r="A477" s="47" t="e">
        <x:f>IF(AND(대장!A238&lt;&gt;"",ISNUMBER(대장!F238),OR(대장!G238="",AND(ISNUMBER(대장!G238),대장!G238&gt;=대장!F238))),대장!F238,"")</x:f>
        <x:v>#NAME?</x:v>
      </x:c>
      <x:c r="B477" s="27" t="e">
        <x:f>IF($A477="","",IF(발령대장_설정!$B$4="","",발령대장_설정!$B$4))</x:f>
        <x:v>#NAME?</x:v>
      </x:c>
      <x:c r="C477" s="27" t="e">
        <x:f>IF($A477="","",대장!D238)</x:f>
        <x:v>#NAME?</x:v>
      </x:c>
      <x:c r="D477" s="27" t="e">
        <x:f>IF($A477="","",대장!A238)</x:f>
        <x:v>#NAME?</x:v>
      </x:c>
      <x:c r="E477" s="27" t="e">
        <x:f>IF($A477="","",IF(대장!J238&lt;&gt;"",대장!J238,대장!D238&amp;"에 임함"&amp;IF(대장!E238="","",CHAR(10)&amp;"고용형태: "&amp;대장!E238)&amp;IF(대장!I238="","",CHAR(10)&amp;"소정근로시간: "&amp;대장!I238)&amp;CHAR(10)&amp;"근로기간: "&amp;YEAR(대장!F238)&amp;"."&amp;MONTH(대장!F238)&amp;"."&amp;DAY(대장!F238)&amp;"."&amp;" ~ "&amp;IF(ISNUMBER(대장!G238),YEAR(대장!G238)&amp;"."&amp;MONTH(대장!G238)&amp;"."&amp;DAY(대장!G238)&amp;".","재직 중")))</x:f>
        <x:v>#NAME?</x:v>
      </x:c>
      <x:c r="F477" s="27" t="e">
        <x:f>IF($A477="","",IF(발령대장_설정!$B$5="","",발령대장_설정!$B$5))</x:f>
        <x:v>#NAME?</x:v>
      </x:c>
      <x:c r="G477" s="27" t="e">
        <x:f>IF($A477="","",IF(발령대장_설정!$B$6="","",발령대장_설정!$B$6))</x:f>
        <x:v>#NAME?</x:v>
      </x:c>
      <x:c r="H477" s="27" t="e">
        <x:f>IF($A477="","",IF(발령대장_설정!$B$7="","",발령대장_설정!$B$7))</x:f>
        <x:v>#NAME?</x:v>
      </x:c>
      <x:c r="I477" s="27" t="e">
        <x:f>IF($A477="","",IF(발령대장_설정!$B$8="","",발령대장_설정!$B$8))</x:f>
        <x:v>#NAME?</x:v>
      </x:c>
      <x:c r="J477" s="27" t="e">
        <x:f>IF($A477="","",IF(대장!K238="","",대장!K238))</x:f>
        <x:v>#NAME?</x:v>
      </x:c>
    </x:row>
    <x:row r="478" ht="42" customHeight="1">
      <x:c r="A478" s="47" t="e">
        <x:f>IF(AND(대장!A238&lt;&gt;"",ISNUMBER(대장!F238),ISNUMBER(대장!G238),대장!G238&gt;=대장!F238,대장!H238&lt;&gt;""),대장!G238,"")</x:f>
        <x:v>#NAME?</x:v>
      </x:c>
      <x:c r="B478" s="27" t="e">
        <x:f>IF($A478="","",IF(발령대장_설정!$B$4="","",발령대장_설정!$B$4))</x:f>
        <x:v>#NAME?</x:v>
      </x:c>
      <x:c r="C478" s="27" t="e">
        <x:f>IF($A478="","",대장!D238)</x:f>
        <x:v>#NAME?</x:v>
      </x:c>
      <x:c r="D478" s="27" t="e">
        <x:f>IF($A478="","",대장!A238)</x:f>
        <x:v>#NAME?</x:v>
      </x:c>
      <x:c r="E478" s="27" t="e">
        <x:f>IF($A478="","",IF(OR(ISNUMBER(SEARCH("계약만료",대장!H238&amp;"")),ISNUMBER(SEARCH("기간만료",대장!H238&amp;""))),"계약기간 만료로 퇴직",IF(ISNUMBER(SEARCH("의원면직",대장!H238&amp;"")),"의원면직",IF(ISNUMBER(SEARCH("정년퇴직",대장!H238&amp;"")),"정년퇴직",대장!H238))))</x:f>
        <x:v>#NAME?</x:v>
      </x:c>
      <x:c r="F478" s="27" t="e">
        <x:f>IF($A478="","",IF(발령대장_설정!$B$5="","",발령대장_설정!$B$5))</x:f>
        <x:v>#NAME?</x:v>
      </x:c>
      <x:c r="G478" s="27" t="e">
        <x:f>IF($A478="","",IF(발령대장_설정!$B$6="","",발령대장_설정!$B$6))</x:f>
        <x:v>#NAME?</x:v>
      </x:c>
      <x:c r="H478" s="27" t="e">
        <x:f>IF($A478="","",IF(발령대장_설정!$B$7="","",발령대장_설정!$B$7))</x:f>
        <x:v>#NAME?</x:v>
      </x:c>
      <x:c r="I478" s="27" t="e">
        <x:f>IF($A478="","",IF(발령대장_설정!$B$8="","",발령대장_설정!$B$8))</x:f>
        <x:v>#NAME?</x:v>
      </x:c>
      <x:c r="J478" s="27" t="str">
        <x:f>""</x:f>
      </x:c>
    </x:row>
    <x:row r="479" ht="42" customHeight="1">
      <x:c r="A479" s="47" t="e">
        <x:f>IF(AND(대장!A239&lt;&gt;"",ISNUMBER(대장!F239),OR(대장!G239="",AND(ISNUMBER(대장!G239),대장!G239&gt;=대장!F239))),대장!F239,"")</x:f>
        <x:v>#NAME?</x:v>
      </x:c>
      <x:c r="B479" s="27" t="e">
        <x:f>IF($A479="","",IF(발령대장_설정!$B$4="","",발령대장_설정!$B$4))</x:f>
        <x:v>#NAME?</x:v>
      </x:c>
      <x:c r="C479" s="27" t="e">
        <x:f>IF($A479="","",대장!D239)</x:f>
        <x:v>#NAME?</x:v>
      </x:c>
      <x:c r="D479" s="27" t="e">
        <x:f>IF($A479="","",대장!A239)</x:f>
        <x:v>#NAME?</x:v>
      </x:c>
      <x:c r="E479" s="27" t="e">
        <x:f>IF($A479="","",IF(대장!J239&lt;&gt;"",대장!J239,대장!D239&amp;"에 임함"&amp;IF(대장!E239="","",CHAR(10)&amp;"고용형태: "&amp;대장!E239)&amp;IF(대장!I239="","",CHAR(10)&amp;"소정근로시간: "&amp;대장!I239)&amp;CHAR(10)&amp;"근로기간: "&amp;YEAR(대장!F239)&amp;"."&amp;MONTH(대장!F239)&amp;"."&amp;DAY(대장!F239)&amp;"."&amp;" ~ "&amp;IF(ISNUMBER(대장!G239),YEAR(대장!G239)&amp;"."&amp;MONTH(대장!G239)&amp;"."&amp;DAY(대장!G239)&amp;".","재직 중")))</x:f>
        <x:v>#NAME?</x:v>
      </x:c>
      <x:c r="F479" s="27" t="e">
        <x:f>IF($A479="","",IF(발령대장_설정!$B$5="","",발령대장_설정!$B$5))</x:f>
        <x:v>#NAME?</x:v>
      </x:c>
      <x:c r="G479" s="27" t="e">
        <x:f>IF($A479="","",IF(발령대장_설정!$B$6="","",발령대장_설정!$B$6))</x:f>
        <x:v>#NAME?</x:v>
      </x:c>
      <x:c r="H479" s="27" t="e">
        <x:f>IF($A479="","",IF(발령대장_설정!$B$7="","",발령대장_설정!$B$7))</x:f>
        <x:v>#NAME?</x:v>
      </x:c>
      <x:c r="I479" s="27" t="e">
        <x:f>IF($A479="","",IF(발령대장_설정!$B$8="","",발령대장_설정!$B$8))</x:f>
        <x:v>#NAME?</x:v>
      </x:c>
      <x:c r="J479" s="27" t="e">
        <x:f>IF($A479="","",IF(대장!K239="","",대장!K239))</x:f>
        <x:v>#NAME?</x:v>
      </x:c>
    </x:row>
    <x:row r="480" ht="42" customHeight="1">
      <x:c r="A480" s="47" t="e">
        <x:f>IF(AND(대장!A239&lt;&gt;"",ISNUMBER(대장!F239),ISNUMBER(대장!G239),대장!G239&gt;=대장!F239,대장!H239&lt;&gt;""),대장!G239,"")</x:f>
        <x:v>#NAME?</x:v>
      </x:c>
      <x:c r="B480" s="27" t="e">
        <x:f>IF($A480="","",IF(발령대장_설정!$B$4="","",발령대장_설정!$B$4))</x:f>
        <x:v>#NAME?</x:v>
      </x:c>
      <x:c r="C480" s="27" t="e">
        <x:f>IF($A480="","",대장!D239)</x:f>
        <x:v>#NAME?</x:v>
      </x:c>
      <x:c r="D480" s="27" t="e">
        <x:f>IF($A480="","",대장!A239)</x:f>
        <x:v>#NAME?</x:v>
      </x:c>
      <x:c r="E480" s="27" t="e">
        <x:f>IF($A480="","",IF(OR(ISNUMBER(SEARCH("계약만료",대장!H239&amp;"")),ISNUMBER(SEARCH("기간만료",대장!H239&amp;""))),"계약기간 만료로 퇴직",IF(ISNUMBER(SEARCH("의원면직",대장!H239&amp;"")),"의원면직",IF(ISNUMBER(SEARCH("정년퇴직",대장!H239&amp;"")),"정년퇴직",대장!H239))))</x:f>
        <x:v>#NAME?</x:v>
      </x:c>
      <x:c r="F480" s="27" t="e">
        <x:f>IF($A480="","",IF(발령대장_설정!$B$5="","",발령대장_설정!$B$5))</x:f>
        <x:v>#NAME?</x:v>
      </x:c>
      <x:c r="G480" s="27" t="e">
        <x:f>IF($A480="","",IF(발령대장_설정!$B$6="","",발령대장_설정!$B$6))</x:f>
        <x:v>#NAME?</x:v>
      </x:c>
      <x:c r="H480" s="27" t="e">
        <x:f>IF($A480="","",IF(발령대장_설정!$B$7="","",발령대장_설정!$B$7))</x:f>
        <x:v>#NAME?</x:v>
      </x:c>
      <x:c r="I480" s="27" t="e">
        <x:f>IF($A480="","",IF(발령대장_설정!$B$8="","",발령대장_설정!$B$8))</x:f>
        <x:v>#NAME?</x:v>
      </x:c>
      <x:c r="J480" s="27" t="str">
        <x:f>""</x:f>
      </x:c>
    </x:row>
    <x:row r="481" ht="42" customHeight="1">
      <x:c r="A481" s="47" t="e">
        <x:f>IF(AND(대장!A240&lt;&gt;"",ISNUMBER(대장!F240),OR(대장!G240="",AND(ISNUMBER(대장!G240),대장!G240&gt;=대장!F240))),대장!F240,"")</x:f>
        <x:v>#NAME?</x:v>
      </x:c>
      <x:c r="B481" s="27" t="e">
        <x:f>IF($A481="","",IF(발령대장_설정!$B$4="","",발령대장_설정!$B$4))</x:f>
        <x:v>#NAME?</x:v>
      </x:c>
      <x:c r="C481" s="27" t="e">
        <x:f>IF($A481="","",대장!D240)</x:f>
        <x:v>#NAME?</x:v>
      </x:c>
      <x:c r="D481" s="27" t="e">
        <x:f>IF($A481="","",대장!A240)</x:f>
        <x:v>#NAME?</x:v>
      </x:c>
      <x:c r="E481" s="27" t="e">
        <x:f>IF($A481="","",IF(대장!J240&lt;&gt;"",대장!J240,대장!D240&amp;"에 임함"&amp;IF(대장!E240="","",CHAR(10)&amp;"고용형태: "&amp;대장!E240)&amp;IF(대장!I240="","",CHAR(10)&amp;"소정근로시간: "&amp;대장!I240)&amp;CHAR(10)&amp;"근로기간: "&amp;YEAR(대장!F240)&amp;"."&amp;MONTH(대장!F240)&amp;"."&amp;DAY(대장!F240)&amp;"."&amp;" ~ "&amp;IF(ISNUMBER(대장!G240),YEAR(대장!G240)&amp;"."&amp;MONTH(대장!G240)&amp;"."&amp;DAY(대장!G240)&amp;".","재직 중")))</x:f>
        <x:v>#NAME?</x:v>
      </x:c>
      <x:c r="F481" s="27" t="e">
        <x:f>IF($A481="","",IF(발령대장_설정!$B$5="","",발령대장_설정!$B$5))</x:f>
        <x:v>#NAME?</x:v>
      </x:c>
      <x:c r="G481" s="27" t="e">
        <x:f>IF($A481="","",IF(발령대장_설정!$B$6="","",발령대장_설정!$B$6))</x:f>
        <x:v>#NAME?</x:v>
      </x:c>
      <x:c r="H481" s="27" t="e">
        <x:f>IF($A481="","",IF(발령대장_설정!$B$7="","",발령대장_설정!$B$7))</x:f>
        <x:v>#NAME?</x:v>
      </x:c>
      <x:c r="I481" s="27" t="e">
        <x:f>IF($A481="","",IF(발령대장_설정!$B$8="","",발령대장_설정!$B$8))</x:f>
        <x:v>#NAME?</x:v>
      </x:c>
      <x:c r="J481" s="27" t="e">
        <x:f>IF($A481="","",IF(대장!K240="","",대장!K240))</x:f>
        <x:v>#NAME?</x:v>
      </x:c>
    </x:row>
    <x:row r="482" ht="42" customHeight="1">
      <x:c r="A482" s="47" t="e">
        <x:f>IF(AND(대장!A240&lt;&gt;"",ISNUMBER(대장!F240),ISNUMBER(대장!G240),대장!G240&gt;=대장!F240,대장!H240&lt;&gt;""),대장!G240,"")</x:f>
        <x:v>#NAME?</x:v>
      </x:c>
      <x:c r="B482" s="27" t="e">
        <x:f>IF($A482="","",IF(발령대장_설정!$B$4="","",발령대장_설정!$B$4))</x:f>
        <x:v>#NAME?</x:v>
      </x:c>
      <x:c r="C482" s="27" t="e">
        <x:f>IF($A482="","",대장!D240)</x:f>
        <x:v>#NAME?</x:v>
      </x:c>
      <x:c r="D482" s="27" t="e">
        <x:f>IF($A482="","",대장!A240)</x:f>
        <x:v>#NAME?</x:v>
      </x:c>
      <x:c r="E482" s="27" t="e">
        <x:f>IF($A482="","",IF(OR(ISNUMBER(SEARCH("계약만료",대장!H240&amp;"")),ISNUMBER(SEARCH("기간만료",대장!H240&amp;""))),"계약기간 만료로 퇴직",IF(ISNUMBER(SEARCH("의원면직",대장!H240&amp;"")),"의원면직",IF(ISNUMBER(SEARCH("정년퇴직",대장!H240&amp;"")),"정년퇴직",대장!H240))))</x:f>
        <x:v>#NAME?</x:v>
      </x:c>
      <x:c r="F482" s="27" t="e">
        <x:f>IF($A482="","",IF(발령대장_설정!$B$5="","",발령대장_설정!$B$5))</x:f>
        <x:v>#NAME?</x:v>
      </x:c>
      <x:c r="G482" s="27" t="e">
        <x:f>IF($A482="","",IF(발령대장_설정!$B$6="","",발령대장_설정!$B$6))</x:f>
        <x:v>#NAME?</x:v>
      </x:c>
      <x:c r="H482" s="27" t="e">
        <x:f>IF($A482="","",IF(발령대장_설정!$B$7="","",발령대장_설정!$B$7))</x:f>
        <x:v>#NAME?</x:v>
      </x:c>
      <x:c r="I482" s="27" t="e">
        <x:f>IF($A482="","",IF(발령대장_설정!$B$8="","",발령대장_설정!$B$8))</x:f>
        <x:v>#NAME?</x:v>
      </x:c>
      <x:c r="J482" s="27" t="str">
        <x:f>""</x:f>
      </x:c>
    </x:row>
    <x:row r="483" ht="42" customHeight="1">
      <x:c r="A483" s="47" t="e">
        <x:f>IF(AND(대장!A241&lt;&gt;"",ISNUMBER(대장!F241),OR(대장!G241="",AND(ISNUMBER(대장!G241),대장!G241&gt;=대장!F241))),대장!F241,"")</x:f>
        <x:v>#NAME?</x:v>
      </x:c>
      <x:c r="B483" s="27" t="e">
        <x:f>IF($A483="","",IF(발령대장_설정!$B$4="","",발령대장_설정!$B$4))</x:f>
        <x:v>#NAME?</x:v>
      </x:c>
      <x:c r="C483" s="27" t="e">
        <x:f>IF($A483="","",대장!D241)</x:f>
        <x:v>#NAME?</x:v>
      </x:c>
      <x:c r="D483" s="27" t="e">
        <x:f>IF($A483="","",대장!A241)</x:f>
        <x:v>#NAME?</x:v>
      </x:c>
      <x:c r="E483" s="27" t="e">
        <x:f>IF($A483="","",IF(대장!J241&lt;&gt;"",대장!J241,대장!D241&amp;"에 임함"&amp;IF(대장!E241="","",CHAR(10)&amp;"고용형태: "&amp;대장!E241)&amp;IF(대장!I241="","",CHAR(10)&amp;"소정근로시간: "&amp;대장!I241)&amp;CHAR(10)&amp;"근로기간: "&amp;YEAR(대장!F241)&amp;"."&amp;MONTH(대장!F241)&amp;"."&amp;DAY(대장!F241)&amp;"."&amp;" ~ "&amp;IF(ISNUMBER(대장!G241),YEAR(대장!G241)&amp;"."&amp;MONTH(대장!G241)&amp;"."&amp;DAY(대장!G241)&amp;".","재직 중")))</x:f>
        <x:v>#NAME?</x:v>
      </x:c>
      <x:c r="F483" s="27" t="e">
        <x:f>IF($A483="","",IF(발령대장_설정!$B$5="","",발령대장_설정!$B$5))</x:f>
        <x:v>#NAME?</x:v>
      </x:c>
      <x:c r="G483" s="27" t="e">
        <x:f>IF($A483="","",IF(발령대장_설정!$B$6="","",발령대장_설정!$B$6))</x:f>
        <x:v>#NAME?</x:v>
      </x:c>
      <x:c r="H483" s="27" t="e">
        <x:f>IF($A483="","",IF(발령대장_설정!$B$7="","",발령대장_설정!$B$7))</x:f>
        <x:v>#NAME?</x:v>
      </x:c>
      <x:c r="I483" s="27" t="e">
        <x:f>IF($A483="","",IF(발령대장_설정!$B$8="","",발령대장_설정!$B$8))</x:f>
        <x:v>#NAME?</x:v>
      </x:c>
      <x:c r="J483" s="27" t="e">
        <x:f>IF($A483="","",IF(대장!K241="","",대장!K241))</x:f>
        <x:v>#NAME?</x:v>
      </x:c>
    </x:row>
    <x:row r="484" ht="42" customHeight="1">
      <x:c r="A484" s="47" t="e">
        <x:f>IF(AND(대장!A241&lt;&gt;"",ISNUMBER(대장!F241),ISNUMBER(대장!G241),대장!G241&gt;=대장!F241,대장!H241&lt;&gt;""),대장!G241,"")</x:f>
        <x:v>#NAME?</x:v>
      </x:c>
      <x:c r="B484" s="27" t="e">
        <x:f>IF($A484="","",IF(발령대장_설정!$B$4="","",발령대장_설정!$B$4))</x:f>
        <x:v>#NAME?</x:v>
      </x:c>
      <x:c r="C484" s="27" t="e">
        <x:f>IF($A484="","",대장!D241)</x:f>
        <x:v>#NAME?</x:v>
      </x:c>
      <x:c r="D484" s="27" t="e">
        <x:f>IF($A484="","",대장!A241)</x:f>
        <x:v>#NAME?</x:v>
      </x:c>
      <x:c r="E484" s="27" t="e">
        <x:f>IF($A484="","",IF(OR(ISNUMBER(SEARCH("계약만료",대장!H241&amp;"")),ISNUMBER(SEARCH("기간만료",대장!H241&amp;""))),"계약기간 만료로 퇴직",IF(ISNUMBER(SEARCH("의원면직",대장!H241&amp;"")),"의원면직",IF(ISNUMBER(SEARCH("정년퇴직",대장!H241&amp;"")),"정년퇴직",대장!H241))))</x:f>
        <x:v>#NAME?</x:v>
      </x:c>
      <x:c r="F484" s="27" t="e">
        <x:f>IF($A484="","",IF(발령대장_설정!$B$5="","",발령대장_설정!$B$5))</x:f>
        <x:v>#NAME?</x:v>
      </x:c>
      <x:c r="G484" s="27" t="e">
        <x:f>IF($A484="","",IF(발령대장_설정!$B$6="","",발령대장_설정!$B$6))</x:f>
        <x:v>#NAME?</x:v>
      </x:c>
      <x:c r="H484" s="27" t="e">
        <x:f>IF($A484="","",IF(발령대장_설정!$B$7="","",발령대장_설정!$B$7))</x:f>
        <x:v>#NAME?</x:v>
      </x:c>
      <x:c r="I484" s="27" t="e">
        <x:f>IF($A484="","",IF(발령대장_설정!$B$8="","",발령대장_설정!$B$8))</x:f>
        <x:v>#NAME?</x:v>
      </x:c>
      <x:c r="J484" s="27" t="str">
        <x:f>""</x:f>
      </x:c>
    </x:row>
    <x:row r="485" ht="42" customHeight="1">
      <x:c r="A485" s="47" t="e">
        <x:f>IF(AND(대장!A242&lt;&gt;"",ISNUMBER(대장!F242),OR(대장!G242="",AND(ISNUMBER(대장!G242),대장!G242&gt;=대장!F242))),대장!F242,"")</x:f>
        <x:v>#NAME?</x:v>
      </x:c>
      <x:c r="B485" s="27" t="e">
        <x:f>IF($A485="","",IF(발령대장_설정!$B$4="","",발령대장_설정!$B$4))</x:f>
        <x:v>#NAME?</x:v>
      </x:c>
      <x:c r="C485" s="27" t="e">
        <x:f>IF($A485="","",대장!D242)</x:f>
        <x:v>#NAME?</x:v>
      </x:c>
      <x:c r="D485" s="27" t="e">
        <x:f>IF($A485="","",대장!A242)</x:f>
        <x:v>#NAME?</x:v>
      </x:c>
      <x:c r="E485" s="27" t="e">
        <x:f>IF($A485="","",IF(대장!J242&lt;&gt;"",대장!J242,대장!D242&amp;"에 임함"&amp;IF(대장!E242="","",CHAR(10)&amp;"고용형태: "&amp;대장!E242)&amp;IF(대장!I242="","",CHAR(10)&amp;"소정근로시간: "&amp;대장!I242)&amp;CHAR(10)&amp;"근로기간: "&amp;YEAR(대장!F242)&amp;"."&amp;MONTH(대장!F242)&amp;"."&amp;DAY(대장!F242)&amp;"."&amp;" ~ "&amp;IF(ISNUMBER(대장!G242),YEAR(대장!G242)&amp;"."&amp;MONTH(대장!G242)&amp;"."&amp;DAY(대장!G242)&amp;".","재직 중")))</x:f>
        <x:v>#NAME?</x:v>
      </x:c>
      <x:c r="F485" s="27" t="e">
        <x:f>IF($A485="","",IF(발령대장_설정!$B$5="","",발령대장_설정!$B$5))</x:f>
        <x:v>#NAME?</x:v>
      </x:c>
      <x:c r="G485" s="27" t="e">
        <x:f>IF($A485="","",IF(발령대장_설정!$B$6="","",발령대장_설정!$B$6))</x:f>
        <x:v>#NAME?</x:v>
      </x:c>
      <x:c r="H485" s="27" t="e">
        <x:f>IF($A485="","",IF(발령대장_설정!$B$7="","",발령대장_설정!$B$7))</x:f>
        <x:v>#NAME?</x:v>
      </x:c>
      <x:c r="I485" s="27" t="e">
        <x:f>IF($A485="","",IF(발령대장_설정!$B$8="","",발령대장_설정!$B$8))</x:f>
        <x:v>#NAME?</x:v>
      </x:c>
      <x:c r="J485" s="27" t="e">
        <x:f>IF($A485="","",IF(대장!K242="","",대장!K242))</x:f>
        <x:v>#NAME?</x:v>
      </x:c>
    </x:row>
    <x:row r="486" ht="42" customHeight="1">
      <x:c r="A486" s="47" t="e">
        <x:f>IF(AND(대장!A242&lt;&gt;"",ISNUMBER(대장!F242),ISNUMBER(대장!G242),대장!G242&gt;=대장!F242,대장!H242&lt;&gt;""),대장!G242,"")</x:f>
        <x:v>#NAME?</x:v>
      </x:c>
      <x:c r="B486" s="27" t="e">
        <x:f>IF($A486="","",IF(발령대장_설정!$B$4="","",발령대장_설정!$B$4))</x:f>
        <x:v>#NAME?</x:v>
      </x:c>
      <x:c r="C486" s="27" t="e">
        <x:f>IF($A486="","",대장!D242)</x:f>
        <x:v>#NAME?</x:v>
      </x:c>
      <x:c r="D486" s="27" t="e">
        <x:f>IF($A486="","",대장!A242)</x:f>
        <x:v>#NAME?</x:v>
      </x:c>
      <x:c r="E486" s="27" t="e">
        <x:f>IF($A486="","",IF(OR(ISNUMBER(SEARCH("계약만료",대장!H242&amp;"")),ISNUMBER(SEARCH("기간만료",대장!H242&amp;""))),"계약기간 만료로 퇴직",IF(ISNUMBER(SEARCH("의원면직",대장!H242&amp;"")),"의원면직",IF(ISNUMBER(SEARCH("정년퇴직",대장!H242&amp;"")),"정년퇴직",대장!H242))))</x:f>
        <x:v>#NAME?</x:v>
      </x:c>
      <x:c r="F486" s="27" t="e">
        <x:f>IF($A486="","",IF(발령대장_설정!$B$5="","",발령대장_설정!$B$5))</x:f>
        <x:v>#NAME?</x:v>
      </x:c>
      <x:c r="G486" s="27" t="e">
        <x:f>IF($A486="","",IF(발령대장_설정!$B$6="","",발령대장_설정!$B$6))</x:f>
        <x:v>#NAME?</x:v>
      </x:c>
      <x:c r="H486" s="27" t="e">
        <x:f>IF($A486="","",IF(발령대장_설정!$B$7="","",발령대장_설정!$B$7))</x:f>
        <x:v>#NAME?</x:v>
      </x:c>
      <x:c r="I486" s="27" t="e">
        <x:f>IF($A486="","",IF(발령대장_설정!$B$8="","",발령대장_설정!$B$8))</x:f>
        <x:v>#NAME?</x:v>
      </x:c>
      <x:c r="J486" s="27" t="str">
        <x:f>""</x:f>
      </x:c>
    </x:row>
    <x:row r="487" ht="42" customHeight="1">
      <x:c r="A487" s="47" t="e">
        <x:f>IF(AND(대장!A243&lt;&gt;"",ISNUMBER(대장!F243),OR(대장!G243="",AND(ISNUMBER(대장!G243),대장!G243&gt;=대장!F243))),대장!F243,"")</x:f>
        <x:v>#NAME?</x:v>
      </x:c>
      <x:c r="B487" s="27" t="e">
        <x:f>IF($A487="","",IF(발령대장_설정!$B$4="","",발령대장_설정!$B$4))</x:f>
        <x:v>#NAME?</x:v>
      </x:c>
      <x:c r="C487" s="27" t="e">
        <x:f>IF($A487="","",대장!D243)</x:f>
        <x:v>#NAME?</x:v>
      </x:c>
      <x:c r="D487" s="27" t="e">
        <x:f>IF($A487="","",대장!A243)</x:f>
        <x:v>#NAME?</x:v>
      </x:c>
      <x:c r="E487" s="27" t="e">
        <x:f>IF($A487="","",IF(대장!J243&lt;&gt;"",대장!J243,대장!D243&amp;"에 임함"&amp;IF(대장!E243="","",CHAR(10)&amp;"고용형태: "&amp;대장!E243)&amp;IF(대장!I243="","",CHAR(10)&amp;"소정근로시간: "&amp;대장!I243)&amp;CHAR(10)&amp;"근로기간: "&amp;YEAR(대장!F243)&amp;"."&amp;MONTH(대장!F243)&amp;"."&amp;DAY(대장!F243)&amp;"."&amp;" ~ "&amp;IF(ISNUMBER(대장!G243),YEAR(대장!G243)&amp;"."&amp;MONTH(대장!G243)&amp;"."&amp;DAY(대장!G243)&amp;".","재직 중")))</x:f>
        <x:v>#NAME?</x:v>
      </x:c>
      <x:c r="F487" s="27" t="e">
        <x:f>IF($A487="","",IF(발령대장_설정!$B$5="","",발령대장_설정!$B$5))</x:f>
        <x:v>#NAME?</x:v>
      </x:c>
      <x:c r="G487" s="27" t="e">
        <x:f>IF($A487="","",IF(발령대장_설정!$B$6="","",발령대장_설정!$B$6))</x:f>
        <x:v>#NAME?</x:v>
      </x:c>
      <x:c r="H487" s="27" t="e">
        <x:f>IF($A487="","",IF(발령대장_설정!$B$7="","",발령대장_설정!$B$7))</x:f>
        <x:v>#NAME?</x:v>
      </x:c>
      <x:c r="I487" s="27" t="e">
        <x:f>IF($A487="","",IF(발령대장_설정!$B$8="","",발령대장_설정!$B$8))</x:f>
        <x:v>#NAME?</x:v>
      </x:c>
      <x:c r="J487" s="27" t="e">
        <x:f>IF($A487="","",IF(대장!K243="","",대장!K243))</x:f>
        <x:v>#NAME?</x:v>
      </x:c>
    </x:row>
    <x:row r="488" ht="42" customHeight="1">
      <x:c r="A488" s="47" t="e">
        <x:f>IF(AND(대장!A243&lt;&gt;"",ISNUMBER(대장!F243),ISNUMBER(대장!G243),대장!G243&gt;=대장!F243,대장!H243&lt;&gt;""),대장!G243,"")</x:f>
        <x:v>#NAME?</x:v>
      </x:c>
      <x:c r="B488" s="27" t="e">
        <x:f>IF($A488="","",IF(발령대장_설정!$B$4="","",발령대장_설정!$B$4))</x:f>
        <x:v>#NAME?</x:v>
      </x:c>
      <x:c r="C488" s="27" t="e">
        <x:f>IF($A488="","",대장!D243)</x:f>
        <x:v>#NAME?</x:v>
      </x:c>
      <x:c r="D488" s="27" t="e">
        <x:f>IF($A488="","",대장!A243)</x:f>
        <x:v>#NAME?</x:v>
      </x:c>
      <x:c r="E488" s="27" t="e">
        <x:f>IF($A488="","",IF(OR(ISNUMBER(SEARCH("계약만료",대장!H243&amp;"")),ISNUMBER(SEARCH("기간만료",대장!H243&amp;""))),"계약기간 만료로 퇴직",IF(ISNUMBER(SEARCH("의원면직",대장!H243&amp;"")),"의원면직",IF(ISNUMBER(SEARCH("정년퇴직",대장!H243&amp;"")),"정년퇴직",대장!H243))))</x:f>
        <x:v>#NAME?</x:v>
      </x:c>
      <x:c r="F488" s="27" t="e">
        <x:f>IF($A488="","",IF(발령대장_설정!$B$5="","",발령대장_설정!$B$5))</x:f>
        <x:v>#NAME?</x:v>
      </x:c>
      <x:c r="G488" s="27" t="e">
        <x:f>IF($A488="","",IF(발령대장_설정!$B$6="","",발령대장_설정!$B$6))</x:f>
        <x:v>#NAME?</x:v>
      </x:c>
      <x:c r="H488" s="27" t="e">
        <x:f>IF($A488="","",IF(발령대장_설정!$B$7="","",발령대장_설정!$B$7))</x:f>
        <x:v>#NAME?</x:v>
      </x:c>
      <x:c r="I488" s="27" t="e">
        <x:f>IF($A488="","",IF(발령대장_설정!$B$8="","",발령대장_설정!$B$8))</x:f>
        <x:v>#NAME?</x:v>
      </x:c>
      <x:c r="J488" s="27" t="str">
        <x:f>""</x:f>
      </x:c>
    </x:row>
    <x:row r="489" ht="42" customHeight="1">
      <x:c r="A489" s="47" t="e">
        <x:f>IF(AND(대장!A244&lt;&gt;"",ISNUMBER(대장!F244),OR(대장!G244="",AND(ISNUMBER(대장!G244),대장!G244&gt;=대장!F244))),대장!F244,"")</x:f>
        <x:v>#NAME?</x:v>
      </x:c>
      <x:c r="B489" s="27" t="e">
        <x:f>IF($A489="","",IF(발령대장_설정!$B$4="","",발령대장_설정!$B$4))</x:f>
        <x:v>#NAME?</x:v>
      </x:c>
      <x:c r="C489" s="27" t="e">
        <x:f>IF($A489="","",대장!D244)</x:f>
        <x:v>#NAME?</x:v>
      </x:c>
      <x:c r="D489" s="27" t="e">
        <x:f>IF($A489="","",대장!A244)</x:f>
        <x:v>#NAME?</x:v>
      </x:c>
      <x:c r="E489" s="27" t="e">
        <x:f>IF($A489="","",IF(대장!J244&lt;&gt;"",대장!J244,대장!D244&amp;"에 임함"&amp;IF(대장!E244="","",CHAR(10)&amp;"고용형태: "&amp;대장!E244)&amp;IF(대장!I244="","",CHAR(10)&amp;"소정근로시간: "&amp;대장!I244)&amp;CHAR(10)&amp;"근로기간: "&amp;YEAR(대장!F244)&amp;"."&amp;MONTH(대장!F244)&amp;"."&amp;DAY(대장!F244)&amp;"."&amp;" ~ "&amp;IF(ISNUMBER(대장!G244),YEAR(대장!G244)&amp;"."&amp;MONTH(대장!G244)&amp;"."&amp;DAY(대장!G244)&amp;".","재직 중")))</x:f>
        <x:v>#NAME?</x:v>
      </x:c>
      <x:c r="F489" s="27" t="e">
        <x:f>IF($A489="","",IF(발령대장_설정!$B$5="","",발령대장_설정!$B$5))</x:f>
        <x:v>#NAME?</x:v>
      </x:c>
      <x:c r="G489" s="27" t="e">
        <x:f>IF($A489="","",IF(발령대장_설정!$B$6="","",발령대장_설정!$B$6))</x:f>
        <x:v>#NAME?</x:v>
      </x:c>
      <x:c r="H489" s="27" t="e">
        <x:f>IF($A489="","",IF(발령대장_설정!$B$7="","",발령대장_설정!$B$7))</x:f>
        <x:v>#NAME?</x:v>
      </x:c>
      <x:c r="I489" s="27" t="e">
        <x:f>IF($A489="","",IF(발령대장_설정!$B$8="","",발령대장_설정!$B$8))</x:f>
        <x:v>#NAME?</x:v>
      </x:c>
      <x:c r="J489" s="27" t="e">
        <x:f>IF($A489="","",IF(대장!K244="","",대장!K244))</x:f>
        <x:v>#NAME?</x:v>
      </x:c>
    </x:row>
    <x:row r="490" ht="42" customHeight="1">
      <x:c r="A490" s="47" t="e">
        <x:f>IF(AND(대장!A244&lt;&gt;"",ISNUMBER(대장!F244),ISNUMBER(대장!G244),대장!G244&gt;=대장!F244,대장!H244&lt;&gt;""),대장!G244,"")</x:f>
        <x:v>#NAME?</x:v>
      </x:c>
      <x:c r="B490" s="27" t="e">
        <x:f>IF($A490="","",IF(발령대장_설정!$B$4="","",발령대장_설정!$B$4))</x:f>
        <x:v>#NAME?</x:v>
      </x:c>
      <x:c r="C490" s="27" t="e">
        <x:f>IF($A490="","",대장!D244)</x:f>
        <x:v>#NAME?</x:v>
      </x:c>
      <x:c r="D490" s="27" t="e">
        <x:f>IF($A490="","",대장!A244)</x:f>
        <x:v>#NAME?</x:v>
      </x:c>
      <x:c r="E490" s="27" t="e">
        <x:f>IF($A490="","",IF(OR(ISNUMBER(SEARCH("계약만료",대장!H244&amp;"")),ISNUMBER(SEARCH("기간만료",대장!H244&amp;""))),"계약기간 만료로 퇴직",IF(ISNUMBER(SEARCH("의원면직",대장!H244&amp;"")),"의원면직",IF(ISNUMBER(SEARCH("정년퇴직",대장!H244&amp;"")),"정년퇴직",대장!H244))))</x:f>
        <x:v>#NAME?</x:v>
      </x:c>
      <x:c r="F490" s="27" t="e">
        <x:f>IF($A490="","",IF(발령대장_설정!$B$5="","",발령대장_설정!$B$5))</x:f>
        <x:v>#NAME?</x:v>
      </x:c>
      <x:c r="G490" s="27" t="e">
        <x:f>IF($A490="","",IF(발령대장_설정!$B$6="","",발령대장_설정!$B$6))</x:f>
        <x:v>#NAME?</x:v>
      </x:c>
      <x:c r="H490" s="27" t="e">
        <x:f>IF($A490="","",IF(발령대장_설정!$B$7="","",발령대장_설정!$B$7))</x:f>
        <x:v>#NAME?</x:v>
      </x:c>
      <x:c r="I490" s="27" t="e">
        <x:f>IF($A490="","",IF(발령대장_설정!$B$8="","",발령대장_설정!$B$8))</x:f>
        <x:v>#NAME?</x:v>
      </x:c>
      <x:c r="J490" s="27" t="str">
        <x:f>""</x:f>
      </x:c>
    </x:row>
    <x:row r="491" ht="42" customHeight="1">
      <x:c r="A491" s="47" t="e">
        <x:f>IF(AND(대장!A245&lt;&gt;"",ISNUMBER(대장!F245),OR(대장!G245="",AND(ISNUMBER(대장!G245),대장!G245&gt;=대장!F245))),대장!F245,"")</x:f>
        <x:v>#NAME?</x:v>
      </x:c>
      <x:c r="B491" s="27" t="e">
        <x:f>IF($A491="","",IF(발령대장_설정!$B$4="","",발령대장_설정!$B$4))</x:f>
        <x:v>#NAME?</x:v>
      </x:c>
      <x:c r="C491" s="27" t="e">
        <x:f>IF($A491="","",대장!D245)</x:f>
        <x:v>#NAME?</x:v>
      </x:c>
      <x:c r="D491" s="27" t="e">
        <x:f>IF($A491="","",대장!A245)</x:f>
        <x:v>#NAME?</x:v>
      </x:c>
      <x:c r="E491" s="27" t="e">
        <x:f>IF($A491="","",IF(대장!J245&lt;&gt;"",대장!J245,대장!D245&amp;"에 임함"&amp;IF(대장!E245="","",CHAR(10)&amp;"고용형태: "&amp;대장!E245)&amp;IF(대장!I245="","",CHAR(10)&amp;"소정근로시간: "&amp;대장!I245)&amp;CHAR(10)&amp;"근로기간: "&amp;YEAR(대장!F245)&amp;"."&amp;MONTH(대장!F245)&amp;"."&amp;DAY(대장!F245)&amp;"."&amp;" ~ "&amp;IF(ISNUMBER(대장!G245),YEAR(대장!G245)&amp;"."&amp;MONTH(대장!G245)&amp;"."&amp;DAY(대장!G245)&amp;".","재직 중")))</x:f>
        <x:v>#NAME?</x:v>
      </x:c>
      <x:c r="F491" s="27" t="e">
        <x:f>IF($A491="","",IF(발령대장_설정!$B$5="","",발령대장_설정!$B$5))</x:f>
        <x:v>#NAME?</x:v>
      </x:c>
      <x:c r="G491" s="27" t="e">
        <x:f>IF($A491="","",IF(발령대장_설정!$B$6="","",발령대장_설정!$B$6))</x:f>
        <x:v>#NAME?</x:v>
      </x:c>
      <x:c r="H491" s="27" t="e">
        <x:f>IF($A491="","",IF(발령대장_설정!$B$7="","",발령대장_설정!$B$7))</x:f>
        <x:v>#NAME?</x:v>
      </x:c>
      <x:c r="I491" s="27" t="e">
        <x:f>IF($A491="","",IF(발령대장_설정!$B$8="","",발령대장_설정!$B$8))</x:f>
        <x:v>#NAME?</x:v>
      </x:c>
      <x:c r="J491" s="27" t="e">
        <x:f>IF($A491="","",IF(대장!K245="","",대장!K245))</x:f>
        <x:v>#NAME?</x:v>
      </x:c>
    </x:row>
    <x:row r="492" ht="42" customHeight="1">
      <x:c r="A492" s="47" t="e">
        <x:f>IF(AND(대장!A245&lt;&gt;"",ISNUMBER(대장!F245),ISNUMBER(대장!G245),대장!G245&gt;=대장!F245,대장!H245&lt;&gt;""),대장!G245,"")</x:f>
        <x:v>#NAME?</x:v>
      </x:c>
      <x:c r="B492" s="27" t="e">
        <x:f>IF($A492="","",IF(발령대장_설정!$B$4="","",발령대장_설정!$B$4))</x:f>
        <x:v>#NAME?</x:v>
      </x:c>
      <x:c r="C492" s="27" t="e">
        <x:f>IF($A492="","",대장!D245)</x:f>
        <x:v>#NAME?</x:v>
      </x:c>
      <x:c r="D492" s="27" t="e">
        <x:f>IF($A492="","",대장!A245)</x:f>
        <x:v>#NAME?</x:v>
      </x:c>
      <x:c r="E492" s="27" t="e">
        <x:f>IF($A492="","",IF(OR(ISNUMBER(SEARCH("계약만료",대장!H245&amp;"")),ISNUMBER(SEARCH("기간만료",대장!H245&amp;""))),"계약기간 만료로 퇴직",IF(ISNUMBER(SEARCH("의원면직",대장!H245&amp;"")),"의원면직",IF(ISNUMBER(SEARCH("정년퇴직",대장!H245&amp;"")),"정년퇴직",대장!H245))))</x:f>
        <x:v>#NAME?</x:v>
      </x:c>
      <x:c r="F492" s="27" t="e">
        <x:f>IF($A492="","",IF(발령대장_설정!$B$5="","",발령대장_설정!$B$5))</x:f>
        <x:v>#NAME?</x:v>
      </x:c>
      <x:c r="G492" s="27" t="e">
        <x:f>IF($A492="","",IF(발령대장_설정!$B$6="","",발령대장_설정!$B$6))</x:f>
        <x:v>#NAME?</x:v>
      </x:c>
      <x:c r="H492" s="27" t="e">
        <x:f>IF($A492="","",IF(발령대장_설정!$B$7="","",발령대장_설정!$B$7))</x:f>
        <x:v>#NAME?</x:v>
      </x:c>
      <x:c r="I492" s="27" t="e">
        <x:f>IF($A492="","",IF(발령대장_설정!$B$8="","",발령대장_설정!$B$8))</x:f>
        <x:v>#NAME?</x:v>
      </x:c>
      <x:c r="J492" s="27" t="str">
        <x:f>""</x:f>
      </x:c>
    </x:row>
    <x:row r="493" ht="42" customHeight="1">
      <x:c r="A493" s="47" t="e">
        <x:f>IF(AND(대장!A246&lt;&gt;"",ISNUMBER(대장!F246),OR(대장!G246="",AND(ISNUMBER(대장!G246),대장!G246&gt;=대장!F246))),대장!F246,"")</x:f>
        <x:v>#NAME?</x:v>
      </x:c>
      <x:c r="B493" s="27" t="e">
        <x:f>IF($A493="","",IF(발령대장_설정!$B$4="","",발령대장_설정!$B$4))</x:f>
        <x:v>#NAME?</x:v>
      </x:c>
      <x:c r="C493" s="27" t="e">
        <x:f>IF($A493="","",대장!D246)</x:f>
        <x:v>#NAME?</x:v>
      </x:c>
      <x:c r="D493" s="27" t="e">
        <x:f>IF($A493="","",대장!A246)</x:f>
        <x:v>#NAME?</x:v>
      </x:c>
      <x:c r="E493" s="27" t="e">
        <x:f>IF($A493="","",IF(대장!J246&lt;&gt;"",대장!J246,대장!D246&amp;"에 임함"&amp;IF(대장!E246="","",CHAR(10)&amp;"고용형태: "&amp;대장!E246)&amp;IF(대장!I246="","",CHAR(10)&amp;"소정근로시간: "&amp;대장!I246)&amp;CHAR(10)&amp;"근로기간: "&amp;YEAR(대장!F246)&amp;"."&amp;MONTH(대장!F246)&amp;"."&amp;DAY(대장!F246)&amp;"."&amp;" ~ "&amp;IF(ISNUMBER(대장!G246),YEAR(대장!G246)&amp;"."&amp;MONTH(대장!G246)&amp;"."&amp;DAY(대장!G246)&amp;".","재직 중")))</x:f>
        <x:v>#NAME?</x:v>
      </x:c>
      <x:c r="F493" s="27" t="e">
        <x:f>IF($A493="","",IF(발령대장_설정!$B$5="","",발령대장_설정!$B$5))</x:f>
        <x:v>#NAME?</x:v>
      </x:c>
      <x:c r="G493" s="27" t="e">
        <x:f>IF($A493="","",IF(발령대장_설정!$B$6="","",발령대장_설정!$B$6))</x:f>
        <x:v>#NAME?</x:v>
      </x:c>
      <x:c r="H493" s="27" t="e">
        <x:f>IF($A493="","",IF(발령대장_설정!$B$7="","",발령대장_설정!$B$7))</x:f>
        <x:v>#NAME?</x:v>
      </x:c>
      <x:c r="I493" s="27" t="e">
        <x:f>IF($A493="","",IF(발령대장_설정!$B$8="","",발령대장_설정!$B$8))</x:f>
        <x:v>#NAME?</x:v>
      </x:c>
      <x:c r="J493" s="27" t="e">
        <x:f>IF($A493="","",IF(대장!K246="","",대장!K246))</x:f>
        <x:v>#NAME?</x:v>
      </x:c>
    </x:row>
    <x:row r="494" ht="42" customHeight="1">
      <x:c r="A494" s="47" t="e">
        <x:f>IF(AND(대장!A246&lt;&gt;"",ISNUMBER(대장!F246),ISNUMBER(대장!G246),대장!G246&gt;=대장!F246,대장!H246&lt;&gt;""),대장!G246,"")</x:f>
        <x:v>#NAME?</x:v>
      </x:c>
      <x:c r="B494" s="27" t="e">
        <x:f>IF($A494="","",IF(발령대장_설정!$B$4="","",발령대장_설정!$B$4))</x:f>
        <x:v>#NAME?</x:v>
      </x:c>
      <x:c r="C494" s="27" t="e">
        <x:f>IF($A494="","",대장!D246)</x:f>
        <x:v>#NAME?</x:v>
      </x:c>
      <x:c r="D494" s="27" t="e">
        <x:f>IF($A494="","",대장!A246)</x:f>
        <x:v>#NAME?</x:v>
      </x:c>
      <x:c r="E494" s="27" t="e">
        <x:f>IF($A494="","",IF(OR(ISNUMBER(SEARCH("계약만료",대장!H246&amp;"")),ISNUMBER(SEARCH("기간만료",대장!H246&amp;""))),"계약기간 만료로 퇴직",IF(ISNUMBER(SEARCH("의원면직",대장!H246&amp;"")),"의원면직",IF(ISNUMBER(SEARCH("정년퇴직",대장!H246&amp;"")),"정년퇴직",대장!H246))))</x:f>
        <x:v>#NAME?</x:v>
      </x:c>
      <x:c r="F494" s="27" t="e">
        <x:f>IF($A494="","",IF(발령대장_설정!$B$5="","",발령대장_설정!$B$5))</x:f>
        <x:v>#NAME?</x:v>
      </x:c>
      <x:c r="G494" s="27" t="e">
        <x:f>IF($A494="","",IF(발령대장_설정!$B$6="","",발령대장_설정!$B$6))</x:f>
        <x:v>#NAME?</x:v>
      </x:c>
      <x:c r="H494" s="27" t="e">
        <x:f>IF($A494="","",IF(발령대장_설정!$B$7="","",발령대장_설정!$B$7))</x:f>
        <x:v>#NAME?</x:v>
      </x:c>
      <x:c r="I494" s="27" t="e">
        <x:f>IF($A494="","",IF(발령대장_설정!$B$8="","",발령대장_설정!$B$8))</x:f>
        <x:v>#NAME?</x:v>
      </x:c>
      <x:c r="J494" s="27" t="str">
        <x:f>""</x:f>
      </x:c>
    </x:row>
    <x:row r="495" ht="42" customHeight="1">
      <x:c r="A495" s="47" t="e">
        <x:f>IF(AND(대장!A247&lt;&gt;"",ISNUMBER(대장!F247),OR(대장!G247="",AND(ISNUMBER(대장!G247),대장!G247&gt;=대장!F247))),대장!F247,"")</x:f>
        <x:v>#NAME?</x:v>
      </x:c>
      <x:c r="B495" s="27" t="e">
        <x:f>IF($A495="","",IF(발령대장_설정!$B$4="","",발령대장_설정!$B$4))</x:f>
        <x:v>#NAME?</x:v>
      </x:c>
      <x:c r="C495" s="27" t="e">
        <x:f>IF($A495="","",대장!D247)</x:f>
        <x:v>#NAME?</x:v>
      </x:c>
      <x:c r="D495" s="27" t="e">
        <x:f>IF($A495="","",대장!A247)</x:f>
        <x:v>#NAME?</x:v>
      </x:c>
      <x:c r="E495" s="27" t="e">
        <x:f>IF($A495="","",IF(대장!J247&lt;&gt;"",대장!J247,대장!D247&amp;"에 임함"&amp;IF(대장!E247="","",CHAR(10)&amp;"고용형태: "&amp;대장!E247)&amp;IF(대장!I247="","",CHAR(10)&amp;"소정근로시간: "&amp;대장!I247)&amp;CHAR(10)&amp;"근로기간: "&amp;YEAR(대장!F247)&amp;"."&amp;MONTH(대장!F247)&amp;"."&amp;DAY(대장!F247)&amp;"."&amp;" ~ "&amp;IF(ISNUMBER(대장!G247),YEAR(대장!G247)&amp;"."&amp;MONTH(대장!G247)&amp;"."&amp;DAY(대장!G247)&amp;".","재직 중")))</x:f>
        <x:v>#NAME?</x:v>
      </x:c>
      <x:c r="F495" s="27" t="e">
        <x:f>IF($A495="","",IF(발령대장_설정!$B$5="","",발령대장_설정!$B$5))</x:f>
        <x:v>#NAME?</x:v>
      </x:c>
      <x:c r="G495" s="27" t="e">
        <x:f>IF($A495="","",IF(발령대장_설정!$B$6="","",발령대장_설정!$B$6))</x:f>
        <x:v>#NAME?</x:v>
      </x:c>
      <x:c r="H495" s="27" t="e">
        <x:f>IF($A495="","",IF(발령대장_설정!$B$7="","",발령대장_설정!$B$7))</x:f>
        <x:v>#NAME?</x:v>
      </x:c>
      <x:c r="I495" s="27" t="e">
        <x:f>IF($A495="","",IF(발령대장_설정!$B$8="","",발령대장_설정!$B$8))</x:f>
        <x:v>#NAME?</x:v>
      </x:c>
      <x:c r="J495" s="27" t="e">
        <x:f>IF($A495="","",IF(대장!K247="","",대장!K247))</x:f>
        <x:v>#NAME?</x:v>
      </x:c>
    </x:row>
    <x:row r="496" ht="42" customHeight="1">
      <x:c r="A496" s="47" t="e">
        <x:f>IF(AND(대장!A247&lt;&gt;"",ISNUMBER(대장!F247),ISNUMBER(대장!G247),대장!G247&gt;=대장!F247,대장!H247&lt;&gt;""),대장!G247,"")</x:f>
        <x:v>#NAME?</x:v>
      </x:c>
      <x:c r="B496" s="27" t="e">
        <x:f>IF($A496="","",IF(발령대장_설정!$B$4="","",발령대장_설정!$B$4))</x:f>
        <x:v>#NAME?</x:v>
      </x:c>
      <x:c r="C496" s="27" t="e">
        <x:f>IF($A496="","",대장!D247)</x:f>
        <x:v>#NAME?</x:v>
      </x:c>
      <x:c r="D496" s="27" t="e">
        <x:f>IF($A496="","",대장!A247)</x:f>
        <x:v>#NAME?</x:v>
      </x:c>
      <x:c r="E496" s="27" t="e">
        <x:f>IF($A496="","",IF(OR(ISNUMBER(SEARCH("계약만료",대장!H247&amp;"")),ISNUMBER(SEARCH("기간만료",대장!H247&amp;""))),"계약기간 만료로 퇴직",IF(ISNUMBER(SEARCH("의원면직",대장!H247&amp;"")),"의원면직",IF(ISNUMBER(SEARCH("정년퇴직",대장!H247&amp;"")),"정년퇴직",대장!H247))))</x:f>
        <x:v>#NAME?</x:v>
      </x:c>
      <x:c r="F496" s="27" t="e">
        <x:f>IF($A496="","",IF(발령대장_설정!$B$5="","",발령대장_설정!$B$5))</x:f>
        <x:v>#NAME?</x:v>
      </x:c>
      <x:c r="G496" s="27" t="e">
        <x:f>IF($A496="","",IF(발령대장_설정!$B$6="","",발령대장_설정!$B$6))</x:f>
        <x:v>#NAME?</x:v>
      </x:c>
      <x:c r="H496" s="27" t="e">
        <x:f>IF($A496="","",IF(발령대장_설정!$B$7="","",발령대장_설정!$B$7))</x:f>
        <x:v>#NAME?</x:v>
      </x:c>
      <x:c r="I496" s="27" t="e">
        <x:f>IF($A496="","",IF(발령대장_설정!$B$8="","",발령대장_설정!$B$8))</x:f>
        <x:v>#NAME?</x:v>
      </x:c>
      <x:c r="J496" s="27" t="str">
        <x:f>""</x:f>
      </x:c>
    </x:row>
    <x:row r="497" ht="42" customHeight="1">
      <x:c r="A497" s="47" t="e">
        <x:f>IF(AND(대장!A248&lt;&gt;"",ISNUMBER(대장!F248),OR(대장!G248="",AND(ISNUMBER(대장!G248),대장!G248&gt;=대장!F248))),대장!F248,"")</x:f>
        <x:v>#NAME?</x:v>
      </x:c>
      <x:c r="B497" s="27" t="e">
        <x:f>IF($A497="","",IF(발령대장_설정!$B$4="","",발령대장_설정!$B$4))</x:f>
        <x:v>#NAME?</x:v>
      </x:c>
      <x:c r="C497" s="27" t="e">
        <x:f>IF($A497="","",대장!D248)</x:f>
        <x:v>#NAME?</x:v>
      </x:c>
      <x:c r="D497" s="27" t="e">
        <x:f>IF($A497="","",대장!A248)</x:f>
        <x:v>#NAME?</x:v>
      </x:c>
      <x:c r="E497" s="27" t="e">
        <x:f>IF($A497="","",IF(대장!J248&lt;&gt;"",대장!J248,대장!D248&amp;"에 임함"&amp;IF(대장!E248="","",CHAR(10)&amp;"고용형태: "&amp;대장!E248)&amp;IF(대장!I248="","",CHAR(10)&amp;"소정근로시간: "&amp;대장!I248)&amp;CHAR(10)&amp;"근로기간: "&amp;YEAR(대장!F248)&amp;"."&amp;MONTH(대장!F248)&amp;"."&amp;DAY(대장!F248)&amp;"."&amp;" ~ "&amp;IF(ISNUMBER(대장!G248),YEAR(대장!G248)&amp;"."&amp;MONTH(대장!G248)&amp;"."&amp;DAY(대장!G248)&amp;".","재직 중")))</x:f>
        <x:v>#NAME?</x:v>
      </x:c>
      <x:c r="F497" s="27" t="e">
        <x:f>IF($A497="","",IF(발령대장_설정!$B$5="","",발령대장_설정!$B$5))</x:f>
        <x:v>#NAME?</x:v>
      </x:c>
      <x:c r="G497" s="27" t="e">
        <x:f>IF($A497="","",IF(발령대장_설정!$B$6="","",발령대장_설정!$B$6))</x:f>
        <x:v>#NAME?</x:v>
      </x:c>
      <x:c r="H497" s="27" t="e">
        <x:f>IF($A497="","",IF(발령대장_설정!$B$7="","",발령대장_설정!$B$7))</x:f>
        <x:v>#NAME?</x:v>
      </x:c>
      <x:c r="I497" s="27" t="e">
        <x:f>IF($A497="","",IF(발령대장_설정!$B$8="","",발령대장_설정!$B$8))</x:f>
        <x:v>#NAME?</x:v>
      </x:c>
      <x:c r="J497" s="27" t="e">
        <x:f>IF($A497="","",IF(대장!K248="","",대장!K248))</x:f>
        <x:v>#NAME?</x:v>
      </x:c>
    </x:row>
    <x:row r="498" ht="42" customHeight="1">
      <x:c r="A498" s="47" t="e">
        <x:f>IF(AND(대장!A248&lt;&gt;"",ISNUMBER(대장!F248),ISNUMBER(대장!G248),대장!G248&gt;=대장!F248,대장!H248&lt;&gt;""),대장!G248,"")</x:f>
        <x:v>#NAME?</x:v>
      </x:c>
      <x:c r="B498" s="27" t="e">
        <x:f>IF($A498="","",IF(발령대장_설정!$B$4="","",발령대장_설정!$B$4))</x:f>
        <x:v>#NAME?</x:v>
      </x:c>
      <x:c r="C498" s="27" t="e">
        <x:f>IF($A498="","",대장!D248)</x:f>
        <x:v>#NAME?</x:v>
      </x:c>
      <x:c r="D498" s="27" t="e">
        <x:f>IF($A498="","",대장!A248)</x:f>
        <x:v>#NAME?</x:v>
      </x:c>
      <x:c r="E498" s="27" t="e">
        <x:f>IF($A498="","",IF(OR(ISNUMBER(SEARCH("계약만료",대장!H248&amp;"")),ISNUMBER(SEARCH("기간만료",대장!H248&amp;""))),"계약기간 만료로 퇴직",IF(ISNUMBER(SEARCH("의원면직",대장!H248&amp;"")),"의원면직",IF(ISNUMBER(SEARCH("정년퇴직",대장!H248&amp;"")),"정년퇴직",대장!H248))))</x:f>
        <x:v>#NAME?</x:v>
      </x:c>
      <x:c r="F498" s="27" t="e">
        <x:f>IF($A498="","",IF(발령대장_설정!$B$5="","",발령대장_설정!$B$5))</x:f>
        <x:v>#NAME?</x:v>
      </x:c>
      <x:c r="G498" s="27" t="e">
        <x:f>IF($A498="","",IF(발령대장_설정!$B$6="","",발령대장_설정!$B$6))</x:f>
        <x:v>#NAME?</x:v>
      </x:c>
      <x:c r="H498" s="27" t="e">
        <x:f>IF($A498="","",IF(발령대장_설정!$B$7="","",발령대장_설정!$B$7))</x:f>
        <x:v>#NAME?</x:v>
      </x:c>
      <x:c r="I498" s="27" t="e">
        <x:f>IF($A498="","",IF(발령대장_설정!$B$8="","",발령대장_설정!$B$8))</x:f>
        <x:v>#NAME?</x:v>
      </x:c>
      <x:c r="J498" s="27" t="str">
        <x:f>""</x:f>
      </x:c>
    </x:row>
    <x:row r="499" ht="42" customHeight="1">
      <x:c r="A499" s="47" t="e">
        <x:f>IF(AND(대장!A249&lt;&gt;"",ISNUMBER(대장!F249),OR(대장!G249="",AND(ISNUMBER(대장!G249),대장!G249&gt;=대장!F249))),대장!F249,"")</x:f>
        <x:v>#NAME?</x:v>
      </x:c>
      <x:c r="B499" s="27" t="e">
        <x:f>IF($A499="","",IF(발령대장_설정!$B$4="","",발령대장_설정!$B$4))</x:f>
        <x:v>#NAME?</x:v>
      </x:c>
      <x:c r="C499" s="27" t="e">
        <x:f>IF($A499="","",대장!D249)</x:f>
        <x:v>#NAME?</x:v>
      </x:c>
      <x:c r="D499" s="27" t="e">
        <x:f>IF($A499="","",대장!A249)</x:f>
        <x:v>#NAME?</x:v>
      </x:c>
      <x:c r="E499" s="27" t="e">
        <x:f>IF($A499="","",IF(대장!J249&lt;&gt;"",대장!J249,대장!D249&amp;"에 임함"&amp;IF(대장!E249="","",CHAR(10)&amp;"고용형태: "&amp;대장!E249)&amp;IF(대장!I249="","",CHAR(10)&amp;"소정근로시간: "&amp;대장!I249)&amp;CHAR(10)&amp;"근로기간: "&amp;YEAR(대장!F249)&amp;"."&amp;MONTH(대장!F249)&amp;"."&amp;DAY(대장!F249)&amp;"."&amp;" ~ "&amp;IF(ISNUMBER(대장!G249),YEAR(대장!G249)&amp;"."&amp;MONTH(대장!G249)&amp;"."&amp;DAY(대장!G249)&amp;".","재직 중")))</x:f>
        <x:v>#NAME?</x:v>
      </x:c>
      <x:c r="F499" s="27" t="e">
        <x:f>IF($A499="","",IF(발령대장_설정!$B$5="","",발령대장_설정!$B$5))</x:f>
        <x:v>#NAME?</x:v>
      </x:c>
      <x:c r="G499" s="27" t="e">
        <x:f>IF($A499="","",IF(발령대장_설정!$B$6="","",발령대장_설정!$B$6))</x:f>
        <x:v>#NAME?</x:v>
      </x:c>
      <x:c r="H499" s="27" t="e">
        <x:f>IF($A499="","",IF(발령대장_설정!$B$7="","",발령대장_설정!$B$7))</x:f>
        <x:v>#NAME?</x:v>
      </x:c>
      <x:c r="I499" s="27" t="e">
        <x:f>IF($A499="","",IF(발령대장_설정!$B$8="","",발령대장_설정!$B$8))</x:f>
        <x:v>#NAME?</x:v>
      </x:c>
      <x:c r="J499" s="27" t="e">
        <x:f>IF($A499="","",IF(대장!K249="","",대장!K249))</x:f>
        <x:v>#NAME?</x:v>
      </x:c>
    </x:row>
    <x:row r="500" ht="42" customHeight="1">
      <x:c r="A500" s="47" t="e">
        <x:f>IF(AND(대장!A249&lt;&gt;"",ISNUMBER(대장!F249),ISNUMBER(대장!G249),대장!G249&gt;=대장!F249,대장!H249&lt;&gt;""),대장!G249,"")</x:f>
        <x:v>#NAME?</x:v>
      </x:c>
      <x:c r="B500" s="27" t="e">
        <x:f>IF($A500="","",IF(발령대장_설정!$B$4="","",발령대장_설정!$B$4))</x:f>
        <x:v>#NAME?</x:v>
      </x:c>
      <x:c r="C500" s="27" t="e">
        <x:f>IF($A500="","",대장!D249)</x:f>
        <x:v>#NAME?</x:v>
      </x:c>
      <x:c r="D500" s="27" t="e">
        <x:f>IF($A500="","",대장!A249)</x:f>
        <x:v>#NAME?</x:v>
      </x:c>
      <x:c r="E500" s="27" t="e">
        <x:f>IF($A500="","",IF(OR(ISNUMBER(SEARCH("계약만료",대장!H249&amp;"")),ISNUMBER(SEARCH("기간만료",대장!H249&amp;""))),"계약기간 만료로 퇴직",IF(ISNUMBER(SEARCH("의원면직",대장!H249&amp;"")),"의원면직",IF(ISNUMBER(SEARCH("정년퇴직",대장!H249&amp;"")),"정년퇴직",대장!H249))))</x:f>
        <x:v>#NAME?</x:v>
      </x:c>
      <x:c r="F500" s="27" t="e">
        <x:f>IF($A500="","",IF(발령대장_설정!$B$5="","",발령대장_설정!$B$5))</x:f>
        <x:v>#NAME?</x:v>
      </x:c>
      <x:c r="G500" s="27" t="e">
        <x:f>IF($A500="","",IF(발령대장_설정!$B$6="","",발령대장_설정!$B$6))</x:f>
        <x:v>#NAME?</x:v>
      </x:c>
      <x:c r="H500" s="27" t="e">
        <x:f>IF($A500="","",IF(발령대장_설정!$B$7="","",발령대장_설정!$B$7))</x:f>
        <x:v>#NAME?</x:v>
      </x:c>
      <x:c r="I500" s="27" t="e">
        <x:f>IF($A500="","",IF(발령대장_설정!$B$8="","",발령대장_설정!$B$8))</x:f>
        <x:v>#NAME?</x:v>
      </x:c>
      <x:c r="J500" s="27" t="str">
        <x:f>""</x:f>
      </x:c>
    </x:row>
    <x:row r="501" ht="42" customHeight="1">
      <x:c r="A501" s="47" t="e">
        <x:f>IF(AND(대장!A250&lt;&gt;"",ISNUMBER(대장!F250),OR(대장!G250="",AND(ISNUMBER(대장!G250),대장!G250&gt;=대장!F250))),대장!F250,"")</x:f>
        <x:v>#NAME?</x:v>
      </x:c>
      <x:c r="B501" s="27" t="e">
        <x:f>IF($A501="","",IF(발령대장_설정!$B$4="","",발령대장_설정!$B$4))</x:f>
        <x:v>#NAME?</x:v>
      </x:c>
      <x:c r="C501" s="27" t="e">
        <x:f>IF($A501="","",대장!D250)</x:f>
        <x:v>#NAME?</x:v>
      </x:c>
      <x:c r="D501" s="27" t="e">
        <x:f>IF($A501="","",대장!A250)</x:f>
        <x:v>#NAME?</x:v>
      </x:c>
      <x:c r="E501" s="27" t="e">
        <x:f>IF($A501="","",IF(대장!J250&lt;&gt;"",대장!J250,대장!D250&amp;"에 임함"&amp;IF(대장!E250="","",CHAR(10)&amp;"고용형태: "&amp;대장!E250)&amp;IF(대장!I250="","",CHAR(10)&amp;"소정근로시간: "&amp;대장!I250)&amp;CHAR(10)&amp;"근로기간: "&amp;YEAR(대장!F250)&amp;"."&amp;MONTH(대장!F250)&amp;"."&amp;DAY(대장!F250)&amp;"."&amp;" ~ "&amp;IF(ISNUMBER(대장!G250),YEAR(대장!G250)&amp;"."&amp;MONTH(대장!G250)&amp;"."&amp;DAY(대장!G250)&amp;".","재직 중")))</x:f>
        <x:v>#NAME?</x:v>
      </x:c>
      <x:c r="F501" s="27" t="e">
        <x:f>IF($A501="","",IF(발령대장_설정!$B$5="","",발령대장_설정!$B$5))</x:f>
        <x:v>#NAME?</x:v>
      </x:c>
      <x:c r="G501" s="27" t="e">
        <x:f>IF($A501="","",IF(발령대장_설정!$B$6="","",발령대장_설정!$B$6))</x:f>
        <x:v>#NAME?</x:v>
      </x:c>
      <x:c r="H501" s="27" t="e">
        <x:f>IF($A501="","",IF(발령대장_설정!$B$7="","",발령대장_설정!$B$7))</x:f>
        <x:v>#NAME?</x:v>
      </x:c>
      <x:c r="I501" s="27" t="e">
        <x:f>IF($A501="","",IF(발령대장_설정!$B$8="","",발령대장_설정!$B$8))</x:f>
        <x:v>#NAME?</x:v>
      </x:c>
      <x:c r="J501" s="27" t="e">
        <x:f>IF($A501="","",IF(대장!K250="","",대장!K250))</x:f>
        <x:v>#NAME?</x:v>
      </x:c>
    </x:row>
    <x:row r="502" ht="42" customHeight="1">
      <x:c r="A502" s="47" t="e">
        <x:f>IF(AND(대장!A250&lt;&gt;"",ISNUMBER(대장!F250),ISNUMBER(대장!G250),대장!G250&gt;=대장!F250,대장!H250&lt;&gt;""),대장!G250,"")</x:f>
        <x:v>#NAME?</x:v>
      </x:c>
      <x:c r="B502" s="27" t="e">
        <x:f>IF($A502="","",IF(발령대장_설정!$B$4="","",발령대장_설정!$B$4))</x:f>
        <x:v>#NAME?</x:v>
      </x:c>
      <x:c r="C502" s="27" t="e">
        <x:f>IF($A502="","",대장!D250)</x:f>
        <x:v>#NAME?</x:v>
      </x:c>
      <x:c r="D502" s="27" t="e">
        <x:f>IF($A502="","",대장!A250)</x:f>
        <x:v>#NAME?</x:v>
      </x:c>
      <x:c r="E502" s="27" t="e">
        <x:f>IF($A502="","",IF(OR(ISNUMBER(SEARCH("계약만료",대장!H250&amp;"")),ISNUMBER(SEARCH("기간만료",대장!H250&amp;""))),"계약기간 만료로 퇴직",IF(ISNUMBER(SEARCH("의원면직",대장!H250&amp;"")),"의원면직",IF(ISNUMBER(SEARCH("정년퇴직",대장!H250&amp;"")),"정년퇴직",대장!H250))))</x:f>
        <x:v>#NAME?</x:v>
      </x:c>
      <x:c r="F502" s="27" t="e">
        <x:f>IF($A502="","",IF(발령대장_설정!$B$5="","",발령대장_설정!$B$5))</x:f>
        <x:v>#NAME?</x:v>
      </x:c>
      <x:c r="G502" s="27" t="e">
        <x:f>IF($A502="","",IF(발령대장_설정!$B$6="","",발령대장_설정!$B$6))</x:f>
        <x:v>#NAME?</x:v>
      </x:c>
      <x:c r="H502" s="27" t="e">
        <x:f>IF($A502="","",IF(발령대장_설정!$B$7="","",발령대장_설정!$B$7))</x:f>
        <x:v>#NAME?</x:v>
      </x:c>
      <x:c r="I502" s="27" t="e">
        <x:f>IF($A502="","",IF(발령대장_설정!$B$8="","",발령대장_설정!$B$8))</x:f>
        <x:v>#NAME?</x:v>
      </x:c>
      <x:c r="J502" s="27" t="str">
        <x:f>""</x:f>
      </x:c>
    </x:row>
    <x:row r="503" ht="42" customHeight="1">
      <x:c r="A503" s="47" t="e">
        <x:f>IF(AND(대장!A251&lt;&gt;"",ISNUMBER(대장!F251),OR(대장!G251="",AND(ISNUMBER(대장!G251),대장!G251&gt;=대장!F251))),대장!F251,"")</x:f>
        <x:v>#NAME?</x:v>
      </x:c>
      <x:c r="B503" s="27" t="e">
        <x:f>IF($A503="","",IF(발령대장_설정!$B$4="","",발령대장_설정!$B$4))</x:f>
        <x:v>#NAME?</x:v>
      </x:c>
      <x:c r="C503" s="27" t="e">
        <x:f>IF($A503="","",대장!D251)</x:f>
        <x:v>#NAME?</x:v>
      </x:c>
      <x:c r="D503" s="27" t="e">
        <x:f>IF($A503="","",대장!A251)</x:f>
        <x:v>#NAME?</x:v>
      </x:c>
      <x:c r="E503" s="27" t="e">
        <x:f>IF($A503="","",IF(대장!J251&lt;&gt;"",대장!J251,대장!D251&amp;"에 임함"&amp;IF(대장!E251="","",CHAR(10)&amp;"고용형태: "&amp;대장!E251)&amp;IF(대장!I251="","",CHAR(10)&amp;"소정근로시간: "&amp;대장!I251)&amp;CHAR(10)&amp;"근로기간: "&amp;YEAR(대장!F251)&amp;"."&amp;MONTH(대장!F251)&amp;"."&amp;DAY(대장!F251)&amp;"."&amp;" ~ "&amp;IF(ISNUMBER(대장!G251),YEAR(대장!G251)&amp;"."&amp;MONTH(대장!G251)&amp;"."&amp;DAY(대장!G251)&amp;".","재직 중")))</x:f>
        <x:v>#NAME?</x:v>
      </x:c>
      <x:c r="F503" s="27" t="e">
        <x:f>IF($A503="","",IF(발령대장_설정!$B$5="","",발령대장_설정!$B$5))</x:f>
        <x:v>#NAME?</x:v>
      </x:c>
      <x:c r="G503" s="27" t="e">
        <x:f>IF($A503="","",IF(발령대장_설정!$B$6="","",발령대장_설정!$B$6))</x:f>
        <x:v>#NAME?</x:v>
      </x:c>
      <x:c r="H503" s="27" t="e">
        <x:f>IF($A503="","",IF(발령대장_설정!$B$7="","",발령대장_설정!$B$7))</x:f>
        <x:v>#NAME?</x:v>
      </x:c>
      <x:c r="I503" s="27" t="e">
        <x:f>IF($A503="","",IF(발령대장_설정!$B$8="","",발령대장_설정!$B$8))</x:f>
        <x:v>#NAME?</x:v>
      </x:c>
      <x:c r="J503" s="27" t="e">
        <x:f>IF($A503="","",IF(대장!K251="","",대장!K251))</x:f>
        <x:v>#NAME?</x:v>
      </x:c>
    </x:row>
    <x:row r="504" ht="42" customHeight="1">
      <x:c r="A504" s="47" t="e">
        <x:f>IF(AND(대장!A251&lt;&gt;"",ISNUMBER(대장!F251),ISNUMBER(대장!G251),대장!G251&gt;=대장!F251,대장!H251&lt;&gt;""),대장!G251,"")</x:f>
        <x:v>#NAME?</x:v>
      </x:c>
      <x:c r="B504" s="27" t="e">
        <x:f>IF($A504="","",IF(발령대장_설정!$B$4="","",발령대장_설정!$B$4))</x:f>
        <x:v>#NAME?</x:v>
      </x:c>
      <x:c r="C504" s="27" t="e">
        <x:f>IF($A504="","",대장!D251)</x:f>
        <x:v>#NAME?</x:v>
      </x:c>
      <x:c r="D504" s="27" t="e">
        <x:f>IF($A504="","",대장!A251)</x:f>
        <x:v>#NAME?</x:v>
      </x:c>
      <x:c r="E504" s="27" t="e">
        <x:f>IF($A504="","",IF(OR(ISNUMBER(SEARCH("계약만료",대장!H251&amp;"")),ISNUMBER(SEARCH("기간만료",대장!H251&amp;""))),"계약기간 만료로 퇴직",IF(ISNUMBER(SEARCH("의원면직",대장!H251&amp;"")),"의원면직",IF(ISNUMBER(SEARCH("정년퇴직",대장!H251&amp;"")),"정년퇴직",대장!H251))))</x:f>
        <x:v>#NAME?</x:v>
      </x:c>
      <x:c r="F504" s="27" t="e">
        <x:f>IF($A504="","",IF(발령대장_설정!$B$5="","",발령대장_설정!$B$5))</x:f>
        <x:v>#NAME?</x:v>
      </x:c>
      <x:c r="G504" s="27" t="e">
        <x:f>IF($A504="","",IF(발령대장_설정!$B$6="","",발령대장_설정!$B$6))</x:f>
        <x:v>#NAME?</x:v>
      </x:c>
      <x:c r="H504" s="27" t="e">
        <x:f>IF($A504="","",IF(발령대장_설정!$B$7="","",발령대장_설정!$B$7))</x:f>
        <x:v>#NAME?</x:v>
      </x:c>
      <x:c r="I504" s="27" t="e">
        <x:f>IF($A504="","",IF(발령대장_설정!$B$8="","",발령대장_설정!$B$8))</x:f>
        <x:v>#NAME?</x:v>
      </x:c>
      <x:c r="J504" s="27" t="str">
        <x:f>""</x:f>
      </x:c>
    </x:row>
    <x:row r="505" ht="42" customHeight="1">
      <x:c r="A505" s="47" t="e">
        <x:f>IF(AND(대장!A252&lt;&gt;"",ISNUMBER(대장!F252),OR(대장!G252="",AND(ISNUMBER(대장!G252),대장!G252&gt;=대장!F252))),대장!F252,"")</x:f>
        <x:v>#NAME?</x:v>
      </x:c>
      <x:c r="B505" s="27" t="e">
        <x:f>IF($A505="","",IF(발령대장_설정!$B$4="","",발령대장_설정!$B$4))</x:f>
        <x:v>#NAME?</x:v>
      </x:c>
      <x:c r="C505" s="27" t="e">
        <x:f>IF($A505="","",대장!D252)</x:f>
        <x:v>#NAME?</x:v>
      </x:c>
      <x:c r="D505" s="27" t="e">
        <x:f>IF($A505="","",대장!A252)</x:f>
        <x:v>#NAME?</x:v>
      </x:c>
      <x:c r="E505" s="27" t="e">
        <x:f>IF($A505="","",IF(대장!J252&lt;&gt;"",대장!J252,대장!D252&amp;"에 임함"&amp;IF(대장!E252="","",CHAR(10)&amp;"고용형태: "&amp;대장!E252)&amp;IF(대장!I252="","",CHAR(10)&amp;"소정근로시간: "&amp;대장!I252)&amp;CHAR(10)&amp;"근로기간: "&amp;YEAR(대장!F252)&amp;"."&amp;MONTH(대장!F252)&amp;"."&amp;DAY(대장!F252)&amp;"."&amp;" ~ "&amp;IF(ISNUMBER(대장!G252),YEAR(대장!G252)&amp;"."&amp;MONTH(대장!G252)&amp;"."&amp;DAY(대장!G252)&amp;".","재직 중")))</x:f>
        <x:v>#NAME?</x:v>
      </x:c>
      <x:c r="F505" s="27" t="e">
        <x:f>IF($A505="","",IF(발령대장_설정!$B$5="","",발령대장_설정!$B$5))</x:f>
        <x:v>#NAME?</x:v>
      </x:c>
      <x:c r="G505" s="27" t="e">
        <x:f>IF($A505="","",IF(발령대장_설정!$B$6="","",발령대장_설정!$B$6))</x:f>
        <x:v>#NAME?</x:v>
      </x:c>
      <x:c r="H505" s="27" t="e">
        <x:f>IF($A505="","",IF(발령대장_설정!$B$7="","",발령대장_설정!$B$7))</x:f>
        <x:v>#NAME?</x:v>
      </x:c>
      <x:c r="I505" s="27" t="e">
        <x:f>IF($A505="","",IF(발령대장_설정!$B$8="","",발령대장_설정!$B$8))</x:f>
        <x:v>#NAME?</x:v>
      </x:c>
      <x:c r="J505" s="27" t="e">
        <x:f>IF($A505="","",IF(대장!K252="","",대장!K252))</x:f>
        <x:v>#NAME?</x:v>
      </x:c>
    </x:row>
    <x:row r="506" ht="42" customHeight="1">
      <x:c r="A506" s="47" t="e">
        <x:f>IF(AND(대장!A252&lt;&gt;"",ISNUMBER(대장!F252),ISNUMBER(대장!G252),대장!G252&gt;=대장!F252,대장!H252&lt;&gt;""),대장!G252,"")</x:f>
        <x:v>#NAME?</x:v>
      </x:c>
      <x:c r="B506" s="27" t="e">
        <x:f>IF($A506="","",IF(발령대장_설정!$B$4="","",발령대장_설정!$B$4))</x:f>
        <x:v>#NAME?</x:v>
      </x:c>
      <x:c r="C506" s="27" t="e">
        <x:f>IF($A506="","",대장!D252)</x:f>
        <x:v>#NAME?</x:v>
      </x:c>
      <x:c r="D506" s="27" t="e">
        <x:f>IF($A506="","",대장!A252)</x:f>
        <x:v>#NAME?</x:v>
      </x:c>
      <x:c r="E506" s="27" t="e">
        <x:f>IF($A506="","",IF(OR(ISNUMBER(SEARCH("계약만료",대장!H252&amp;"")),ISNUMBER(SEARCH("기간만료",대장!H252&amp;""))),"계약기간 만료로 퇴직",IF(ISNUMBER(SEARCH("의원면직",대장!H252&amp;"")),"의원면직",IF(ISNUMBER(SEARCH("정년퇴직",대장!H252&amp;"")),"정년퇴직",대장!H252))))</x:f>
        <x:v>#NAME?</x:v>
      </x:c>
      <x:c r="F506" s="27" t="e">
        <x:f>IF($A506="","",IF(발령대장_설정!$B$5="","",발령대장_설정!$B$5))</x:f>
        <x:v>#NAME?</x:v>
      </x:c>
      <x:c r="G506" s="27" t="e">
        <x:f>IF($A506="","",IF(발령대장_설정!$B$6="","",발령대장_설정!$B$6))</x:f>
        <x:v>#NAME?</x:v>
      </x:c>
      <x:c r="H506" s="27" t="e">
        <x:f>IF($A506="","",IF(발령대장_설정!$B$7="","",발령대장_설정!$B$7))</x:f>
        <x:v>#NAME?</x:v>
      </x:c>
      <x:c r="I506" s="27" t="e">
        <x:f>IF($A506="","",IF(발령대장_설정!$B$8="","",발령대장_설정!$B$8))</x:f>
        <x:v>#NAME?</x:v>
      </x:c>
      <x:c r="J506" s="27" t="str">
        <x:f>""</x:f>
      </x:c>
    </x:row>
    <x:row r="507" ht="42" customHeight="1">
      <x:c r="A507" s="47" t="e">
        <x:f>IF(AND(대장!A253&lt;&gt;"",ISNUMBER(대장!F253),OR(대장!G253="",AND(ISNUMBER(대장!G253),대장!G253&gt;=대장!F253))),대장!F253,"")</x:f>
        <x:v>#NAME?</x:v>
      </x:c>
      <x:c r="B507" s="27" t="e">
        <x:f>IF($A507="","",IF(발령대장_설정!$B$4="","",발령대장_설정!$B$4))</x:f>
        <x:v>#NAME?</x:v>
      </x:c>
      <x:c r="C507" s="27" t="e">
        <x:f>IF($A507="","",대장!D253)</x:f>
        <x:v>#NAME?</x:v>
      </x:c>
      <x:c r="D507" s="27" t="e">
        <x:f>IF($A507="","",대장!A253)</x:f>
        <x:v>#NAME?</x:v>
      </x:c>
      <x:c r="E507" s="27" t="e">
        <x:f>IF($A507="","",IF(대장!J253&lt;&gt;"",대장!J253,대장!D253&amp;"에 임함"&amp;IF(대장!E253="","",CHAR(10)&amp;"고용형태: "&amp;대장!E253)&amp;IF(대장!I253="","",CHAR(10)&amp;"소정근로시간: "&amp;대장!I253)&amp;CHAR(10)&amp;"근로기간: "&amp;YEAR(대장!F253)&amp;"."&amp;MONTH(대장!F253)&amp;"."&amp;DAY(대장!F253)&amp;"."&amp;" ~ "&amp;IF(ISNUMBER(대장!G253),YEAR(대장!G253)&amp;"."&amp;MONTH(대장!G253)&amp;"."&amp;DAY(대장!G253)&amp;".","재직 중")))</x:f>
        <x:v>#NAME?</x:v>
      </x:c>
      <x:c r="F507" s="27" t="e">
        <x:f>IF($A507="","",IF(발령대장_설정!$B$5="","",발령대장_설정!$B$5))</x:f>
        <x:v>#NAME?</x:v>
      </x:c>
      <x:c r="G507" s="27" t="e">
        <x:f>IF($A507="","",IF(발령대장_설정!$B$6="","",발령대장_설정!$B$6))</x:f>
        <x:v>#NAME?</x:v>
      </x:c>
      <x:c r="H507" s="27" t="e">
        <x:f>IF($A507="","",IF(발령대장_설정!$B$7="","",발령대장_설정!$B$7))</x:f>
        <x:v>#NAME?</x:v>
      </x:c>
      <x:c r="I507" s="27" t="e">
        <x:f>IF($A507="","",IF(발령대장_설정!$B$8="","",발령대장_설정!$B$8))</x:f>
        <x:v>#NAME?</x:v>
      </x:c>
      <x:c r="J507" s="27" t="e">
        <x:f>IF($A507="","",IF(대장!K253="","",대장!K253))</x:f>
        <x:v>#NAME?</x:v>
      </x:c>
    </x:row>
    <x:row r="508" ht="42" customHeight="1">
      <x:c r="A508" s="47" t="e">
        <x:f>IF(AND(대장!A253&lt;&gt;"",ISNUMBER(대장!F253),ISNUMBER(대장!G253),대장!G253&gt;=대장!F253,대장!H253&lt;&gt;""),대장!G253,"")</x:f>
        <x:v>#NAME?</x:v>
      </x:c>
      <x:c r="B508" s="27" t="e">
        <x:f>IF($A508="","",IF(발령대장_설정!$B$4="","",발령대장_설정!$B$4))</x:f>
        <x:v>#NAME?</x:v>
      </x:c>
      <x:c r="C508" s="27" t="e">
        <x:f>IF($A508="","",대장!D253)</x:f>
        <x:v>#NAME?</x:v>
      </x:c>
      <x:c r="D508" s="27" t="e">
        <x:f>IF($A508="","",대장!A253)</x:f>
        <x:v>#NAME?</x:v>
      </x:c>
      <x:c r="E508" s="27" t="e">
        <x:f>IF($A508="","",IF(OR(ISNUMBER(SEARCH("계약만료",대장!H253&amp;"")),ISNUMBER(SEARCH("기간만료",대장!H253&amp;""))),"계약기간 만료로 퇴직",IF(ISNUMBER(SEARCH("의원면직",대장!H253&amp;"")),"의원면직",IF(ISNUMBER(SEARCH("정년퇴직",대장!H253&amp;"")),"정년퇴직",대장!H253))))</x:f>
        <x:v>#NAME?</x:v>
      </x:c>
      <x:c r="F508" s="27" t="e">
        <x:f>IF($A508="","",IF(발령대장_설정!$B$5="","",발령대장_설정!$B$5))</x:f>
        <x:v>#NAME?</x:v>
      </x:c>
      <x:c r="G508" s="27" t="e">
        <x:f>IF($A508="","",IF(발령대장_설정!$B$6="","",발령대장_설정!$B$6))</x:f>
        <x:v>#NAME?</x:v>
      </x:c>
      <x:c r="H508" s="27" t="e">
        <x:f>IF($A508="","",IF(발령대장_설정!$B$7="","",발령대장_설정!$B$7))</x:f>
        <x:v>#NAME?</x:v>
      </x:c>
      <x:c r="I508" s="27" t="e">
        <x:f>IF($A508="","",IF(발령대장_설정!$B$8="","",발령대장_설정!$B$8))</x:f>
        <x:v>#NAME?</x:v>
      </x:c>
      <x:c r="J508" s="27" t="str">
        <x:f>""</x:f>
      </x:c>
    </x:row>
    <x:row r="509" ht="42" customHeight="1">
      <x:c r="A509" s="47" t="e">
        <x:f>IF(AND(대장!A254&lt;&gt;"",ISNUMBER(대장!F254),OR(대장!G254="",AND(ISNUMBER(대장!G254),대장!G254&gt;=대장!F254))),대장!F254,"")</x:f>
        <x:v>#NAME?</x:v>
      </x:c>
      <x:c r="B509" s="27" t="e">
        <x:f>IF($A509="","",IF(발령대장_설정!$B$4="","",발령대장_설정!$B$4))</x:f>
        <x:v>#NAME?</x:v>
      </x:c>
      <x:c r="C509" s="27" t="e">
        <x:f>IF($A509="","",대장!D254)</x:f>
        <x:v>#NAME?</x:v>
      </x:c>
      <x:c r="D509" s="27" t="e">
        <x:f>IF($A509="","",대장!A254)</x:f>
        <x:v>#NAME?</x:v>
      </x:c>
      <x:c r="E509" s="27" t="e">
        <x:f>IF($A509="","",IF(대장!J254&lt;&gt;"",대장!J254,대장!D254&amp;"에 임함"&amp;IF(대장!E254="","",CHAR(10)&amp;"고용형태: "&amp;대장!E254)&amp;IF(대장!I254="","",CHAR(10)&amp;"소정근로시간: "&amp;대장!I254)&amp;CHAR(10)&amp;"근로기간: "&amp;YEAR(대장!F254)&amp;"."&amp;MONTH(대장!F254)&amp;"."&amp;DAY(대장!F254)&amp;"."&amp;" ~ "&amp;IF(ISNUMBER(대장!G254),YEAR(대장!G254)&amp;"."&amp;MONTH(대장!G254)&amp;"."&amp;DAY(대장!G254)&amp;".","재직 중")))</x:f>
        <x:v>#NAME?</x:v>
      </x:c>
      <x:c r="F509" s="27" t="e">
        <x:f>IF($A509="","",IF(발령대장_설정!$B$5="","",발령대장_설정!$B$5))</x:f>
        <x:v>#NAME?</x:v>
      </x:c>
      <x:c r="G509" s="27" t="e">
        <x:f>IF($A509="","",IF(발령대장_설정!$B$6="","",발령대장_설정!$B$6))</x:f>
        <x:v>#NAME?</x:v>
      </x:c>
      <x:c r="H509" s="27" t="e">
        <x:f>IF($A509="","",IF(발령대장_설정!$B$7="","",발령대장_설정!$B$7))</x:f>
        <x:v>#NAME?</x:v>
      </x:c>
      <x:c r="I509" s="27" t="e">
        <x:f>IF($A509="","",IF(발령대장_설정!$B$8="","",발령대장_설정!$B$8))</x:f>
        <x:v>#NAME?</x:v>
      </x:c>
      <x:c r="J509" s="27" t="e">
        <x:f>IF($A509="","",IF(대장!K254="","",대장!K254))</x:f>
        <x:v>#NAME?</x:v>
      </x:c>
    </x:row>
    <x:row r="510" ht="42" customHeight="1">
      <x:c r="A510" s="47" t="e">
        <x:f>IF(AND(대장!A254&lt;&gt;"",ISNUMBER(대장!F254),ISNUMBER(대장!G254),대장!G254&gt;=대장!F254,대장!H254&lt;&gt;""),대장!G254,"")</x:f>
        <x:v>#NAME?</x:v>
      </x:c>
      <x:c r="B510" s="27" t="e">
        <x:f>IF($A510="","",IF(발령대장_설정!$B$4="","",발령대장_설정!$B$4))</x:f>
        <x:v>#NAME?</x:v>
      </x:c>
      <x:c r="C510" s="27" t="e">
        <x:f>IF($A510="","",대장!D254)</x:f>
        <x:v>#NAME?</x:v>
      </x:c>
      <x:c r="D510" s="27" t="e">
        <x:f>IF($A510="","",대장!A254)</x:f>
        <x:v>#NAME?</x:v>
      </x:c>
      <x:c r="E510" s="27" t="e">
        <x:f>IF($A510="","",IF(OR(ISNUMBER(SEARCH("계약만료",대장!H254&amp;"")),ISNUMBER(SEARCH("기간만료",대장!H254&amp;""))),"계약기간 만료로 퇴직",IF(ISNUMBER(SEARCH("의원면직",대장!H254&amp;"")),"의원면직",IF(ISNUMBER(SEARCH("정년퇴직",대장!H254&amp;"")),"정년퇴직",대장!H254))))</x:f>
        <x:v>#NAME?</x:v>
      </x:c>
      <x:c r="F510" s="27" t="e">
        <x:f>IF($A510="","",IF(발령대장_설정!$B$5="","",발령대장_설정!$B$5))</x:f>
        <x:v>#NAME?</x:v>
      </x:c>
      <x:c r="G510" s="27" t="e">
        <x:f>IF($A510="","",IF(발령대장_설정!$B$6="","",발령대장_설정!$B$6))</x:f>
        <x:v>#NAME?</x:v>
      </x:c>
      <x:c r="H510" s="27" t="e">
        <x:f>IF($A510="","",IF(발령대장_설정!$B$7="","",발령대장_설정!$B$7))</x:f>
        <x:v>#NAME?</x:v>
      </x:c>
      <x:c r="I510" s="27" t="e">
        <x:f>IF($A510="","",IF(발령대장_설정!$B$8="","",발령대장_설정!$B$8))</x:f>
        <x:v>#NAME?</x:v>
      </x:c>
      <x:c r="J510" s="27" t="str">
        <x:f>""</x:f>
      </x:c>
    </x:row>
    <x:row r="511" ht="42" customHeight="1">
      <x:c r="A511" s="47" t="e">
        <x:f>IF(AND(대장!A255&lt;&gt;"",ISNUMBER(대장!F255),OR(대장!G255="",AND(ISNUMBER(대장!G255),대장!G255&gt;=대장!F255))),대장!F255,"")</x:f>
        <x:v>#NAME?</x:v>
      </x:c>
      <x:c r="B511" s="27" t="e">
        <x:f>IF($A511="","",IF(발령대장_설정!$B$4="","",발령대장_설정!$B$4))</x:f>
        <x:v>#NAME?</x:v>
      </x:c>
      <x:c r="C511" s="27" t="e">
        <x:f>IF($A511="","",대장!D255)</x:f>
        <x:v>#NAME?</x:v>
      </x:c>
      <x:c r="D511" s="27" t="e">
        <x:f>IF($A511="","",대장!A255)</x:f>
        <x:v>#NAME?</x:v>
      </x:c>
      <x:c r="E511" s="27" t="e">
        <x:f>IF($A511="","",IF(대장!J255&lt;&gt;"",대장!J255,대장!D255&amp;"에 임함"&amp;IF(대장!E255="","",CHAR(10)&amp;"고용형태: "&amp;대장!E255)&amp;IF(대장!I255="","",CHAR(10)&amp;"소정근로시간: "&amp;대장!I255)&amp;CHAR(10)&amp;"근로기간: "&amp;YEAR(대장!F255)&amp;"."&amp;MONTH(대장!F255)&amp;"."&amp;DAY(대장!F255)&amp;"."&amp;" ~ "&amp;IF(ISNUMBER(대장!G255),YEAR(대장!G255)&amp;"."&amp;MONTH(대장!G255)&amp;"."&amp;DAY(대장!G255)&amp;".","재직 중")))</x:f>
        <x:v>#NAME?</x:v>
      </x:c>
      <x:c r="F511" s="27" t="e">
        <x:f>IF($A511="","",IF(발령대장_설정!$B$5="","",발령대장_설정!$B$5))</x:f>
        <x:v>#NAME?</x:v>
      </x:c>
      <x:c r="G511" s="27" t="e">
        <x:f>IF($A511="","",IF(발령대장_설정!$B$6="","",발령대장_설정!$B$6))</x:f>
        <x:v>#NAME?</x:v>
      </x:c>
      <x:c r="H511" s="27" t="e">
        <x:f>IF($A511="","",IF(발령대장_설정!$B$7="","",발령대장_설정!$B$7))</x:f>
        <x:v>#NAME?</x:v>
      </x:c>
      <x:c r="I511" s="27" t="e">
        <x:f>IF($A511="","",IF(발령대장_설정!$B$8="","",발령대장_설정!$B$8))</x:f>
        <x:v>#NAME?</x:v>
      </x:c>
      <x:c r="J511" s="27" t="e">
        <x:f>IF($A511="","",IF(대장!K255="","",대장!K255))</x:f>
        <x:v>#NAME?</x:v>
      </x:c>
    </x:row>
    <x:row r="512" ht="42" customHeight="1">
      <x:c r="A512" s="47" t="e">
        <x:f>IF(AND(대장!A255&lt;&gt;"",ISNUMBER(대장!F255),ISNUMBER(대장!G255),대장!G255&gt;=대장!F255,대장!H255&lt;&gt;""),대장!G255,"")</x:f>
        <x:v>#NAME?</x:v>
      </x:c>
      <x:c r="B512" s="27" t="e">
        <x:f>IF($A512="","",IF(발령대장_설정!$B$4="","",발령대장_설정!$B$4))</x:f>
        <x:v>#NAME?</x:v>
      </x:c>
      <x:c r="C512" s="27" t="e">
        <x:f>IF($A512="","",대장!D255)</x:f>
        <x:v>#NAME?</x:v>
      </x:c>
      <x:c r="D512" s="27" t="e">
        <x:f>IF($A512="","",대장!A255)</x:f>
        <x:v>#NAME?</x:v>
      </x:c>
      <x:c r="E512" s="27" t="e">
        <x:f>IF($A512="","",IF(OR(ISNUMBER(SEARCH("계약만료",대장!H255&amp;"")),ISNUMBER(SEARCH("기간만료",대장!H255&amp;""))),"계약기간 만료로 퇴직",IF(ISNUMBER(SEARCH("의원면직",대장!H255&amp;"")),"의원면직",IF(ISNUMBER(SEARCH("정년퇴직",대장!H255&amp;"")),"정년퇴직",대장!H255))))</x:f>
        <x:v>#NAME?</x:v>
      </x:c>
      <x:c r="F512" s="27" t="e">
        <x:f>IF($A512="","",IF(발령대장_설정!$B$5="","",발령대장_설정!$B$5))</x:f>
        <x:v>#NAME?</x:v>
      </x:c>
      <x:c r="G512" s="27" t="e">
        <x:f>IF($A512="","",IF(발령대장_설정!$B$6="","",발령대장_설정!$B$6))</x:f>
        <x:v>#NAME?</x:v>
      </x:c>
      <x:c r="H512" s="27" t="e">
        <x:f>IF($A512="","",IF(발령대장_설정!$B$7="","",발령대장_설정!$B$7))</x:f>
        <x:v>#NAME?</x:v>
      </x:c>
      <x:c r="I512" s="27" t="e">
        <x:f>IF($A512="","",IF(발령대장_설정!$B$8="","",발령대장_설정!$B$8))</x:f>
        <x:v>#NAME?</x:v>
      </x:c>
      <x:c r="J512" s="27" t="str">
        <x:f>""</x:f>
      </x:c>
    </x:row>
    <x:row r="513" ht="42" customHeight="1">
      <x:c r="A513" s="47" t="e">
        <x:f>IF(AND(대장!A256&lt;&gt;"",ISNUMBER(대장!F256),OR(대장!G256="",AND(ISNUMBER(대장!G256),대장!G256&gt;=대장!F256))),대장!F256,"")</x:f>
        <x:v>#NAME?</x:v>
      </x:c>
      <x:c r="B513" s="27" t="e">
        <x:f>IF($A513="","",IF(발령대장_설정!$B$4="","",발령대장_설정!$B$4))</x:f>
        <x:v>#NAME?</x:v>
      </x:c>
      <x:c r="C513" s="27" t="e">
        <x:f>IF($A513="","",대장!D256)</x:f>
        <x:v>#NAME?</x:v>
      </x:c>
      <x:c r="D513" s="27" t="e">
        <x:f>IF($A513="","",대장!A256)</x:f>
        <x:v>#NAME?</x:v>
      </x:c>
      <x:c r="E513" s="27" t="e">
        <x:f>IF($A513="","",IF(대장!J256&lt;&gt;"",대장!J256,대장!D256&amp;"에 임함"&amp;IF(대장!E256="","",CHAR(10)&amp;"고용형태: "&amp;대장!E256)&amp;IF(대장!I256="","",CHAR(10)&amp;"소정근로시간: "&amp;대장!I256)&amp;CHAR(10)&amp;"근로기간: "&amp;YEAR(대장!F256)&amp;"."&amp;MONTH(대장!F256)&amp;"."&amp;DAY(대장!F256)&amp;"."&amp;" ~ "&amp;IF(ISNUMBER(대장!G256),YEAR(대장!G256)&amp;"."&amp;MONTH(대장!G256)&amp;"."&amp;DAY(대장!G256)&amp;".","재직 중")))</x:f>
        <x:v>#NAME?</x:v>
      </x:c>
      <x:c r="F513" s="27" t="e">
        <x:f>IF($A513="","",IF(발령대장_설정!$B$5="","",발령대장_설정!$B$5))</x:f>
        <x:v>#NAME?</x:v>
      </x:c>
      <x:c r="G513" s="27" t="e">
        <x:f>IF($A513="","",IF(발령대장_설정!$B$6="","",발령대장_설정!$B$6))</x:f>
        <x:v>#NAME?</x:v>
      </x:c>
      <x:c r="H513" s="27" t="e">
        <x:f>IF($A513="","",IF(발령대장_설정!$B$7="","",발령대장_설정!$B$7))</x:f>
        <x:v>#NAME?</x:v>
      </x:c>
      <x:c r="I513" s="27" t="e">
        <x:f>IF($A513="","",IF(발령대장_설정!$B$8="","",발령대장_설정!$B$8))</x:f>
        <x:v>#NAME?</x:v>
      </x:c>
      <x:c r="J513" s="27" t="e">
        <x:f>IF($A513="","",IF(대장!K256="","",대장!K256))</x:f>
        <x:v>#NAME?</x:v>
      </x:c>
    </x:row>
    <x:row r="514" ht="42" customHeight="1">
      <x:c r="A514" s="47" t="e">
        <x:f>IF(AND(대장!A256&lt;&gt;"",ISNUMBER(대장!F256),ISNUMBER(대장!G256),대장!G256&gt;=대장!F256,대장!H256&lt;&gt;""),대장!G256,"")</x:f>
        <x:v>#NAME?</x:v>
      </x:c>
      <x:c r="B514" s="27" t="e">
        <x:f>IF($A514="","",IF(발령대장_설정!$B$4="","",발령대장_설정!$B$4))</x:f>
        <x:v>#NAME?</x:v>
      </x:c>
      <x:c r="C514" s="27" t="e">
        <x:f>IF($A514="","",대장!D256)</x:f>
        <x:v>#NAME?</x:v>
      </x:c>
      <x:c r="D514" s="27" t="e">
        <x:f>IF($A514="","",대장!A256)</x:f>
        <x:v>#NAME?</x:v>
      </x:c>
      <x:c r="E514" s="27" t="e">
        <x:f>IF($A514="","",IF(OR(ISNUMBER(SEARCH("계약만료",대장!H256&amp;"")),ISNUMBER(SEARCH("기간만료",대장!H256&amp;""))),"계약기간 만료로 퇴직",IF(ISNUMBER(SEARCH("의원면직",대장!H256&amp;"")),"의원면직",IF(ISNUMBER(SEARCH("정년퇴직",대장!H256&amp;"")),"정년퇴직",대장!H256))))</x:f>
        <x:v>#NAME?</x:v>
      </x:c>
      <x:c r="F514" s="27" t="e">
        <x:f>IF($A514="","",IF(발령대장_설정!$B$5="","",발령대장_설정!$B$5))</x:f>
        <x:v>#NAME?</x:v>
      </x:c>
      <x:c r="G514" s="27" t="e">
        <x:f>IF($A514="","",IF(발령대장_설정!$B$6="","",발령대장_설정!$B$6))</x:f>
        <x:v>#NAME?</x:v>
      </x:c>
      <x:c r="H514" s="27" t="e">
        <x:f>IF($A514="","",IF(발령대장_설정!$B$7="","",발령대장_설정!$B$7))</x:f>
        <x:v>#NAME?</x:v>
      </x:c>
      <x:c r="I514" s="27" t="e">
        <x:f>IF($A514="","",IF(발령대장_설정!$B$8="","",발령대장_설정!$B$8))</x:f>
        <x:v>#NAME?</x:v>
      </x:c>
      <x:c r="J514" s="27" t="str">
        <x:f>""</x:f>
      </x:c>
    </x:row>
    <x:row r="515" ht="42" customHeight="1">
      <x:c r="A515" s="47" t="e">
        <x:f>IF(AND(대장!A257&lt;&gt;"",ISNUMBER(대장!F257),OR(대장!G257="",AND(ISNUMBER(대장!G257),대장!G257&gt;=대장!F257))),대장!F257,"")</x:f>
        <x:v>#NAME?</x:v>
      </x:c>
      <x:c r="B515" s="27" t="e">
        <x:f>IF($A515="","",IF(발령대장_설정!$B$4="","",발령대장_설정!$B$4))</x:f>
        <x:v>#NAME?</x:v>
      </x:c>
      <x:c r="C515" s="27" t="e">
        <x:f>IF($A515="","",대장!D257)</x:f>
        <x:v>#NAME?</x:v>
      </x:c>
      <x:c r="D515" s="27" t="e">
        <x:f>IF($A515="","",대장!A257)</x:f>
        <x:v>#NAME?</x:v>
      </x:c>
      <x:c r="E515" s="27" t="e">
        <x:f>IF($A515="","",IF(대장!J257&lt;&gt;"",대장!J257,대장!D257&amp;"에 임함"&amp;IF(대장!E257="","",CHAR(10)&amp;"고용형태: "&amp;대장!E257)&amp;IF(대장!I257="","",CHAR(10)&amp;"소정근로시간: "&amp;대장!I257)&amp;CHAR(10)&amp;"근로기간: "&amp;YEAR(대장!F257)&amp;"."&amp;MONTH(대장!F257)&amp;"."&amp;DAY(대장!F257)&amp;"."&amp;" ~ "&amp;IF(ISNUMBER(대장!G257),YEAR(대장!G257)&amp;"."&amp;MONTH(대장!G257)&amp;"."&amp;DAY(대장!G257)&amp;".","재직 중")))</x:f>
        <x:v>#NAME?</x:v>
      </x:c>
      <x:c r="F515" s="27" t="e">
        <x:f>IF($A515="","",IF(발령대장_설정!$B$5="","",발령대장_설정!$B$5))</x:f>
        <x:v>#NAME?</x:v>
      </x:c>
      <x:c r="G515" s="27" t="e">
        <x:f>IF($A515="","",IF(발령대장_설정!$B$6="","",발령대장_설정!$B$6))</x:f>
        <x:v>#NAME?</x:v>
      </x:c>
      <x:c r="H515" s="27" t="e">
        <x:f>IF($A515="","",IF(발령대장_설정!$B$7="","",발령대장_설정!$B$7))</x:f>
        <x:v>#NAME?</x:v>
      </x:c>
      <x:c r="I515" s="27" t="e">
        <x:f>IF($A515="","",IF(발령대장_설정!$B$8="","",발령대장_설정!$B$8))</x:f>
        <x:v>#NAME?</x:v>
      </x:c>
      <x:c r="J515" s="27" t="e">
        <x:f>IF($A515="","",IF(대장!K257="","",대장!K257))</x:f>
        <x:v>#NAME?</x:v>
      </x:c>
    </x:row>
    <x:row r="516" ht="42" customHeight="1">
      <x:c r="A516" s="47" t="e">
        <x:f>IF(AND(대장!A257&lt;&gt;"",ISNUMBER(대장!F257),ISNUMBER(대장!G257),대장!G257&gt;=대장!F257,대장!H257&lt;&gt;""),대장!G257,"")</x:f>
        <x:v>#NAME?</x:v>
      </x:c>
      <x:c r="B516" s="27" t="e">
        <x:f>IF($A516="","",IF(발령대장_설정!$B$4="","",발령대장_설정!$B$4))</x:f>
        <x:v>#NAME?</x:v>
      </x:c>
      <x:c r="C516" s="27" t="e">
        <x:f>IF($A516="","",대장!D257)</x:f>
        <x:v>#NAME?</x:v>
      </x:c>
      <x:c r="D516" s="27" t="e">
        <x:f>IF($A516="","",대장!A257)</x:f>
        <x:v>#NAME?</x:v>
      </x:c>
      <x:c r="E516" s="27" t="e">
        <x:f>IF($A516="","",IF(OR(ISNUMBER(SEARCH("계약만료",대장!H257&amp;"")),ISNUMBER(SEARCH("기간만료",대장!H257&amp;""))),"계약기간 만료로 퇴직",IF(ISNUMBER(SEARCH("의원면직",대장!H257&amp;"")),"의원면직",IF(ISNUMBER(SEARCH("정년퇴직",대장!H257&amp;"")),"정년퇴직",대장!H257))))</x:f>
        <x:v>#NAME?</x:v>
      </x:c>
      <x:c r="F516" s="27" t="e">
        <x:f>IF($A516="","",IF(발령대장_설정!$B$5="","",발령대장_설정!$B$5))</x:f>
        <x:v>#NAME?</x:v>
      </x:c>
      <x:c r="G516" s="27" t="e">
        <x:f>IF($A516="","",IF(발령대장_설정!$B$6="","",발령대장_설정!$B$6))</x:f>
        <x:v>#NAME?</x:v>
      </x:c>
      <x:c r="H516" s="27" t="e">
        <x:f>IF($A516="","",IF(발령대장_설정!$B$7="","",발령대장_설정!$B$7))</x:f>
        <x:v>#NAME?</x:v>
      </x:c>
      <x:c r="I516" s="27" t="e">
        <x:f>IF($A516="","",IF(발령대장_설정!$B$8="","",발령대장_설정!$B$8))</x:f>
        <x:v>#NAME?</x:v>
      </x:c>
      <x:c r="J516" s="27" t="str">
        <x:f>""</x:f>
      </x:c>
    </x:row>
    <x:row r="517" ht="42" customHeight="1">
      <x:c r="A517" s="47" t="e">
        <x:f>IF(AND(대장!A258&lt;&gt;"",ISNUMBER(대장!F258),OR(대장!G258="",AND(ISNUMBER(대장!G258),대장!G258&gt;=대장!F258))),대장!F258,"")</x:f>
        <x:v>#NAME?</x:v>
      </x:c>
      <x:c r="B517" s="27" t="e">
        <x:f>IF($A517="","",IF(발령대장_설정!$B$4="","",발령대장_설정!$B$4))</x:f>
        <x:v>#NAME?</x:v>
      </x:c>
      <x:c r="C517" s="27" t="e">
        <x:f>IF($A517="","",대장!D258)</x:f>
        <x:v>#NAME?</x:v>
      </x:c>
      <x:c r="D517" s="27" t="e">
        <x:f>IF($A517="","",대장!A258)</x:f>
        <x:v>#NAME?</x:v>
      </x:c>
      <x:c r="E517" s="27" t="e">
        <x:f>IF($A517="","",IF(대장!J258&lt;&gt;"",대장!J258,대장!D258&amp;"에 임함"&amp;IF(대장!E258="","",CHAR(10)&amp;"고용형태: "&amp;대장!E258)&amp;IF(대장!I258="","",CHAR(10)&amp;"소정근로시간: "&amp;대장!I258)&amp;CHAR(10)&amp;"근로기간: "&amp;YEAR(대장!F258)&amp;"."&amp;MONTH(대장!F258)&amp;"."&amp;DAY(대장!F258)&amp;"."&amp;" ~ "&amp;IF(ISNUMBER(대장!G258),YEAR(대장!G258)&amp;"."&amp;MONTH(대장!G258)&amp;"."&amp;DAY(대장!G258)&amp;".","재직 중")))</x:f>
        <x:v>#NAME?</x:v>
      </x:c>
      <x:c r="F517" s="27" t="e">
        <x:f>IF($A517="","",IF(발령대장_설정!$B$5="","",발령대장_설정!$B$5))</x:f>
        <x:v>#NAME?</x:v>
      </x:c>
      <x:c r="G517" s="27" t="e">
        <x:f>IF($A517="","",IF(발령대장_설정!$B$6="","",발령대장_설정!$B$6))</x:f>
        <x:v>#NAME?</x:v>
      </x:c>
      <x:c r="H517" s="27" t="e">
        <x:f>IF($A517="","",IF(발령대장_설정!$B$7="","",발령대장_설정!$B$7))</x:f>
        <x:v>#NAME?</x:v>
      </x:c>
      <x:c r="I517" s="27" t="e">
        <x:f>IF($A517="","",IF(발령대장_설정!$B$8="","",발령대장_설정!$B$8))</x:f>
        <x:v>#NAME?</x:v>
      </x:c>
      <x:c r="J517" s="27" t="e">
        <x:f>IF($A517="","",IF(대장!K258="","",대장!K258))</x:f>
        <x:v>#NAME?</x:v>
      </x:c>
    </x:row>
    <x:row r="518" ht="42" customHeight="1">
      <x:c r="A518" s="47" t="e">
        <x:f>IF(AND(대장!A258&lt;&gt;"",ISNUMBER(대장!F258),ISNUMBER(대장!G258),대장!G258&gt;=대장!F258,대장!H258&lt;&gt;""),대장!G258,"")</x:f>
        <x:v>#NAME?</x:v>
      </x:c>
      <x:c r="B518" s="27" t="e">
        <x:f>IF($A518="","",IF(발령대장_설정!$B$4="","",발령대장_설정!$B$4))</x:f>
        <x:v>#NAME?</x:v>
      </x:c>
      <x:c r="C518" s="27" t="e">
        <x:f>IF($A518="","",대장!D258)</x:f>
        <x:v>#NAME?</x:v>
      </x:c>
      <x:c r="D518" s="27" t="e">
        <x:f>IF($A518="","",대장!A258)</x:f>
        <x:v>#NAME?</x:v>
      </x:c>
      <x:c r="E518" s="27" t="e">
        <x:f>IF($A518="","",IF(OR(ISNUMBER(SEARCH("계약만료",대장!H258&amp;"")),ISNUMBER(SEARCH("기간만료",대장!H258&amp;""))),"계약기간 만료로 퇴직",IF(ISNUMBER(SEARCH("의원면직",대장!H258&amp;"")),"의원면직",IF(ISNUMBER(SEARCH("정년퇴직",대장!H258&amp;"")),"정년퇴직",대장!H258))))</x:f>
        <x:v>#NAME?</x:v>
      </x:c>
      <x:c r="F518" s="27" t="e">
        <x:f>IF($A518="","",IF(발령대장_설정!$B$5="","",발령대장_설정!$B$5))</x:f>
        <x:v>#NAME?</x:v>
      </x:c>
      <x:c r="G518" s="27" t="e">
        <x:f>IF($A518="","",IF(발령대장_설정!$B$6="","",발령대장_설정!$B$6))</x:f>
        <x:v>#NAME?</x:v>
      </x:c>
      <x:c r="H518" s="27" t="e">
        <x:f>IF($A518="","",IF(발령대장_설정!$B$7="","",발령대장_설정!$B$7))</x:f>
        <x:v>#NAME?</x:v>
      </x:c>
      <x:c r="I518" s="27" t="e">
        <x:f>IF($A518="","",IF(발령대장_설정!$B$8="","",발령대장_설정!$B$8))</x:f>
        <x:v>#NAME?</x:v>
      </x:c>
      <x:c r="J518" s="27" t="str">
        <x:f>""</x:f>
      </x:c>
    </x:row>
    <x:row r="519" ht="42" customHeight="1">
      <x:c r="A519" s="47" t="e">
        <x:f>IF(AND(대장!A259&lt;&gt;"",ISNUMBER(대장!F259),OR(대장!G259="",AND(ISNUMBER(대장!G259),대장!G259&gt;=대장!F259))),대장!F259,"")</x:f>
        <x:v>#NAME?</x:v>
      </x:c>
      <x:c r="B519" s="27" t="e">
        <x:f>IF($A519="","",IF(발령대장_설정!$B$4="","",발령대장_설정!$B$4))</x:f>
        <x:v>#NAME?</x:v>
      </x:c>
      <x:c r="C519" s="27" t="e">
        <x:f>IF($A519="","",대장!D259)</x:f>
        <x:v>#NAME?</x:v>
      </x:c>
      <x:c r="D519" s="27" t="e">
        <x:f>IF($A519="","",대장!A259)</x:f>
        <x:v>#NAME?</x:v>
      </x:c>
      <x:c r="E519" s="27" t="e">
        <x:f>IF($A519="","",IF(대장!J259&lt;&gt;"",대장!J259,대장!D259&amp;"에 임함"&amp;IF(대장!E259="","",CHAR(10)&amp;"고용형태: "&amp;대장!E259)&amp;IF(대장!I259="","",CHAR(10)&amp;"소정근로시간: "&amp;대장!I259)&amp;CHAR(10)&amp;"근로기간: "&amp;YEAR(대장!F259)&amp;"."&amp;MONTH(대장!F259)&amp;"."&amp;DAY(대장!F259)&amp;"."&amp;" ~ "&amp;IF(ISNUMBER(대장!G259),YEAR(대장!G259)&amp;"."&amp;MONTH(대장!G259)&amp;"."&amp;DAY(대장!G259)&amp;".","재직 중")))</x:f>
        <x:v>#NAME?</x:v>
      </x:c>
      <x:c r="F519" s="27" t="e">
        <x:f>IF($A519="","",IF(발령대장_설정!$B$5="","",발령대장_설정!$B$5))</x:f>
        <x:v>#NAME?</x:v>
      </x:c>
      <x:c r="G519" s="27" t="e">
        <x:f>IF($A519="","",IF(발령대장_설정!$B$6="","",발령대장_설정!$B$6))</x:f>
        <x:v>#NAME?</x:v>
      </x:c>
      <x:c r="H519" s="27" t="e">
        <x:f>IF($A519="","",IF(발령대장_설정!$B$7="","",발령대장_설정!$B$7))</x:f>
        <x:v>#NAME?</x:v>
      </x:c>
      <x:c r="I519" s="27" t="e">
        <x:f>IF($A519="","",IF(발령대장_설정!$B$8="","",발령대장_설정!$B$8))</x:f>
        <x:v>#NAME?</x:v>
      </x:c>
      <x:c r="J519" s="27" t="e">
        <x:f>IF($A519="","",IF(대장!K259="","",대장!K259))</x:f>
        <x:v>#NAME?</x:v>
      </x:c>
    </x:row>
    <x:row r="520" ht="42" customHeight="1">
      <x:c r="A520" s="47" t="e">
        <x:f>IF(AND(대장!A259&lt;&gt;"",ISNUMBER(대장!F259),ISNUMBER(대장!G259),대장!G259&gt;=대장!F259,대장!H259&lt;&gt;""),대장!G259,"")</x:f>
        <x:v>#NAME?</x:v>
      </x:c>
      <x:c r="B520" s="27" t="e">
        <x:f>IF($A520="","",IF(발령대장_설정!$B$4="","",발령대장_설정!$B$4))</x:f>
        <x:v>#NAME?</x:v>
      </x:c>
      <x:c r="C520" s="27" t="e">
        <x:f>IF($A520="","",대장!D259)</x:f>
        <x:v>#NAME?</x:v>
      </x:c>
      <x:c r="D520" s="27" t="e">
        <x:f>IF($A520="","",대장!A259)</x:f>
        <x:v>#NAME?</x:v>
      </x:c>
      <x:c r="E520" s="27" t="e">
        <x:f>IF($A520="","",IF(OR(ISNUMBER(SEARCH("계약만료",대장!H259&amp;"")),ISNUMBER(SEARCH("기간만료",대장!H259&amp;""))),"계약기간 만료로 퇴직",IF(ISNUMBER(SEARCH("의원면직",대장!H259&amp;"")),"의원면직",IF(ISNUMBER(SEARCH("정년퇴직",대장!H259&amp;"")),"정년퇴직",대장!H259))))</x:f>
        <x:v>#NAME?</x:v>
      </x:c>
      <x:c r="F520" s="27" t="e">
        <x:f>IF($A520="","",IF(발령대장_설정!$B$5="","",발령대장_설정!$B$5))</x:f>
        <x:v>#NAME?</x:v>
      </x:c>
      <x:c r="G520" s="27" t="e">
        <x:f>IF($A520="","",IF(발령대장_설정!$B$6="","",발령대장_설정!$B$6))</x:f>
        <x:v>#NAME?</x:v>
      </x:c>
      <x:c r="H520" s="27" t="e">
        <x:f>IF($A520="","",IF(발령대장_설정!$B$7="","",발령대장_설정!$B$7))</x:f>
        <x:v>#NAME?</x:v>
      </x:c>
      <x:c r="I520" s="27" t="e">
        <x:f>IF($A520="","",IF(발령대장_설정!$B$8="","",발령대장_설정!$B$8))</x:f>
        <x:v>#NAME?</x:v>
      </x:c>
      <x:c r="J520" s="27" t="str">
        <x:f>""</x:f>
      </x:c>
    </x:row>
    <x:row r="521" ht="42" customHeight="1">
      <x:c r="A521" s="47" t="e">
        <x:f>IF(AND(대장!A260&lt;&gt;"",ISNUMBER(대장!F260),OR(대장!G260="",AND(ISNUMBER(대장!G260),대장!G260&gt;=대장!F260))),대장!F260,"")</x:f>
        <x:v>#NAME?</x:v>
      </x:c>
      <x:c r="B521" s="27" t="e">
        <x:f>IF($A521="","",IF(발령대장_설정!$B$4="","",발령대장_설정!$B$4))</x:f>
        <x:v>#NAME?</x:v>
      </x:c>
      <x:c r="C521" s="27" t="e">
        <x:f>IF($A521="","",대장!D260)</x:f>
        <x:v>#NAME?</x:v>
      </x:c>
      <x:c r="D521" s="27" t="e">
        <x:f>IF($A521="","",대장!A260)</x:f>
        <x:v>#NAME?</x:v>
      </x:c>
      <x:c r="E521" s="27" t="e">
        <x:f>IF($A521="","",IF(대장!J260&lt;&gt;"",대장!J260,대장!D260&amp;"에 임함"&amp;IF(대장!E260="","",CHAR(10)&amp;"고용형태: "&amp;대장!E260)&amp;IF(대장!I260="","",CHAR(10)&amp;"소정근로시간: "&amp;대장!I260)&amp;CHAR(10)&amp;"근로기간: "&amp;YEAR(대장!F260)&amp;"."&amp;MONTH(대장!F260)&amp;"."&amp;DAY(대장!F260)&amp;"."&amp;" ~ "&amp;IF(ISNUMBER(대장!G260),YEAR(대장!G260)&amp;"."&amp;MONTH(대장!G260)&amp;"."&amp;DAY(대장!G260)&amp;".","재직 중")))</x:f>
        <x:v>#NAME?</x:v>
      </x:c>
      <x:c r="F521" s="27" t="e">
        <x:f>IF($A521="","",IF(발령대장_설정!$B$5="","",발령대장_설정!$B$5))</x:f>
        <x:v>#NAME?</x:v>
      </x:c>
      <x:c r="G521" s="27" t="e">
        <x:f>IF($A521="","",IF(발령대장_설정!$B$6="","",발령대장_설정!$B$6))</x:f>
        <x:v>#NAME?</x:v>
      </x:c>
      <x:c r="H521" s="27" t="e">
        <x:f>IF($A521="","",IF(발령대장_설정!$B$7="","",발령대장_설정!$B$7))</x:f>
        <x:v>#NAME?</x:v>
      </x:c>
      <x:c r="I521" s="27" t="e">
        <x:f>IF($A521="","",IF(발령대장_설정!$B$8="","",발령대장_설정!$B$8))</x:f>
        <x:v>#NAME?</x:v>
      </x:c>
      <x:c r="J521" s="27" t="e">
        <x:f>IF($A521="","",IF(대장!K260="","",대장!K260))</x:f>
        <x:v>#NAME?</x:v>
      </x:c>
    </x:row>
    <x:row r="522" ht="42" customHeight="1">
      <x:c r="A522" s="47" t="e">
        <x:f>IF(AND(대장!A260&lt;&gt;"",ISNUMBER(대장!F260),ISNUMBER(대장!G260),대장!G260&gt;=대장!F260,대장!H260&lt;&gt;""),대장!G260,"")</x:f>
        <x:v>#NAME?</x:v>
      </x:c>
      <x:c r="B522" s="27" t="e">
        <x:f>IF($A522="","",IF(발령대장_설정!$B$4="","",발령대장_설정!$B$4))</x:f>
        <x:v>#NAME?</x:v>
      </x:c>
      <x:c r="C522" s="27" t="e">
        <x:f>IF($A522="","",대장!D260)</x:f>
        <x:v>#NAME?</x:v>
      </x:c>
      <x:c r="D522" s="27" t="e">
        <x:f>IF($A522="","",대장!A260)</x:f>
        <x:v>#NAME?</x:v>
      </x:c>
      <x:c r="E522" s="27" t="e">
        <x:f>IF($A522="","",IF(OR(ISNUMBER(SEARCH("계약만료",대장!H260&amp;"")),ISNUMBER(SEARCH("기간만료",대장!H260&amp;""))),"계약기간 만료로 퇴직",IF(ISNUMBER(SEARCH("의원면직",대장!H260&amp;"")),"의원면직",IF(ISNUMBER(SEARCH("정년퇴직",대장!H260&amp;"")),"정년퇴직",대장!H260))))</x:f>
        <x:v>#NAME?</x:v>
      </x:c>
      <x:c r="F522" s="27" t="e">
        <x:f>IF($A522="","",IF(발령대장_설정!$B$5="","",발령대장_설정!$B$5))</x:f>
        <x:v>#NAME?</x:v>
      </x:c>
      <x:c r="G522" s="27" t="e">
        <x:f>IF($A522="","",IF(발령대장_설정!$B$6="","",발령대장_설정!$B$6))</x:f>
        <x:v>#NAME?</x:v>
      </x:c>
      <x:c r="H522" s="27" t="e">
        <x:f>IF($A522="","",IF(발령대장_설정!$B$7="","",발령대장_설정!$B$7))</x:f>
        <x:v>#NAME?</x:v>
      </x:c>
      <x:c r="I522" s="27" t="e">
        <x:f>IF($A522="","",IF(발령대장_설정!$B$8="","",발령대장_설정!$B$8))</x:f>
        <x:v>#NAME?</x:v>
      </x:c>
      <x:c r="J522" s="27" t="str">
        <x:f>""</x:f>
      </x:c>
    </x:row>
    <x:row r="523" ht="42" customHeight="1">
      <x:c r="A523" s="47" t="e">
        <x:f>IF(AND(대장!A261&lt;&gt;"",ISNUMBER(대장!F261),OR(대장!G261="",AND(ISNUMBER(대장!G261),대장!G261&gt;=대장!F261))),대장!F261,"")</x:f>
        <x:v>#NAME?</x:v>
      </x:c>
      <x:c r="B523" s="27" t="e">
        <x:f>IF($A523="","",IF(발령대장_설정!$B$4="","",발령대장_설정!$B$4))</x:f>
        <x:v>#NAME?</x:v>
      </x:c>
      <x:c r="C523" s="27" t="e">
        <x:f>IF($A523="","",대장!D261)</x:f>
        <x:v>#NAME?</x:v>
      </x:c>
      <x:c r="D523" s="27" t="e">
        <x:f>IF($A523="","",대장!A261)</x:f>
        <x:v>#NAME?</x:v>
      </x:c>
      <x:c r="E523" s="27" t="e">
        <x:f>IF($A523="","",IF(대장!J261&lt;&gt;"",대장!J261,대장!D261&amp;"에 임함"&amp;IF(대장!E261="","",CHAR(10)&amp;"고용형태: "&amp;대장!E261)&amp;IF(대장!I261="","",CHAR(10)&amp;"소정근로시간: "&amp;대장!I261)&amp;CHAR(10)&amp;"근로기간: "&amp;YEAR(대장!F261)&amp;"."&amp;MONTH(대장!F261)&amp;"."&amp;DAY(대장!F261)&amp;"."&amp;" ~ "&amp;IF(ISNUMBER(대장!G261),YEAR(대장!G261)&amp;"."&amp;MONTH(대장!G261)&amp;"."&amp;DAY(대장!G261)&amp;".","재직 중")))</x:f>
        <x:v>#NAME?</x:v>
      </x:c>
      <x:c r="F523" s="27" t="e">
        <x:f>IF($A523="","",IF(발령대장_설정!$B$5="","",발령대장_설정!$B$5))</x:f>
        <x:v>#NAME?</x:v>
      </x:c>
      <x:c r="G523" s="27" t="e">
        <x:f>IF($A523="","",IF(발령대장_설정!$B$6="","",발령대장_설정!$B$6))</x:f>
        <x:v>#NAME?</x:v>
      </x:c>
      <x:c r="H523" s="27" t="e">
        <x:f>IF($A523="","",IF(발령대장_설정!$B$7="","",발령대장_설정!$B$7))</x:f>
        <x:v>#NAME?</x:v>
      </x:c>
      <x:c r="I523" s="27" t="e">
        <x:f>IF($A523="","",IF(발령대장_설정!$B$8="","",발령대장_설정!$B$8))</x:f>
        <x:v>#NAME?</x:v>
      </x:c>
      <x:c r="J523" s="27" t="e">
        <x:f>IF($A523="","",IF(대장!K261="","",대장!K261))</x:f>
        <x:v>#NAME?</x:v>
      </x:c>
    </x:row>
    <x:row r="524" ht="42" customHeight="1">
      <x:c r="A524" s="47" t="e">
        <x:f>IF(AND(대장!A261&lt;&gt;"",ISNUMBER(대장!F261),ISNUMBER(대장!G261),대장!G261&gt;=대장!F261,대장!H261&lt;&gt;""),대장!G261,"")</x:f>
        <x:v>#NAME?</x:v>
      </x:c>
      <x:c r="B524" s="27" t="e">
        <x:f>IF($A524="","",IF(발령대장_설정!$B$4="","",발령대장_설정!$B$4))</x:f>
        <x:v>#NAME?</x:v>
      </x:c>
      <x:c r="C524" s="27" t="e">
        <x:f>IF($A524="","",대장!D261)</x:f>
        <x:v>#NAME?</x:v>
      </x:c>
      <x:c r="D524" s="27" t="e">
        <x:f>IF($A524="","",대장!A261)</x:f>
        <x:v>#NAME?</x:v>
      </x:c>
      <x:c r="E524" s="27" t="e">
        <x:f>IF($A524="","",IF(OR(ISNUMBER(SEARCH("계약만료",대장!H261&amp;"")),ISNUMBER(SEARCH("기간만료",대장!H261&amp;""))),"계약기간 만료로 퇴직",IF(ISNUMBER(SEARCH("의원면직",대장!H261&amp;"")),"의원면직",IF(ISNUMBER(SEARCH("정년퇴직",대장!H261&amp;"")),"정년퇴직",대장!H261))))</x:f>
        <x:v>#NAME?</x:v>
      </x:c>
      <x:c r="F524" s="27" t="e">
        <x:f>IF($A524="","",IF(발령대장_설정!$B$5="","",발령대장_설정!$B$5))</x:f>
        <x:v>#NAME?</x:v>
      </x:c>
      <x:c r="G524" s="27" t="e">
        <x:f>IF($A524="","",IF(발령대장_설정!$B$6="","",발령대장_설정!$B$6))</x:f>
        <x:v>#NAME?</x:v>
      </x:c>
      <x:c r="H524" s="27" t="e">
        <x:f>IF($A524="","",IF(발령대장_설정!$B$7="","",발령대장_설정!$B$7))</x:f>
        <x:v>#NAME?</x:v>
      </x:c>
      <x:c r="I524" s="27" t="e">
        <x:f>IF($A524="","",IF(발령대장_설정!$B$8="","",발령대장_설정!$B$8))</x:f>
        <x:v>#NAME?</x:v>
      </x:c>
      <x:c r="J524" s="27" t="str">
        <x:f>""</x:f>
      </x:c>
    </x:row>
    <x:row r="525" ht="42" customHeight="1">
      <x:c r="A525" s="47" t="e">
        <x:f>IF(AND(대장!A262&lt;&gt;"",ISNUMBER(대장!F262),OR(대장!G262="",AND(ISNUMBER(대장!G262),대장!G262&gt;=대장!F262))),대장!F262,"")</x:f>
        <x:v>#NAME?</x:v>
      </x:c>
      <x:c r="B525" s="27" t="e">
        <x:f>IF($A525="","",IF(발령대장_설정!$B$4="","",발령대장_설정!$B$4))</x:f>
        <x:v>#NAME?</x:v>
      </x:c>
      <x:c r="C525" s="27" t="e">
        <x:f>IF($A525="","",대장!D262)</x:f>
        <x:v>#NAME?</x:v>
      </x:c>
      <x:c r="D525" s="27" t="e">
        <x:f>IF($A525="","",대장!A262)</x:f>
        <x:v>#NAME?</x:v>
      </x:c>
      <x:c r="E525" s="27" t="e">
        <x:f>IF($A525="","",IF(대장!J262&lt;&gt;"",대장!J262,대장!D262&amp;"에 임함"&amp;IF(대장!E262="","",CHAR(10)&amp;"고용형태: "&amp;대장!E262)&amp;IF(대장!I262="","",CHAR(10)&amp;"소정근로시간: "&amp;대장!I262)&amp;CHAR(10)&amp;"근로기간: "&amp;YEAR(대장!F262)&amp;"."&amp;MONTH(대장!F262)&amp;"."&amp;DAY(대장!F262)&amp;"."&amp;" ~ "&amp;IF(ISNUMBER(대장!G262),YEAR(대장!G262)&amp;"."&amp;MONTH(대장!G262)&amp;"."&amp;DAY(대장!G262)&amp;".","재직 중")))</x:f>
        <x:v>#NAME?</x:v>
      </x:c>
      <x:c r="F525" s="27" t="e">
        <x:f>IF($A525="","",IF(발령대장_설정!$B$5="","",발령대장_설정!$B$5))</x:f>
        <x:v>#NAME?</x:v>
      </x:c>
      <x:c r="G525" s="27" t="e">
        <x:f>IF($A525="","",IF(발령대장_설정!$B$6="","",발령대장_설정!$B$6))</x:f>
        <x:v>#NAME?</x:v>
      </x:c>
      <x:c r="H525" s="27" t="e">
        <x:f>IF($A525="","",IF(발령대장_설정!$B$7="","",발령대장_설정!$B$7))</x:f>
        <x:v>#NAME?</x:v>
      </x:c>
      <x:c r="I525" s="27" t="e">
        <x:f>IF($A525="","",IF(발령대장_설정!$B$8="","",발령대장_설정!$B$8))</x:f>
        <x:v>#NAME?</x:v>
      </x:c>
      <x:c r="J525" s="27" t="e">
        <x:f>IF($A525="","",IF(대장!K262="","",대장!K262))</x:f>
        <x:v>#NAME?</x:v>
      </x:c>
    </x:row>
    <x:row r="526" ht="42" customHeight="1">
      <x:c r="A526" s="47" t="e">
        <x:f>IF(AND(대장!A262&lt;&gt;"",ISNUMBER(대장!F262),ISNUMBER(대장!G262),대장!G262&gt;=대장!F262,대장!H262&lt;&gt;""),대장!G262,"")</x:f>
        <x:v>#NAME?</x:v>
      </x:c>
      <x:c r="B526" s="27" t="e">
        <x:f>IF($A526="","",IF(발령대장_설정!$B$4="","",발령대장_설정!$B$4))</x:f>
        <x:v>#NAME?</x:v>
      </x:c>
      <x:c r="C526" s="27" t="e">
        <x:f>IF($A526="","",대장!D262)</x:f>
        <x:v>#NAME?</x:v>
      </x:c>
      <x:c r="D526" s="27" t="e">
        <x:f>IF($A526="","",대장!A262)</x:f>
        <x:v>#NAME?</x:v>
      </x:c>
      <x:c r="E526" s="27" t="e">
        <x:f>IF($A526="","",IF(OR(ISNUMBER(SEARCH("계약만료",대장!H262&amp;"")),ISNUMBER(SEARCH("기간만료",대장!H262&amp;""))),"계약기간 만료로 퇴직",IF(ISNUMBER(SEARCH("의원면직",대장!H262&amp;"")),"의원면직",IF(ISNUMBER(SEARCH("정년퇴직",대장!H262&amp;"")),"정년퇴직",대장!H262))))</x:f>
        <x:v>#NAME?</x:v>
      </x:c>
      <x:c r="F526" s="27" t="e">
        <x:f>IF($A526="","",IF(발령대장_설정!$B$5="","",발령대장_설정!$B$5))</x:f>
        <x:v>#NAME?</x:v>
      </x:c>
      <x:c r="G526" s="27" t="e">
        <x:f>IF($A526="","",IF(발령대장_설정!$B$6="","",발령대장_설정!$B$6))</x:f>
        <x:v>#NAME?</x:v>
      </x:c>
      <x:c r="H526" s="27" t="e">
        <x:f>IF($A526="","",IF(발령대장_설정!$B$7="","",발령대장_설정!$B$7))</x:f>
        <x:v>#NAME?</x:v>
      </x:c>
      <x:c r="I526" s="27" t="e">
        <x:f>IF($A526="","",IF(발령대장_설정!$B$8="","",발령대장_설정!$B$8))</x:f>
        <x:v>#NAME?</x:v>
      </x:c>
      <x:c r="J526" s="27" t="str">
        <x:f>""</x:f>
      </x:c>
    </x:row>
    <x:row r="527" ht="42" customHeight="1">
      <x:c r="A527" s="47" t="e">
        <x:f>IF(AND(대장!A263&lt;&gt;"",ISNUMBER(대장!F263),OR(대장!G263="",AND(ISNUMBER(대장!G263),대장!G263&gt;=대장!F263))),대장!F263,"")</x:f>
        <x:v>#NAME?</x:v>
      </x:c>
      <x:c r="B527" s="27" t="e">
        <x:f>IF($A527="","",IF(발령대장_설정!$B$4="","",발령대장_설정!$B$4))</x:f>
        <x:v>#NAME?</x:v>
      </x:c>
      <x:c r="C527" s="27" t="e">
        <x:f>IF($A527="","",대장!D263)</x:f>
        <x:v>#NAME?</x:v>
      </x:c>
      <x:c r="D527" s="27" t="e">
        <x:f>IF($A527="","",대장!A263)</x:f>
        <x:v>#NAME?</x:v>
      </x:c>
      <x:c r="E527" s="27" t="e">
        <x:f>IF($A527="","",IF(대장!J263&lt;&gt;"",대장!J263,대장!D263&amp;"에 임함"&amp;IF(대장!E263="","",CHAR(10)&amp;"고용형태: "&amp;대장!E263)&amp;IF(대장!I263="","",CHAR(10)&amp;"소정근로시간: "&amp;대장!I263)&amp;CHAR(10)&amp;"근로기간: "&amp;YEAR(대장!F263)&amp;"."&amp;MONTH(대장!F263)&amp;"."&amp;DAY(대장!F263)&amp;"."&amp;" ~ "&amp;IF(ISNUMBER(대장!G263),YEAR(대장!G263)&amp;"."&amp;MONTH(대장!G263)&amp;"."&amp;DAY(대장!G263)&amp;".","재직 중")))</x:f>
        <x:v>#NAME?</x:v>
      </x:c>
      <x:c r="F527" s="27" t="e">
        <x:f>IF($A527="","",IF(발령대장_설정!$B$5="","",발령대장_설정!$B$5))</x:f>
        <x:v>#NAME?</x:v>
      </x:c>
      <x:c r="G527" s="27" t="e">
        <x:f>IF($A527="","",IF(발령대장_설정!$B$6="","",발령대장_설정!$B$6))</x:f>
        <x:v>#NAME?</x:v>
      </x:c>
      <x:c r="H527" s="27" t="e">
        <x:f>IF($A527="","",IF(발령대장_설정!$B$7="","",발령대장_설정!$B$7))</x:f>
        <x:v>#NAME?</x:v>
      </x:c>
      <x:c r="I527" s="27" t="e">
        <x:f>IF($A527="","",IF(발령대장_설정!$B$8="","",발령대장_설정!$B$8))</x:f>
        <x:v>#NAME?</x:v>
      </x:c>
      <x:c r="J527" s="27" t="e">
        <x:f>IF($A527="","",IF(대장!K263="","",대장!K263))</x:f>
        <x:v>#NAME?</x:v>
      </x:c>
    </x:row>
    <x:row r="528" ht="42" customHeight="1">
      <x:c r="A528" s="47" t="e">
        <x:f>IF(AND(대장!A263&lt;&gt;"",ISNUMBER(대장!F263),ISNUMBER(대장!G263),대장!G263&gt;=대장!F263,대장!H263&lt;&gt;""),대장!G263,"")</x:f>
        <x:v>#NAME?</x:v>
      </x:c>
      <x:c r="B528" s="27" t="e">
        <x:f>IF($A528="","",IF(발령대장_설정!$B$4="","",발령대장_설정!$B$4))</x:f>
        <x:v>#NAME?</x:v>
      </x:c>
      <x:c r="C528" s="27" t="e">
        <x:f>IF($A528="","",대장!D263)</x:f>
        <x:v>#NAME?</x:v>
      </x:c>
      <x:c r="D528" s="27" t="e">
        <x:f>IF($A528="","",대장!A263)</x:f>
        <x:v>#NAME?</x:v>
      </x:c>
      <x:c r="E528" s="27" t="e">
        <x:f>IF($A528="","",IF(OR(ISNUMBER(SEARCH("계약만료",대장!H263&amp;"")),ISNUMBER(SEARCH("기간만료",대장!H263&amp;""))),"계약기간 만료로 퇴직",IF(ISNUMBER(SEARCH("의원면직",대장!H263&amp;"")),"의원면직",IF(ISNUMBER(SEARCH("정년퇴직",대장!H263&amp;"")),"정년퇴직",대장!H263))))</x:f>
        <x:v>#NAME?</x:v>
      </x:c>
      <x:c r="F528" s="27" t="e">
        <x:f>IF($A528="","",IF(발령대장_설정!$B$5="","",발령대장_설정!$B$5))</x:f>
        <x:v>#NAME?</x:v>
      </x:c>
      <x:c r="G528" s="27" t="e">
        <x:f>IF($A528="","",IF(발령대장_설정!$B$6="","",발령대장_설정!$B$6))</x:f>
        <x:v>#NAME?</x:v>
      </x:c>
      <x:c r="H528" s="27" t="e">
        <x:f>IF($A528="","",IF(발령대장_설정!$B$7="","",발령대장_설정!$B$7))</x:f>
        <x:v>#NAME?</x:v>
      </x:c>
      <x:c r="I528" s="27" t="e">
        <x:f>IF($A528="","",IF(발령대장_설정!$B$8="","",발령대장_설정!$B$8))</x:f>
        <x:v>#NAME?</x:v>
      </x:c>
      <x:c r="J528" s="27" t="str">
        <x:f>""</x:f>
      </x:c>
    </x:row>
    <x:row r="529" ht="42" customHeight="1">
      <x:c r="A529" s="47" t="e">
        <x:f>IF(AND(대장!A264&lt;&gt;"",ISNUMBER(대장!F264),OR(대장!G264="",AND(ISNUMBER(대장!G264),대장!G264&gt;=대장!F264))),대장!F264,"")</x:f>
        <x:v>#NAME?</x:v>
      </x:c>
      <x:c r="B529" s="27" t="e">
        <x:f>IF($A529="","",IF(발령대장_설정!$B$4="","",발령대장_설정!$B$4))</x:f>
        <x:v>#NAME?</x:v>
      </x:c>
      <x:c r="C529" s="27" t="e">
        <x:f>IF($A529="","",대장!D264)</x:f>
        <x:v>#NAME?</x:v>
      </x:c>
      <x:c r="D529" s="27" t="e">
        <x:f>IF($A529="","",대장!A264)</x:f>
        <x:v>#NAME?</x:v>
      </x:c>
      <x:c r="E529" s="27" t="e">
        <x:f>IF($A529="","",IF(대장!J264&lt;&gt;"",대장!J264,대장!D264&amp;"에 임함"&amp;IF(대장!E264="","",CHAR(10)&amp;"고용형태: "&amp;대장!E264)&amp;IF(대장!I264="","",CHAR(10)&amp;"소정근로시간: "&amp;대장!I264)&amp;CHAR(10)&amp;"근로기간: "&amp;YEAR(대장!F264)&amp;"."&amp;MONTH(대장!F264)&amp;"."&amp;DAY(대장!F264)&amp;"."&amp;" ~ "&amp;IF(ISNUMBER(대장!G264),YEAR(대장!G264)&amp;"."&amp;MONTH(대장!G264)&amp;"."&amp;DAY(대장!G264)&amp;".","재직 중")))</x:f>
        <x:v>#NAME?</x:v>
      </x:c>
      <x:c r="F529" s="27" t="e">
        <x:f>IF($A529="","",IF(발령대장_설정!$B$5="","",발령대장_설정!$B$5))</x:f>
        <x:v>#NAME?</x:v>
      </x:c>
      <x:c r="G529" s="27" t="e">
        <x:f>IF($A529="","",IF(발령대장_설정!$B$6="","",발령대장_설정!$B$6))</x:f>
        <x:v>#NAME?</x:v>
      </x:c>
      <x:c r="H529" s="27" t="e">
        <x:f>IF($A529="","",IF(발령대장_설정!$B$7="","",발령대장_설정!$B$7))</x:f>
        <x:v>#NAME?</x:v>
      </x:c>
      <x:c r="I529" s="27" t="e">
        <x:f>IF($A529="","",IF(발령대장_설정!$B$8="","",발령대장_설정!$B$8))</x:f>
        <x:v>#NAME?</x:v>
      </x:c>
      <x:c r="J529" s="27" t="e">
        <x:f>IF($A529="","",IF(대장!K264="","",대장!K264))</x:f>
        <x:v>#NAME?</x:v>
      </x:c>
    </x:row>
    <x:row r="530" ht="42" customHeight="1">
      <x:c r="A530" s="47" t="e">
        <x:f>IF(AND(대장!A264&lt;&gt;"",ISNUMBER(대장!F264),ISNUMBER(대장!G264),대장!G264&gt;=대장!F264,대장!H264&lt;&gt;""),대장!G264,"")</x:f>
        <x:v>#NAME?</x:v>
      </x:c>
      <x:c r="B530" s="27" t="e">
        <x:f>IF($A530="","",IF(발령대장_설정!$B$4="","",발령대장_설정!$B$4))</x:f>
        <x:v>#NAME?</x:v>
      </x:c>
      <x:c r="C530" s="27" t="e">
        <x:f>IF($A530="","",대장!D264)</x:f>
        <x:v>#NAME?</x:v>
      </x:c>
      <x:c r="D530" s="27" t="e">
        <x:f>IF($A530="","",대장!A264)</x:f>
        <x:v>#NAME?</x:v>
      </x:c>
      <x:c r="E530" s="27" t="e">
        <x:f>IF($A530="","",IF(OR(ISNUMBER(SEARCH("계약만료",대장!H264&amp;"")),ISNUMBER(SEARCH("기간만료",대장!H264&amp;""))),"계약기간 만료로 퇴직",IF(ISNUMBER(SEARCH("의원면직",대장!H264&amp;"")),"의원면직",IF(ISNUMBER(SEARCH("정년퇴직",대장!H264&amp;"")),"정년퇴직",대장!H264))))</x:f>
        <x:v>#NAME?</x:v>
      </x:c>
      <x:c r="F530" s="27" t="e">
        <x:f>IF($A530="","",IF(발령대장_설정!$B$5="","",발령대장_설정!$B$5))</x:f>
        <x:v>#NAME?</x:v>
      </x:c>
      <x:c r="G530" s="27" t="e">
        <x:f>IF($A530="","",IF(발령대장_설정!$B$6="","",발령대장_설정!$B$6))</x:f>
        <x:v>#NAME?</x:v>
      </x:c>
      <x:c r="H530" s="27" t="e">
        <x:f>IF($A530="","",IF(발령대장_설정!$B$7="","",발령대장_설정!$B$7))</x:f>
        <x:v>#NAME?</x:v>
      </x:c>
      <x:c r="I530" s="27" t="e">
        <x:f>IF($A530="","",IF(발령대장_설정!$B$8="","",발령대장_설정!$B$8))</x:f>
        <x:v>#NAME?</x:v>
      </x:c>
      <x:c r="J530" s="27" t="str">
        <x:f>""</x:f>
      </x:c>
    </x:row>
    <x:row r="531" ht="42" customHeight="1">
      <x:c r="A531" s="47" t="e">
        <x:f>IF(AND(대장!A265&lt;&gt;"",ISNUMBER(대장!F265),OR(대장!G265="",AND(ISNUMBER(대장!G265),대장!G265&gt;=대장!F265))),대장!F265,"")</x:f>
        <x:v>#NAME?</x:v>
      </x:c>
      <x:c r="B531" s="27" t="e">
        <x:f>IF($A531="","",IF(발령대장_설정!$B$4="","",발령대장_설정!$B$4))</x:f>
        <x:v>#NAME?</x:v>
      </x:c>
      <x:c r="C531" s="27" t="e">
        <x:f>IF($A531="","",대장!D265)</x:f>
        <x:v>#NAME?</x:v>
      </x:c>
      <x:c r="D531" s="27" t="e">
        <x:f>IF($A531="","",대장!A265)</x:f>
        <x:v>#NAME?</x:v>
      </x:c>
      <x:c r="E531" s="27" t="e">
        <x:f>IF($A531="","",IF(대장!J265&lt;&gt;"",대장!J265,대장!D265&amp;"에 임함"&amp;IF(대장!E265="","",CHAR(10)&amp;"고용형태: "&amp;대장!E265)&amp;IF(대장!I265="","",CHAR(10)&amp;"소정근로시간: "&amp;대장!I265)&amp;CHAR(10)&amp;"근로기간: "&amp;YEAR(대장!F265)&amp;"."&amp;MONTH(대장!F265)&amp;"."&amp;DAY(대장!F265)&amp;"."&amp;" ~ "&amp;IF(ISNUMBER(대장!G265),YEAR(대장!G265)&amp;"."&amp;MONTH(대장!G265)&amp;"."&amp;DAY(대장!G265)&amp;".","재직 중")))</x:f>
        <x:v>#NAME?</x:v>
      </x:c>
      <x:c r="F531" s="27" t="e">
        <x:f>IF($A531="","",IF(발령대장_설정!$B$5="","",발령대장_설정!$B$5))</x:f>
        <x:v>#NAME?</x:v>
      </x:c>
      <x:c r="G531" s="27" t="e">
        <x:f>IF($A531="","",IF(발령대장_설정!$B$6="","",발령대장_설정!$B$6))</x:f>
        <x:v>#NAME?</x:v>
      </x:c>
      <x:c r="H531" s="27" t="e">
        <x:f>IF($A531="","",IF(발령대장_설정!$B$7="","",발령대장_설정!$B$7))</x:f>
        <x:v>#NAME?</x:v>
      </x:c>
      <x:c r="I531" s="27" t="e">
        <x:f>IF($A531="","",IF(발령대장_설정!$B$8="","",발령대장_설정!$B$8))</x:f>
        <x:v>#NAME?</x:v>
      </x:c>
      <x:c r="J531" s="27" t="e">
        <x:f>IF($A531="","",IF(대장!K265="","",대장!K265))</x:f>
        <x:v>#NAME?</x:v>
      </x:c>
    </x:row>
    <x:row r="532" ht="42" customHeight="1">
      <x:c r="A532" s="47" t="e">
        <x:f>IF(AND(대장!A265&lt;&gt;"",ISNUMBER(대장!F265),ISNUMBER(대장!G265),대장!G265&gt;=대장!F265,대장!H265&lt;&gt;""),대장!G265,"")</x:f>
        <x:v>#NAME?</x:v>
      </x:c>
      <x:c r="B532" s="27" t="e">
        <x:f>IF($A532="","",IF(발령대장_설정!$B$4="","",발령대장_설정!$B$4))</x:f>
        <x:v>#NAME?</x:v>
      </x:c>
      <x:c r="C532" s="27" t="e">
        <x:f>IF($A532="","",대장!D265)</x:f>
        <x:v>#NAME?</x:v>
      </x:c>
      <x:c r="D532" s="27" t="e">
        <x:f>IF($A532="","",대장!A265)</x:f>
        <x:v>#NAME?</x:v>
      </x:c>
      <x:c r="E532" s="27" t="e">
        <x:f>IF($A532="","",IF(OR(ISNUMBER(SEARCH("계약만료",대장!H265&amp;"")),ISNUMBER(SEARCH("기간만료",대장!H265&amp;""))),"계약기간 만료로 퇴직",IF(ISNUMBER(SEARCH("의원면직",대장!H265&amp;"")),"의원면직",IF(ISNUMBER(SEARCH("정년퇴직",대장!H265&amp;"")),"정년퇴직",대장!H265))))</x:f>
        <x:v>#NAME?</x:v>
      </x:c>
      <x:c r="F532" s="27" t="e">
        <x:f>IF($A532="","",IF(발령대장_설정!$B$5="","",발령대장_설정!$B$5))</x:f>
        <x:v>#NAME?</x:v>
      </x:c>
      <x:c r="G532" s="27" t="e">
        <x:f>IF($A532="","",IF(발령대장_설정!$B$6="","",발령대장_설정!$B$6))</x:f>
        <x:v>#NAME?</x:v>
      </x:c>
      <x:c r="H532" s="27" t="e">
        <x:f>IF($A532="","",IF(발령대장_설정!$B$7="","",발령대장_설정!$B$7))</x:f>
        <x:v>#NAME?</x:v>
      </x:c>
      <x:c r="I532" s="27" t="e">
        <x:f>IF($A532="","",IF(발령대장_설정!$B$8="","",발령대장_설정!$B$8))</x:f>
        <x:v>#NAME?</x:v>
      </x:c>
      <x:c r="J532" s="27" t="str">
        <x:f>""</x:f>
      </x:c>
    </x:row>
    <x:row r="533" ht="42" customHeight="1">
      <x:c r="A533" s="47" t="e">
        <x:f>IF(AND(대장!A266&lt;&gt;"",ISNUMBER(대장!F266),OR(대장!G266="",AND(ISNUMBER(대장!G266),대장!G266&gt;=대장!F266))),대장!F266,"")</x:f>
        <x:v>#NAME?</x:v>
      </x:c>
      <x:c r="B533" s="27" t="e">
        <x:f>IF($A533="","",IF(발령대장_설정!$B$4="","",발령대장_설정!$B$4))</x:f>
        <x:v>#NAME?</x:v>
      </x:c>
      <x:c r="C533" s="27" t="e">
        <x:f>IF($A533="","",대장!D266)</x:f>
        <x:v>#NAME?</x:v>
      </x:c>
      <x:c r="D533" s="27" t="e">
        <x:f>IF($A533="","",대장!A266)</x:f>
        <x:v>#NAME?</x:v>
      </x:c>
      <x:c r="E533" s="27" t="e">
        <x:f>IF($A533="","",IF(대장!J266&lt;&gt;"",대장!J266,대장!D266&amp;"에 임함"&amp;IF(대장!E266="","",CHAR(10)&amp;"고용형태: "&amp;대장!E266)&amp;IF(대장!I266="","",CHAR(10)&amp;"소정근로시간: "&amp;대장!I266)&amp;CHAR(10)&amp;"근로기간: "&amp;YEAR(대장!F266)&amp;"."&amp;MONTH(대장!F266)&amp;"."&amp;DAY(대장!F266)&amp;"."&amp;" ~ "&amp;IF(ISNUMBER(대장!G266),YEAR(대장!G266)&amp;"."&amp;MONTH(대장!G266)&amp;"."&amp;DAY(대장!G266)&amp;".","재직 중")))</x:f>
        <x:v>#NAME?</x:v>
      </x:c>
      <x:c r="F533" s="27" t="e">
        <x:f>IF($A533="","",IF(발령대장_설정!$B$5="","",발령대장_설정!$B$5))</x:f>
        <x:v>#NAME?</x:v>
      </x:c>
      <x:c r="G533" s="27" t="e">
        <x:f>IF($A533="","",IF(발령대장_설정!$B$6="","",발령대장_설정!$B$6))</x:f>
        <x:v>#NAME?</x:v>
      </x:c>
      <x:c r="H533" s="27" t="e">
        <x:f>IF($A533="","",IF(발령대장_설정!$B$7="","",발령대장_설정!$B$7))</x:f>
        <x:v>#NAME?</x:v>
      </x:c>
      <x:c r="I533" s="27" t="e">
        <x:f>IF($A533="","",IF(발령대장_설정!$B$8="","",발령대장_설정!$B$8))</x:f>
        <x:v>#NAME?</x:v>
      </x:c>
      <x:c r="J533" s="27" t="e">
        <x:f>IF($A533="","",IF(대장!K266="","",대장!K266))</x:f>
        <x:v>#NAME?</x:v>
      </x:c>
    </x:row>
    <x:row r="534" ht="42" customHeight="1">
      <x:c r="A534" s="47" t="e">
        <x:f>IF(AND(대장!A266&lt;&gt;"",ISNUMBER(대장!F266),ISNUMBER(대장!G266),대장!G266&gt;=대장!F266,대장!H266&lt;&gt;""),대장!G266,"")</x:f>
        <x:v>#NAME?</x:v>
      </x:c>
      <x:c r="B534" s="27" t="e">
        <x:f>IF($A534="","",IF(발령대장_설정!$B$4="","",발령대장_설정!$B$4))</x:f>
        <x:v>#NAME?</x:v>
      </x:c>
      <x:c r="C534" s="27" t="e">
        <x:f>IF($A534="","",대장!D266)</x:f>
        <x:v>#NAME?</x:v>
      </x:c>
      <x:c r="D534" s="27" t="e">
        <x:f>IF($A534="","",대장!A266)</x:f>
        <x:v>#NAME?</x:v>
      </x:c>
      <x:c r="E534" s="27" t="e">
        <x:f>IF($A534="","",IF(OR(ISNUMBER(SEARCH("계약만료",대장!H266&amp;"")),ISNUMBER(SEARCH("기간만료",대장!H266&amp;""))),"계약기간 만료로 퇴직",IF(ISNUMBER(SEARCH("의원면직",대장!H266&amp;"")),"의원면직",IF(ISNUMBER(SEARCH("정년퇴직",대장!H266&amp;"")),"정년퇴직",대장!H266))))</x:f>
        <x:v>#NAME?</x:v>
      </x:c>
      <x:c r="F534" s="27" t="e">
        <x:f>IF($A534="","",IF(발령대장_설정!$B$5="","",발령대장_설정!$B$5))</x:f>
        <x:v>#NAME?</x:v>
      </x:c>
      <x:c r="G534" s="27" t="e">
        <x:f>IF($A534="","",IF(발령대장_설정!$B$6="","",발령대장_설정!$B$6))</x:f>
        <x:v>#NAME?</x:v>
      </x:c>
      <x:c r="H534" s="27" t="e">
        <x:f>IF($A534="","",IF(발령대장_설정!$B$7="","",발령대장_설정!$B$7))</x:f>
        <x:v>#NAME?</x:v>
      </x:c>
      <x:c r="I534" s="27" t="e">
        <x:f>IF($A534="","",IF(발령대장_설정!$B$8="","",발령대장_설정!$B$8))</x:f>
        <x:v>#NAME?</x:v>
      </x:c>
      <x:c r="J534" s="27" t="str">
        <x:f>""</x:f>
      </x:c>
    </x:row>
    <x:row r="535" ht="42" customHeight="1">
      <x:c r="A535" s="47" t="e">
        <x:f>IF(AND(대장!A267&lt;&gt;"",ISNUMBER(대장!F267),OR(대장!G267="",AND(ISNUMBER(대장!G267),대장!G267&gt;=대장!F267))),대장!F267,"")</x:f>
        <x:v>#NAME?</x:v>
      </x:c>
      <x:c r="B535" s="27" t="e">
        <x:f>IF($A535="","",IF(발령대장_설정!$B$4="","",발령대장_설정!$B$4))</x:f>
        <x:v>#NAME?</x:v>
      </x:c>
      <x:c r="C535" s="27" t="e">
        <x:f>IF($A535="","",대장!D267)</x:f>
        <x:v>#NAME?</x:v>
      </x:c>
      <x:c r="D535" s="27" t="e">
        <x:f>IF($A535="","",대장!A267)</x:f>
        <x:v>#NAME?</x:v>
      </x:c>
      <x:c r="E535" s="27" t="e">
        <x:f>IF($A535="","",IF(대장!J267&lt;&gt;"",대장!J267,대장!D267&amp;"에 임함"&amp;IF(대장!E267="","",CHAR(10)&amp;"고용형태: "&amp;대장!E267)&amp;IF(대장!I267="","",CHAR(10)&amp;"소정근로시간: "&amp;대장!I267)&amp;CHAR(10)&amp;"근로기간: "&amp;YEAR(대장!F267)&amp;"."&amp;MONTH(대장!F267)&amp;"."&amp;DAY(대장!F267)&amp;"."&amp;" ~ "&amp;IF(ISNUMBER(대장!G267),YEAR(대장!G267)&amp;"."&amp;MONTH(대장!G267)&amp;"."&amp;DAY(대장!G267)&amp;".","재직 중")))</x:f>
        <x:v>#NAME?</x:v>
      </x:c>
      <x:c r="F535" s="27" t="e">
        <x:f>IF($A535="","",IF(발령대장_설정!$B$5="","",발령대장_설정!$B$5))</x:f>
        <x:v>#NAME?</x:v>
      </x:c>
      <x:c r="G535" s="27" t="e">
        <x:f>IF($A535="","",IF(발령대장_설정!$B$6="","",발령대장_설정!$B$6))</x:f>
        <x:v>#NAME?</x:v>
      </x:c>
      <x:c r="H535" s="27" t="e">
        <x:f>IF($A535="","",IF(발령대장_설정!$B$7="","",발령대장_설정!$B$7))</x:f>
        <x:v>#NAME?</x:v>
      </x:c>
      <x:c r="I535" s="27" t="e">
        <x:f>IF($A535="","",IF(발령대장_설정!$B$8="","",발령대장_설정!$B$8))</x:f>
        <x:v>#NAME?</x:v>
      </x:c>
      <x:c r="J535" s="27" t="e">
        <x:f>IF($A535="","",IF(대장!K267="","",대장!K267))</x:f>
        <x:v>#NAME?</x:v>
      </x:c>
    </x:row>
    <x:row r="536" ht="42" customHeight="1">
      <x:c r="A536" s="47" t="e">
        <x:f>IF(AND(대장!A267&lt;&gt;"",ISNUMBER(대장!F267),ISNUMBER(대장!G267),대장!G267&gt;=대장!F267,대장!H267&lt;&gt;""),대장!G267,"")</x:f>
        <x:v>#NAME?</x:v>
      </x:c>
      <x:c r="B536" s="27" t="e">
        <x:f>IF($A536="","",IF(발령대장_설정!$B$4="","",발령대장_설정!$B$4))</x:f>
        <x:v>#NAME?</x:v>
      </x:c>
      <x:c r="C536" s="27" t="e">
        <x:f>IF($A536="","",대장!D267)</x:f>
        <x:v>#NAME?</x:v>
      </x:c>
      <x:c r="D536" s="27" t="e">
        <x:f>IF($A536="","",대장!A267)</x:f>
        <x:v>#NAME?</x:v>
      </x:c>
      <x:c r="E536" s="27" t="e">
        <x:f>IF($A536="","",IF(OR(ISNUMBER(SEARCH("계약만료",대장!H267&amp;"")),ISNUMBER(SEARCH("기간만료",대장!H267&amp;""))),"계약기간 만료로 퇴직",IF(ISNUMBER(SEARCH("의원면직",대장!H267&amp;"")),"의원면직",IF(ISNUMBER(SEARCH("정년퇴직",대장!H267&amp;"")),"정년퇴직",대장!H267))))</x:f>
        <x:v>#NAME?</x:v>
      </x:c>
      <x:c r="F536" s="27" t="e">
        <x:f>IF($A536="","",IF(발령대장_설정!$B$5="","",발령대장_설정!$B$5))</x:f>
        <x:v>#NAME?</x:v>
      </x:c>
      <x:c r="G536" s="27" t="e">
        <x:f>IF($A536="","",IF(발령대장_설정!$B$6="","",발령대장_설정!$B$6))</x:f>
        <x:v>#NAME?</x:v>
      </x:c>
      <x:c r="H536" s="27" t="e">
        <x:f>IF($A536="","",IF(발령대장_설정!$B$7="","",발령대장_설정!$B$7))</x:f>
        <x:v>#NAME?</x:v>
      </x:c>
      <x:c r="I536" s="27" t="e">
        <x:f>IF($A536="","",IF(발령대장_설정!$B$8="","",발령대장_설정!$B$8))</x:f>
        <x:v>#NAME?</x:v>
      </x:c>
      <x:c r="J536" s="27" t="str">
        <x:f>""</x:f>
      </x:c>
    </x:row>
    <x:row r="537" ht="42" customHeight="1">
      <x:c r="A537" s="47" t="e">
        <x:f>IF(AND(대장!A268&lt;&gt;"",ISNUMBER(대장!F268),OR(대장!G268="",AND(ISNUMBER(대장!G268),대장!G268&gt;=대장!F268))),대장!F268,"")</x:f>
        <x:v>#NAME?</x:v>
      </x:c>
      <x:c r="B537" s="27" t="e">
        <x:f>IF($A537="","",IF(발령대장_설정!$B$4="","",발령대장_설정!$B$4))</x:f>
        <x:v>#NAME?</x:v>
      </x:c>
      <x:c r="C537" s="27" t="e">
        <x:f>IF($A537="","",대장!D268)</x:f>
        <x:v>#NAME?</x:v>
      </x:c>
      <x:c r="D537" s="27" t="e">
        <x:f>IF($A537="","",대장!A268)</x:f>
        <x:v>#NAME?</x:v>
      </x:c>
      <x:c r="E537" s="27" t="e">
        <x:f>IF($A537="","",IF(대장!J268&lt;&gt;"",대장!J268,대장!D268&amp;"에 임함"&amp;IF(대장!E268="","",CHAR(10)&amp;"고용형태: "&amp;대장!E268)&amp;IF(대장!I268="","",CHAR(10)&amp;"소정근로시간: "&amp;대장!I268)&amp;CHAR(10)&amp;"근로기간: "&amp;YEAR(대장!F268)&amp;"."&amp;MONTH(대장!F268)&amp;"."&amp;DAY(대장!F268)&amp;"."&amp;" ~ "&amp;IF(ISNUMBER(대장!G268),YEAR(대장!G268)&amp;"."&amp;MONTH(대장!G268)&amp;"."&amp;DAY(대장!G268)&amp;".","재직 중")))</x:f>
        <x:v>#NAME?</x:v>
      </x:c>
      <x:c r="F537" s="27" t="e">
        <x:f>IF($A537="","",IF(발령대장_설정!$B$5="","",발령대장_설정!$B$5))</x:f>
        <x:v>#NAME?</x:v>
      </x:c>
      <x:c r="G537" s="27" t="e">
        <x:f>IF($A537="","",IF(발령대장_설정!$B$6="","",발령대장_설정!$B$6))</x:f>
        <x:v>#NAME?</x:v>
      </x:c>
      <x:c r="H537" s="27" t="e">
        <x:f>IF($A537="","",IF(발령대장_설정!$B$7="","",발령대장_설정!$B$7))</x:f>
        <x:v>#NAME?</x:v>
      </x:c>
      <x:c r="I537" s="27" t="e">
        <x:f>IF($A537="","",IF(발령대장_설정!$B$8="","",발령대장_설정!$B$8))</x:f>
        <x:v>#NAME?</x:v>
      </x:c>
      <x:c r="J537" s="27" t="e">
        <x:f>IF($A537="","",IF(대장!K268="","",대장!K268))</x:f>
        <x:v>#NAME?</x:v>
      </x:c>
    </x:row>
    <x:row r="538" ht="42" customHeight="1">
      <x:c r="A538" s="47" t="e">
        <x:f>IF(AND(대장!A268&lt;&gt;"",ISNUMBER(대장!F268),ISNUMBER(대장!G268),대장!G268&gt;=대장!F268,대장!H268&lt;&gt;""),대장!G268,"")</x:f>
        <x:v>#NAME?</x:v>
      </x:c>
      <x:c r="B538" s="27" t="e">
        <x:f>IF($A538="","",IF(발령대장_설정!$B$4="","",발령대장_설정!$B$4))</x:f>
        <x:v>#NAME?</x:v>
      </x:c>
      <x:c r="C538" s="27" t="e">
        <x:f>IF($A538="","",대장!D268)</x:f>
        <x:v>#NAME?</x:v>
      </x:c>
      <x:c r="D538" s="27" t="e">
        <x:f>IF($A538="","",대장!A268)</x:f>
        <x:v>#NAME?</x:v>
      </x:c>
      <x:c r="E538" s="27" t="e">
        <x:f>IF($A538="","",IF(OR(ISNUMBER(SEARCH("계약만료",대장!H268&amp;"")),ISNUMBER(SEARCH("기간만료",대장!H268&amp;""))),"계약기간 만료로 퇴직",IF(ISNUMBER(SEARCH("의원면직",대장!H268&amp;"")),"의원면직",IF(ISNUMBER(SEARCH("정년퇴직",대장!H268&amp;"")),"정년퇴직",대장!H268))))</x:f>
        <x:v>#NAME?</x:v>
      </x:c>
      <x:c r="F538" s="27" t="e">
        <x:f>IF($A538="","",IF(발령대장_설정!$B$5="","",발령대장_설정!$B$5))</x:f>
        <x:v>#NAME?</x:v>
      </x:c>
      <x:c r="G538" s="27" t="e">
        <x:f>IF($A538="","",IF(발령대장_설정!$B$6="","",발령대장_설정!$B$6))</x:f>
        <x:v>#NAME?</x:v>
      </x:c>
      <x:c r="H538" s="27" t="e">
        <x:f>IF($A538="","",IF(발령대장_설정!$B$7="","",발령대장_설정!$B$7))</x:f>
        <x:v>#NAME?</x:v>
      </x:c>
      <x:c r="I538" s="27" t="e">
        <x:f>IF($A538="","",IF(발령대장_설정!$B$8="","",발령대장_설정!$B$8))</x:f>
        <x:v>#NAME?</x:v>
      </x:c>
      <x:c r="J538" s="27" t="str">
        <x:f>""</x:f>
      </x:c>
    </x:row>
    <x:row r="539" ht="42" customHeight="1">
      <x:c r="A539" s="47" t="e">
        <x:f>IF(AND(대장!A269&lt;&gt;"",ISNUMBER(대장!F269),OR(대장!G269="",AND(ISNUMBER(대장!G269),대장!G269&gt;=대장!F269))),대장!F269,"")</x:f>
        <x:v>#NAME?</x:v>
      </x:c>
      <x:c r="B539" s="27" t="e">
        <x:f>IF($A539="","",IF(발령대장_설정!$B$4="","",발령대장_설정!$B$4))</x:f>
        <x:v>#NAME?</x:v>
      </x:c>
      <x:c r="C539" s="27" t="e">
        <x:f>IF($A539="","",대장!D269)</x:f>
        <x:v>#NAME?</x:v>
      </x:c>
      <x:c r="D539" s="27" t="e">
        <x:f>IF($A539="","",대장!A269)</x:f>
        <x:v>#NAME?</x:v>
      </x:c>
      <x:c r="E539" s="27" t="e">
        <x:f>IF($A539="","",IF(대장!J269&lt;&gt;"",대장!J269,대장!D269&amp;"에 임함"&amp;IF(대장!E269="","",CHAR(10)&amp;"고용형태: "&amp;대장!E269)&amp;IF(대장!I269="","",CHAR(10)&amp;"소정근로시간: "&amp;대장!I269)&amp;CHAR(10)&amp;"근로기간: "&amp;YEAR(대장!F269)&amp;"."&amp;MONTH(대장!F269)&amp;"."&amp;DAY(대장!F269)&amp;"."&amp;" ~ "&amp;IF(ISNUMBER(대장!G269),YEAR(대장!G269)&amp;"."&amp;MONTH(대장!G269)&amp;"."&amp;DAY(대장!G269)&amp;".","재직 중")))</x:f>
        <x:v>#NAME?</x:v>
      </x:c>
      <x:c r="F539" s="27" t="e">
        <x:f>IF($A539="","",IF(발령대장_설정!$B$5="","",발령대장_설정!$B$5))</x:f>
        <x:v>#NAME?</x:v>
      </x:c>
      <x:c r="G539" s="27" t="e">
        <x:f>IF($A539="","",IF(발령대장_설정!$B$6="","",발령대장_설정!$B$6))</x:f>
        <x:v>#NAME?</x:v>
      </x:c>
      <x:c r="H539" s="27" t="e">
        <x:f>IF($A539="","",IF(발령대장_설정!$B$7="","",발령대장_설정!$B$7))</x:f>
        <x:v>#NAME?</x:v>
      </x:c>
      <x:c r="I539" s="27" t="e">
        <x:f>IF($A539="","",IF(발령대장_설정!$B$8="","",발령대장_설정!$B$8))</x:f>
        <x:v>#NAME?</x:v>
      </x:c>
      <x:c r="J539" s="27" t="e">
        <x:f>IF($A539="","",IF(대장!K269="","",대장!K269))</x:f>
        <x:v>#NAME?</x:v>
      </x:c>
    </x:row>
    <x:row r="540" ht="42" customHeight="1">
      <x:c r="A540" s="47" t="e">
        <x:f>IF(AND(대장!A269&lt;&gt;"",ISNUMBER(대장!F269),ISNUMBER(대장!G269),대장!G269&gt;=대장!F269,대장!H269&lt;&gt;""),대장!G269,"")</x:f>
        <x:v>#NAME?</x:v>
      </x:c>
      <x:c r="B540" s="27" t="e">
        <x:f>IF($A540="","",IF(발령대장_설정!$B$4="","",발령대장_설정!$B$4))</x:f>
        <x:v>#NAME?</x:v>
      </x:c>
      <x:c r="C540" s="27" t="e">
        <x:f>IF($A540="","",대장!D269)</x:f>
        <x:v>#NAME?</x:v>
      </x:c>
      <x:c r="D540" s="27" t="e">
        <x:f>IF($A540="","",대장!A269)</x:f>
        <x:v>#NAME?</x:v>
      </x:c>
      <x:c r="E540" s="27" t="e">
        <x:f>IF($A540="","",IF(OR(ISNUMBER(SEARCH("계약만료",대장!H269&amp;"")),ISNUMBER(SEARCH("기간만료",대장!H269&amp;""))),"계약기간 만료로 퇴직",IF(ISNUMBER(SEARCH("의원면직",대장!H269&amp;"")),"의원면직",IF(ISNUMBER(SEARCH("정년퇴직",대장!H269&amp;"")),"정년퇴직",대장!H269))))</x:f>
        <x:v>#NAME?</x:v>
      </x:c>
      <x:c r="F540" s="27" t="e">
        <x:f>IF($A540="","",IF(발령대장_설정!$B$5="","",발령대장_설정!$B$5))</x:f>
        <x:v>#NAME?</x:v>
      </x:c>
      <x:c r="G540" s="27" t="e">
        <x:f>IF($A540="","",IF(발령대장_설정!$B$6="","",발령대장_설정!$B$6))</x:f>
        <x:v>#NAME?</x:v>
      </x:c>
      <x:c r="H540" s="27" t="e">
        <x:f>IF($A540="","",IF(발령대장_설정!$B$7="","",발령대장_설정!$B$7))</x:f>
        <x:v>#NAME?</x:v>
      </x:c>
      <x:c r="I540" s="27" t="e">
        <x:f>IF($A540="","",IF(발령대장_설정!$B$8="","",발령대장_설정!$B$8))</x:f>
        <x:v>#NAME?</x:v>
      </x:c>
      <x:c r="J540" s="27" t="str">
        <x:f>""</x:f>
      </x:c>
    </x:row>
    <x:row r="541" ht="42" customHeight="1">
      <x:c r="A541" s="47" t="e">
        <x:f>IF(AND(대장!A270&lt;&gt;"",ISNUMBER(대장!F270),OR(대장!G270="",AND(ISNUMBER(대장!G270),대장!G270&gt;=대장!F270))),대장!F270,"")</x:f>
        <x:v>#NAME?</x:v>
      </x:c>
      <x:c r="B541" s="27" t="e">
        <x:f>IF($A541="","",IF(발령대장_설정!$B$4="","",발령대장_설정!$B$4))</x:f>
        <x:v>#NAME?</x:v>
      </x:c>
      <x:c r="C541" s="27" t="e">
        <x:f>IF($A541="","",대장!D270)</x:f>
        <x:v>#NAME?</x:v>
      </x:c>
      <x:c r="D541" s="27" t="e">
        <x:f>IF($A541="","",대장!A270)</x:f>
        <x:v>#NAME?</x:v>
      </x:c>
      <x:c r="E541" s="27" t="e">
        <x:f>IF($A541="","",IF(대장!J270&lt;&gt;"",대장!J270,대장!D270&amp;"에 임함"&amp;IF(대장!E270="","",CHAR(10)&amp;"고용형태: "&amp;대장!E270)&amp;IF(대장!I270="","",CHAR(10)&amp;"소정근로시간: "&amp;대장!I270)&amp;CHAR(10)&amp;"근로기간: "&amp;YEAR(대장!F270)&amp;"."&amp;MONTH(대장!F270)&amp;"."&amp;DAY(대장!F270)&amp;"."&amp;" ~ "&amp;IF(ISNUMBER(대장!G270),YEAR(대장!G270)&amp;"."&amp;MONTH(대장!G270)&amp;"."&amp;DAY(대장!G270)&amp;".","재직 중")))</x:f>
        <x:v>#NAME?</x:v>
      </x:c>
      <x:c r="F541" s="27" t="e">
        <x:f>IF($A541="","",IF(발령대장_설정!$B$5="","",발령대장_설정!$B$5))</x:f>
        <x:v>#NAME?</x:v>
      </x:c>
      <x:c r="G541" s="27" t="e">
        <x:f>IF($A541="","",IF(발령대장_설정!$B$6="","",발령대장_설정!$B$6))</x:f>
        <x:v>#NAME?</x:v>
      </x:c>
      <x:c r="H541" s="27" t="e">
        <x:f>IF($A541="","",IF(발령대장_설정!$B$7="","",발령대장_설정!$B$7))</x:f>
        <x:v>#NAME?</x:v>
      </x:c>
      <x:c r="I541" s="27" t="e">
        <x:f>IF($A541="","",IF(발령대장_설정!$B$8="","",발령대장_설정!$B$8))</x:f>
        <x:v>#NAME?</x:v>
      </x:c>
      <x:c r="J541" s="27" t="e">
        <x:f>IF($A541="","",IF(대장!K270="","",대장!K270))</x:f>
        <x:v>#NAME?</x:v>
      </x:c>
    </x:row>
    <x:row r="542" ht="42" customHeight="1">
      <x:c r="A542" s="47" t="e">
        <x:f>IF(AND(대장!A270&lt;&gt;"",ISNUMBER(대장!F270),ISNUMBER(대장!G270),대장!G270&gt;=대장!F270,대장!H270&lt;&gt;""),대장!G270,"")</x:f>
        <x:v>#NAME?</x:v>
      </x:c>
      <x:c r="B542" s="27" t="e">
        <x:f>IF($A542="","",IF(발령대장_설정!$B$4="","",발령대장_설정!$B$4))</x:f>
        <x:v>#NAME?</x:v>
      </x:c>
      <x:c r="C542" s="27" t="e">
        <x:f>IF($A542="","",대장!D270)</x:f>
        <x:v>#NAME?</x:v>
      </x:c>
      <x:c r="D542" s="27" t="e">
        <x:f>IF($A542="","",대장!A270)</x:f>
        <x:v>#NAME?</x:v>
      </x:c>
      <x:c r="E542" s="27" t="e">
        <x:f>IF($A542="","",IF(OR(ISNUMBER(SEARCH("계약만료",대장!H270&amp;"")),ISNUMBER(SEARCH("기간만료",대장!H270&amp;""))),"계약기간 만료로 퇴직",IF(ISNUMBER(SEARCH("의원면직",대장!H270&amp;"")),"의원면직",IF(ISNUMBER(SEARCH("정년퇴직",대장!H270&amp;"")),"정년퇴직",대장!H270))))</x:f>
        <x:v>#NAME?</x:v>
      </x:c>
      <x:c r="F542" s="27" t="e">
        <x:f>IF($A542="","",IF(발령대장_설정!$B$5="","",발령대장_설정!$B$5))</x:f>
        <x:v>#NAME?</x:v>
      </x:c>
      <x:c r="G542" s="27" t="e">
        <x:f>IF($A542="","",IF(발령대장_설정!$B$6="","",발령대장_설정!$B$6))</x:f>
        <x:v>#NAME?</x:v>
      </x:c>
      <x:c r="H542" s="27" t="e">
        <x:f>IF($A542="","",IF(발령대장_설정!$B$7="","",발령대장_설정!$B$7))</x:f>
        <x:v>#NAME?</x:v>
      </x:c>
      <x:c r="I542" s="27" t="e">
        <x:f>IF($A542="","",IF(발령대장_설정!$B$8="","",발령대장_설정!$B$8))</x:f>
        <x:v>#NAME?</x:v>
      </x:c>
      <x:c r="J542" s="27" t="str">
        <x:f>""</x:f>
      </x:c>
    </x:row>
    <x:row r="543" ht="42" customHeight="1">
      <x:c r="A543" s="47" t="e">
        <x:f>IF(AND(대장!A271&lt;&gt;"",ISNUMBER(대장!F271),OR(대장!G271="",AND(ISNUMBER(대장!G271),대장!G271&gt;=대장!F271))),대장!F271,"")</x:f>
        <x:v>#NAME?</x:v>
      </x:c>
      <x:c r="B543" s="27" t="e">
        <x:f>IF($A543="","",IF(발령대장_설정!$B$4="","",발령대장_설정!$B$4))</x:f>
        <x:v>#NAME?</x:v>
      </x:c>
      <x:c r="C543" s="27" t="e">
        <x:f>IF($A543="","",대장!D271)</x:f>
        <x:v>#NAME?</x:v>
      </x:c>
      <x:c r="D543" s="27" t="e">
        <x:f>IF($A543="","",대장!A271)</x:f>
        <x:v>#NAME?</x:v>
      </x:c>
      <x:c r="E543" s="27" t="e">
        <x:f>IF($A543="","",IF(대장!J271&lt;&gt;"",대장!J271,대장!D271&amp;"에 임함"&amp;IF(대장!E271="","",CHAR(10)&amp;"고용형태: "&amp;대장!E271)&amp;IF(대장!I271="","",CHAR(10)&amp;"소정근로시간: "&amp;대장!I271)&amp;CHAR(10)&amp;"근로기간: "&amp;YEAR(대장!F271)&amp;"."&amp;MONTH(대장!F271)&amp;"."&amp;DAY(대장!F271)&amp;"."&amp;" ~ "&amp;IF(ISNUMBER(대장!G271),YEAR(대장!G271)&amp;"."&amp;MONTH(대장!G271)&amp;"."&amp;DAY(대장!G271)&amp;".","재직 중")))</x:f>
        <x:v>#NAME?</x:v>
      </x:c>
      <x:c r="F543" s="27" t="e">
        <x:f>IF($A543="","",IF(발령대장_설정!$B$5="","",발령대장_설정!$B$5))</x:f>
        <x:v>#NAME?</x:v>
      </x:c>
      <x:c r="G543" s="27" t="e">
        <x:f>IF($A543="","",IF(발령대장_설정!$B$6="","",발령대장_설정!$B$6))</x:f>
        <x:v>#NAME?</x:v>
      </x:c>
      <x:c r="H543" s="27" t="e">
        <x:f>IF($A543="","",IF(발령대장_설정!$B$7="","",발령대장_설정!$B$7))</x:f>
        <x:v>#NAME?</x:v>
      </x:c>
      <x:c r="I543" s="27" t="e">
        <x:f>IF($A543="","",IF(발령대장_설정!$B$8="","",발령대장_설정!$B$8))</x:f>
        <x:v>#NAME?</x:v>
      </x:c>
      <x:c r="J543" s="27" t="e">
        <x:f>IF($A543="","",IF(대장!K271="","",대장!K271))</x:f>
        <x:v>#NAME?</x:v>
      </x:c>
    </x:row>
    <x:row r="544" ht="42" customHeight="1">
      <x:c r="A544" s="47" t="e">
        <x:f>IF(AND(대장!A271&lt;&gt;"",ISNUMBER(대장!F271),ISNUMBER(대장!G271),대장!G271&gt;=대장!F271,대장!H271&lt;&gt;""),대장!G271,"")</x:f>
        <x:v>#NAME?</x:v>
      </x:c>
      <x:c r="B544" s="27" t="e">
        <x:f>IF($A544="","",IF(발령대장_설정!$B$4="","",발령대장_설정!$B$4))</x:f>
        <x:v>#NAME?</x:v>
      </x:c>
      <x:c r="C544" s="27" t="e">
        <x:f>IF($A544="","",대장!D271)</x:f>
        <x:v>#NAME?</x:v>
      </x:c>
      <x:c r="D544" s="27" t="e">
        <x:f>IF($A544="","",대장!A271)</x:f>
        <x:v>#NAME?</x:v>
      </x:c>
      <x:c r="E544" s="27" t="e">
        <x:f>IF($A544="","",IF(OR(ISNUMBER(SEARCH("계약만료",대장!H271&amp;"")),ISNUMBER(SEARCH("기간만료",대장!H271&amp;""))),"계약기간 만료로 퇴직",IF(ISNUMBER(SEARCH("의원면직",대장!H271&amp;"")),"의원면직",IF(ISNUMBER(SEARCH("정년퇴직",대장!H271&amp;"")),"정년퇴직",대장!H271))))</x:f>
        <x:v>#NAME?</x:v>
      </x:c>
      <x:c r="F544" s="27" t="e">
        <x:f>IF($A544="","",IF(발령대장_설정!$B$5="","",발령대장_설정!$B$5))</x:f>
        <x:v>#NAME?</x:v>
      </x:c>
      <x:c r="G544" s="27" t="e">
        <x:f>IF($A544="","",IF(발령대장_설정!$B$6="","",발령대장_설정!$B$6))</x:f>
        <x:v>#NAME?</x:v>
      </x:c>
      <x:c r="H544" s="27" t="e">
        <x:f>IF($A544="","",IF(발령대장_설정!$B$7="","",발령대장_설정!$B$7))</x:f>
        <x:v>#NAME?</x:v>
      </x:c>
      <x:c r="I544" s="27" t="e">
        <x:f>IF($A544="","",IF(발령대장_설정!$B$8="","",발령대장_설정!$B$8))</x:f>
        <x:v>#NAME?</x:v>
      </x:c>
      <x:c r="J544" s="27" t="str">
        <x:f>""</x:f>
      </x:c>
    </x:row>
    <x:row r="545" ht="42" customHeight="1">
      <x:c r="A545" s="47" t="e">
        <x:f>IF(AND(대장!A272&lt;&gt;"",ISNUMBER(대장!F272),OR(대장!G272="",AND(ISNUMBER(대장!G272),대장!G272&gt;=대장!F272))),대장!F272,"")</x:f>
        <x:v>#NAME?</x:v>
      </x:c>
      <x:c r="B545" s="27" t="e">
        <x:f>IF($A545="","",IF(발령대장_설정!$B$4="","",발령대장_설정!$B$4))</x:f>
        <x:v>#NAME?</x:v>
      </x:c>
      <x:c r="C545" s="27" t="e">
        <x:f>IF($A545="","",대장!D272)</x:f>
        <x:v>#NAME?</x:v>
      </x:c>
      <x:c r="D545" s="27" t="e">
        <x:f>IF($A545="","",대장!A272)</x:f>
        <x:v>#NAME?</x:v>
      </x:c>
      <x:c r="E545" s="27" t="e">
        <x:f>IF($A545="","",IF(대장!J272&lt;&gt;"",대장!J272,대장!D272&amp;"에 임함"&amp;IF(대장!E272="","",CHAR(10)&amp;"고용형태: "&amp;대장!E272)&amp;IF(대장!I272="","",CHAR(10)&amp;"소정근로시간: "&amp;대장!I272)&amp;CHAR(10)&amp;"근로기간: "&amp;YEAR(대장!F272)&amp;"."&amp;MONTH(대장!F272)&amp;"."&amp;DAY(대장!F272)&amp;"."&amp;" ~ "&amp;IF(ISNUMBER(대장!G272),YEAR(대장!G272)&amp;"."&amp;MONTH(대장!G272)&amp;"."&amp;DAY(대장!G272)&amp;".","재직 중")))</x:f>
        <x:v>#NAME?</x:v>
      </x:c>
      <x:c r="F545" s="27" t="e">
        <x:f>IF($A545="","",IF(발령대장_설정!$B$5="","",발령대장_설정!$B$5))</x:f>
        <x:v>#NAME?</x:v>
      </x:c>
      <x:c r="G545" s="27" t="e">
        <x:f>IF($A545="","",IF(발령대장_설정!$B$6="","",발령대장_설정!$B$6))</x:f>
        <x:v>#NAME?</x:v>
      </x:c>
      <x:c r="H545" s="27" t="e">
        <x:f>IF($A545="","",IF(발령대장_설정!$B$7="","",발령대장_설정!$B$7))</x:f>
        <x:v>#NAME?</x:v>
      </x:c>
      <x:c r="I545" s="27" t="e">
        <x:f>IF($A545="","",IF(발령대장_설정!$B$8="","",발령대장_설정!$B$8))</x:f>
        <x:v>#NAME?</x:v>
      </x:c>
      <x:c r="J545" s="27" t="e">
        <x:f>IF($A545="","",IF(대장!K272="","",대장!K272))</x:f>
        <x:v>#NAME?</x:v>
      </x:c>
    </x:row>
    <x:row r="546" ht="42" customHeight="1">
      <x:c r="A546" s="47" t="e">
        <x:f>IF(AND(대장!A272&lt;&gt;"",ISNUMBER(대장!F272),ISNUMBER(대장!G272),대장!G272&gt;=대장!F272,대장!H272&lt;&gt;""),대장!G272,"")</x:f>
        <x:v>#NAME?</x:v>
      </x:c>
      <x:c r="B546" s="27" t="e">
        <x:f>IF($A546="","",IF(발령대장_설정!$B$4="","",발령대장_설정!$B$4))</x:f>
        <x:v>#NAME?</x:v>
      </x:c>
      <x:c r="C546" s="27" t="e">
        <x:f>IF($A546="","",대장!D272)</x:f>
        <x:v>#NAME?</x:v>
      </x:c>
      <x:c r="D546" s="27" t="e">
        <x:f>IF($A546="","",대장!A272)</x:f>
        <x:v>#NAME?</x:v>
      </x:c>
      <x:c r="E546" s="27" t="e">
        <x:f>IF($A546="","",IF(OR(ISNUMBER(SEARCH("계약만료",대장!H272&amp;"")),ISNUMBER(SEARCH("기간만료",대장!H272&amp;""))),"계약기간 만료로 퇴직",IF(ISNUMBER(SEARCH("의원면직",대장!H272&amp;"")),"의원면직",IF(ISNUMBER(SEARCH("정년퇴직",대장!H272&amp;"")),"정년퇴직",대장!H272))))</x:f>
        <x:v>#NAME?</x:v>
      </x:c>
      <x:c r="F546" s="27" t="e">
        <x:f>IF($A546="","",IF(발령대장_설정!$B$5="","",발령대장_설정!$B$5))</x:f>
        <x:v>#NAME?</x:v>
      </x:c>
      <x:c r="G546" s="27" t="e">
        <x:f>IF($A546="","",IF(발령대장_설정!$B$6="","",발령대장_설정!$B$6))</x:f>
        <x:v>#NAME?</x:v>
      </x:c>
      <x:c r="H546" s="27" t="e">
        <x:f>IF($A546="","",IF(발령대장_설정!$B$7="","",발령대장_설정!$B$7))</x:f>
        <x:v>#NAME?</x:v>
      </x:c>
      <x:c r="I546" s="27" t="e">
        <x:f>IF($A546="","",IF(발령대장_설정!$B$8="","",발령대장_설정!$B$8))</x:f>
        <x:v>#NAME?</x:v>
      </x:c>
      <x:c r="J546" s="27" t="str">
        <x:f>""</x:f>
      </x:c>
    </x:row>
    <x:row r="547" ht="42" customHeight="1">
      <x:c r="A547" s="47" t="e">
        <x:f>IF(AND(대장!A273&lt;&gt;"",ISNUMBER(대장!F273),OR(대장!G273="",AND(ISNUMBER(대장!G273),대장!G273&gt;=대장!F273))),대장!F273,"")</x:f>
        <x:v>#NAME?</x:v>
      </x:c>
      <x:c r="B547" s="27" t="e">
        <x:f>IF($A547="","",IF(발령대장_설정!$B$4="","",발령대장_설정!$B$4))</x:f>
        <x:v>#NAME?</x:v>
      </x:c>
      <x:c r="C547" s="27" t="e">
        <x:f>IF($A547="","",대장!D273)</x:f>
        <x:v>#NAME?</x:v>
      </x:c>
      <x:c r="D547" s="27" t="e">
        <x:f>IF($A547="","",대장!A273)</x:f>
        <x:v>#NAME?</x:v>
      </x:c>
      <x:c r="E547" s="27" t="e">
        <x:f>IF($A547="","",IF(대장!J273&lt;&gt;"",대장!J273,대장!D273&amp;"에 임함"&amp;IF(대장!E273="","",CHAR(10)&amp;"고용형태: "&amp;대장!E273)&amp;IF(대장!I273="","",CHAR(10)&amp;"소정근로시간: "&amp;대장!I273)&amp;CHAR(10)&amp;"근로기간: "&amp;YEAR(대장!F273)&amp;"."&amp;MONTH(대장!F273)&amp;"."&amp;DAY(대장!F273)&amp;"."&amp;" ~ "&amp;IF(ISNUMBER(대장!G273),YEAR(대장!G273)&amp;"."&amp;MONTH(대장!G273)&amp;"."&amp;DAY(대장!G273)&amp;".","재직 중")))</x:f>
        <x:v>#NAME?</x:v>
      </x:c>
      <x:c r="F547" s="27" t="e">
        <x:f>IF($A547="","",IF(발령대장_설정!$B$5="","",발령대장_설정!$B$5))</x:f>
        <x:v>#NAME?</x:v>
      </x:c>
      <x:c r="G547" s="27" t="e">
        <x:f>IF($A547="","",IF(발령대장_설정!$B$6="","",발령대장_설정!$B$6))</x:f>
        <x:v>#NAME?</x:v>
      </x:c>
      <x:c r="H547" s="27" t="e">
        <x:f>IF($A547="","",IF(발령대장_설정!$B$7="","",발령대장_설정!$B$7))</x:f>
        <x:v>#NAME?</x:v>
      </x:c>
      <x:c r="I547" s="27" t="e">
        <x:f>IF($A547="","",IF(발령대장_설정!$B$8="","",발령대장_설정!$B$8))</x:f>
        <x:v>#NAME?</x:v>
      </x:c>
      <x:c r="J547" s="27" t="e">
        <x:f>IF($A547="","",IF(대장!K273="","",대장!K273))</x:f>
        <x:v>#NAME?</x:v>
      </x:c>
    </x:row>
    <x:row r="548" ht="42" customHeight="1">
      <x:c r="A548" s="47" t="e">
        <x:f>IF(AND(대장!A273&lt;&gt;"",ISNUMBER(대장!F273),ISNUMBER(대장!G273),대장!G273&gt;=대장!F273,대장!H273&lt;&gt;""),대장!G273,"")</x:f>
        <x:v>#NAME?</x:v>
      </x:c>
      <x:c r="B548" s="27" t="e">
        <x:f>IF($A548="","",IF(발령대장_설정!$B$4="","",발령대장_설정!$B$4))</x:f>
        <x:v>#NAME?</x:v>
      </x:c>
      <x:c r="C548" s="27" t="e">
        <x:f>IF($A548="","",대장!D273)</x:f>
        <x:v>#NAME?</x:v>
      </x:c>
      <x:c r="D548" s="27" t="e">
        <x:f>IF($A548="","",대장!A273)</x:f>
        <x:v>#NAME?</x:v>
      </x:c>
      <x:c r="E548" s="27" t="e">
        <x:f>IF($A548="","",IF(OR(ISNUMBER(SEARCH("계약만료",대장!H273&amp;"")),ISNUMBER(SEARCH("기간만료",대장!H273&amp;""))),"계약기간 만료로 퇴직",IF(ISNUMBER(SEARCH("의원면직",대장!H273&amp;"")),"의원면직",IF(ISNUMBER(SEARCH("정년퇴직",대장!H273&amp;"")),"정년퇴직",대장!H273))))</x:f>
        <x:v>#NAME?</x:v>
      </x:c>
      <x:c r="F548" s="27" t="e">
        <x:f>IF($A548="","",IF(발령대장_설정!$B$5="","",발령대장_설정!$B$5))</x:f>
        <x:v>#NAME?</x:v>
      </x:c>
      <x:c r="G548" s="27" t="e">
        <x:f>IF($A548="","",IF(발령대장_설정!$B$6="","",발령대장_설정!$B$6))</x:f>
        <x:v>#NAME?</x:v>
      </x:c>
      <x:c r="H548" s="27" t="e">
        <x:f>IF($A548="","",IF(발령대장_설정!$B$7="","",발령대장_설정!$B$7))</x:f>
        <x:v>#NAME?</x:v>
      </x:c>
      <x:c r="I548" s="27" t="e">
        <x:f>IF($A548="","",IF(발령대장_설정!$B$8="","",발령대장_설정!$B$8))</x:f>
        <x:v>#NAME?</x:v>
      </x:c>
      <x:c r="J548" s="27" t="str">
        <x:f>""</x:f>
      </x:c>
    </x:row>
    <x:row r="549" ht="42" customHeight="1">
      <x:c r="A549" s="47" t="e">
        <x:f>IF(AND(대장!A274&lt;&gt;"",ISNUMBER(대장!F274),OR(대장!G274="",AND(ISNUMBER(대장!G274),대장!G274&gt;=대장!F274))),대장!F274,"")</x:f>
        <x:v>#NAME?</x:v>
      </x:c>
      <x:c r="B549" s="27" t="e">
        <x:f>IF($A549="","",IF(발령대장_설정!$B$4="","",발령대장_설정!$B$4))</x:f>
        <x:v>#NAME?</x:v>
      </x:c>
      <x:c r="C549" s="27" t="e">
        <x:f>IF($A549="","",대장!D274)</x:f>
        <x:v>#NAME?</x:v>
      </x:c>
      <x:c r="D549" s="27" t="e">
        <x:f>IF($A549="","",대장!A274)</x:f>
        <x:v>#NAME?</x:v>
      </x:c>
      <x:c r="E549" s="27" t="e">
        <x:f>IF($A549="","",IF(대장!J274&lt;&gt;"",대장!J274,대장!D274&amp;"에 임함"&amp;IF(대장!E274="","",CHAR(10)&amp;"고용형태: "&amp;대장!E274)&amp;IF(대장!I274="","",CHAR(10)&amp;"소정근로시간: "&amp;대장!I274)&amp;CHAR(10)&amp;"근로기간: "&amp;YEAR(대장!F274)&amp;"."&amp;MONTH(대장!F274)&amp;"."&amp;DAY(대장!F274)&amp;"."&amp;" ~ "&amp;IF(ISNUMBER(대장!G274),YEAR(대장!G274)&amp;"."&amp;MONTH(대장!G274)&amp;"."&amp;DAY(대장!G274)&amp;".","재직 중")))</x:f>
        <x:v>#NAME?</x:v>
      </x:c>
      <x:c r="F549" s="27" t="e">
        <x:f>IF($A549="","",IF(발령대장_설정!$B$5="","",발령대장_설정!$B$5))</x:f>
        <x:v>#NAME?</x:v>
      </x:c>
      <x:c r="G549" s="27" t="e">
        <x:f>IF($A549="","",IF(발령대장_설정!$B$6="","",발령대장_설정!$B$6))</x:f>
        <x:v>#NAME?</x:v>
      </x:c>
      <x:c r="H549" s="27" t="e">
        <x:f>IF($A549="","",IF(발령대장_설정!$B$7="","",발령대장_설정!$B$7))</x:f>
        <x:v>#NAME?</x:v>
      </x:c>
      <x:c r="I549" s="27" t="e">
        <x:f>IF($A549="","",IF(발령대장_설정!$B$8="","",발령대장_설정!$B$8))</x:f>
        <x:v>#NAME?</x:v>
      </x:c>
      <x:c r="J549" s="27" t="e">
        <x:f>IF($A549="","",IF(대장!K274="","",대장!K274))</x:f>
        <x:v>#NAME?</x:v>
      </x:c>
    </x:row>
    <x:row r="550" ht="42" customHeight="1">
      <x:c r="A550" s="47" t="e">
        <x:f>IF(AND(대장!A274&lt;&gt;"",ISNUMBER(대장!F274),ISNUMBER(대장!G274),대장!G274&gt;=대장!F274,대장!H274&lt;&gt;""),대장!G274,"")</x:f>
        <x:v>#NAME?</x:v>
      </x:c>
      <x:c r="B550" s="27" t="e">
        <x:f>IF($A550="","",IF(발령대장_설정!$B$4="","",발령대장_설정!$B$4))</x:f>
        <x:v>#NAME?</x:v>
      </x:c>
      <x:c r="C550" s="27" t="e">
        <x:f>IF($A550="","",대장!D274)</x:f>
        <x:v>#NAME?</x:v>
      </x:c>
      <x:c r="D550" s="27" t="e">
        <x:f>IF($A550="","",대장!A274)</x:f>
        <x:v>#NAME?</x:v>
      </x:c>
      <x:c r="E550" s="27" t="e">
        <x:f>IF($A550="","",IF(OR(ISNUMBER(SEARCH("계약만료",대장!H274&amp;"")),ISNUMBER(SEARCH("기간만료",대장!H274&amp;""))),"계약기간 만료로 퇴직",IF(ISNUMBER(SEARCH("의원면직",대장!H274&amp;"")),"의원면직",IF(ISNUMBER(SEARCH("정년퇴직",대장!H274&amp;"")),"정년퇴직",대장!H274))))</x:f>
        <x:v>#NAME?</x:v>
      </x:c>
      <x:c r="F550" s="27" t="e">
        <x:f>IF($A550="","",IF(발령대장_설정!$B$5="","",발령대장_설정!$B$5))</x:f>
        <x:v>#NAME?</x:v>
      </x:c>
      <x:c r="G550" s="27" t="e">
        <x:f>IF($A550="","",IF(발령대장_설정!$B$6="","",발령대장_설정!$B$6))</x:f>
        <x:v>#NAME?</x:v>
      </x:c>
      <x:c r="H550" s="27" t="e">
        <x:f>IF($A550="","",IF(발령대장_설정!$B$7="","",발령대장_설정!$B$7))</x:f>
        <x:v>#NAME?</x:v>
      </x:c>
      <x:c r="I550" s="27" t="e">
        <x:f>IF($A550="","",IF(발령대장_설정!$B$8="","",발령대장_설정!$B$8))</x:f>
        <x:v>#NAME?</x:v>
      </x:c>
      <x:c r="J550" s="27" t="str">
        <x:f>""</x:f>
      </x:c>
    </x:row>
    <x:row r="551" ht="42" customHeight="1">
      <x:c r="A551" s="47" t="e">
        <x:f>IF(AND(대장!A275&lt;&gt;"",ISNUMBER(대장!F275),OR(대장!G275="",AND(ISNUMBER(대장!G275),대장!G275&gt;=대장!F275))),대장!F275,"")</x:f>
        <x:v>#NAME?</x:v>
      </x:c>
      <x:c r="B551" s="27" t="e">
        <x:f>IF($A551="","",IF(발령대장_설정!$B$4="","",발령대장_설정!$B$4))</x:f>
        <x:v>#NAME?</x:v>
      </x:c>
      <x:c r="C551" s="27" t="e">
        <x:f>IF($A551="","",대장!D275)</x:f>
        <x:v>#NAME?</x:v>
      </x:c>
      <x:c r="D551" s="27" t="e">
        <x:f>IF($A551="","",대장!A275)</x:f>
        <x:v>#NAME?</x:v>
      </x:c>
      <x:c r="E551" s="27" t="e">
        <x:f>IF($A551="","",IF(대장!J275&lt;&gt;"",대장!J275,대장!D275&amp;"에 임함"&amp;IF(대장!E275="","",CHAR(10)&amp;"고용형태: "&amp;대장!E275)&amp;IF(대장!I275="","",CHAR(10)&amp;"소정근로시간: "&amp;대장!I275)&amp;CHAR(10)&amp;"근로기간: "&amp;YEAR(대장!F275)&amp;"."&amp;MONTH(대장!F275)&amp;"."&amp;DAY(대장!F275)&amp;"."&amp;" ~ "&amp;IF(ISNUMBER(대장!G275),YEAR(대장!G275)&amp;"."&amp;MONTH(대장!G275)&amp;"."&amp;DAY(대장!G275)&amp;".","재직 중")))</x:f>
        <x:v>#NAME?</x:v>
      </x:c>
      <x:c r="F551" s="27" t="e">
        <x:f>IF($A551="","",IF(발령대장_설정!$B$5="","",발령대장_설정!$B$5))</x:f>
        <x:v>#NAME?</x:v>
      </x:c>
      <x:c r="G551" s="27" t="e">
        <x:f>IF($A551="","",IF(발령대장_설정!$B$6="","",발령대장_설정!$B$6))</x:f>
        <x:v>#NAME?</x:v>
      </x:c>
      <x:c r="H551" s="27" t="e">
        <x:f>IF($A551="","",IF(발령대장_설정!$B$7="","",발령대장_설정!$B$7))</x:f>
        <x:v>#NAME?</x:v>
      </x:c>
      <x:c r="I551" s="27" t="e">
        <x:f>IF($A551="","",IF(발령대장_설정!$B$8="","",발령대장_설정!$B$8))</x:f>
        <x:v>#NAME?</x:v>
      </x:c>
      <x:c r="J551" s="27" t="e">
        <x:f>IF($A551="","",IF(대장!K275="","",대장!K275))</x:f>
        <x:v>#NAME?</x:v>
      </x:c>
    </x:row>
    <x:row r="552" ht="42" customHeight="1">
      <x:c r="A552" s="47" t="e">
        <x:f>IF(AND(대장!A275&lt;&gt;"",ISNUMBER(대장!F275),ISNUMBER(대장!G275),대장!G275&gt;=대장!F275,대장!H275&lt;&gt;""),대장!G275,"")</x:f>
        <x:v>#NAME?</x:v>
      </x:c>
      <x:c r="B552" s="27" t="e">
        <x:f>IF($A552="","",IF(발령대장_설정!$B$4="","",발령대장_설정!$B$4))</x:f>
        <x:v>#NAME?</x:v>
      </x:c>
      <x:c r="C552" s="27" t="e">
        <x:f>IF($A552="","",대장!D275)</x:f>
        <x:v>#NAME?</x:v>
      </x:c>
      <x:c r="D552" s="27" t="e">
        <x:f>IF($A552="","",대장!A275)</x:f>
        <x:v>#NAME?</x:v>
      </x:c>
      <x:c r="E552" s="27" t="e">
        <x:f>IF($A552="","",IF(OR(ISNUMBER(SEARCH("계약만료",대장!H275&amp;"")),ISNUMBER(SEARCH("기간만료",대장!H275&amp;""))),"계약기간 만료로 퇴직",IF(ISNUMBER(SEARCH("의원면직",대장!H275&amp;"")),"의원면직",IF(ISNUMBER(SEARCH("정년퇴직",대장!H275&amp;"")),"정년퇴직",대장!H275))))</x:f>
        <x:v>#NAME?</x:v>
      </x:c>
      <x:c r="F552" s="27" t="e">
        <x:f>IF($A552="","",IF(발령대장_설정!$B$5="","",발령대장_설정!$B$5))</x:f>
        <x:v>#NAME?</x:v>
      </x:c>
      <x:c r="G552" s="27" t="e">
        <x:f>IF($A552="","",IF(발령대장_설정!$B$6="","",발령대장_설정!$B$6))</x:f>
        <x:v>#NAME?</x:v>
      </x:c>
      <x:c r="H552" s="27" t="e">
        <x:f>IF($A552="","",IF(발령대장_설정!$B$7="","",발령대장_설정!$B$7))</x:f>
        <x:v>#NAME?</x:v>
      </x:c>
      <x:c r="I552" s="27" t="e">
        <x:f>IF($A552="","",IF(발령대장_설정!$B$8="","",발령대장_설정!$B$8))</x:f>
        <x:v>#NAME?</x:v>
      </x:c>
      <x:c r="J552" s="27" t="str">
        <x:f>""</x:f>
      </x:c>
    </x:row>
    <x:row r="553" ht="42" customHeight="1">
      <x:c r="A553" s="47" t="e">
        <x:f>IF(AND(대장!A276&lt;&gt;"",ISNUMBER(대장!F276),OR(대장!G276="",AND(ISNUMBER(대장!G276),대장!G276&gt;=대장!F276))),대장!F276,"")</x:f>
        <x:v>#NAME?</x:v>
      </x:c>
      <x:c r="B553" s="27" t="e">
        <x:f>IF($A553="","",IF(발령대장_설정!$B$4="","",발령대장_설정!$B$4))</x:f>
        <x:v>#NAME?</x:v>
      </x:c>
      <x:c r="C553" s="27" t="e">
        <x:f>IF($A553="","",대장!D276)</x:f>
        <x:v>#NAME?</x:v>
      </x:c>
      <x:c r="D553" s="27" t="e">
        <x:f>IF($A553="","",대장!A276)</x:f>
        <x:v>#NAME?</x:v>
      </x:c>
      <x:c r="E553" s="27" t="e">
        <x:f>IF($A553="","",IF(대장!J276&lt;&gt;"",대장!J276,대장!D276&amp;"에 임함"&amp;IF(대장!E276="","",CHAR(10)&amp;"고용형태: "&amp;대장!E276)&amp;IF(대장!I276="","",CHAR(10)&amp;"소정근로시간: "&amp;대장!I276)&amp;CHAR(10)&amp;"근로기간: "&amp;YEAR(대장!F276)&amp;"."&amp;MONTH(대장!F276)&amp;"."&amp;DAY(대장!F276)&amp;"."&amp;" ~ "&amp;IF(ISNUMBER(대장!G276),YEAR(대장!G276)&amp;"."&amp;MONTH(대장!G276)&amp;"."&amp;DAY(대장!G276)&amp;".","재직 중")))</x:f>
        <x:v>#NAME?</x:v>
      </x:c>
      <x:c r="F553" s="27" t="e">
        <x:f>IF($A553="","",IF(발령대장_설정!$B$5="","",발령대장_설정!$B$5))</x:f>
        <x:v>#NAME?</x:v>
      </x:c>
      <x:c r="G553" s="27" t="e">
        <x:f>IF($A553="","",IF(발령대장_설정!$B$6="","",발령대장_설정!$B$6))</x:f>
        <x:v>#NAME?</x:v>
      </x:c>
      <x:c r="H553" s="27" t="e">
        <x:f>IF($A553="","",IF(발령대장_설정!$B$7="","",발령대장_설정!$B$7))</x:f>
        <x:v>#NAME?</x:v>
      </x:c>
      <x:c r="I553" s="27" t="e">
        <x:f>IF($A553="","",IF(발령대장_설정!$B$8="","",발령대장_설정!$B$8))</x:f>
        <x:v>#NAME?</x:v>
      </x:c>
      <x:c r="J553" s="27" t="e">
        <x:f>IF($A553="","",IF(대장!K276="","",대장!K276))</x:f>
        <x:v>#NAME?</x:v>
      </x:c>
    </x:row>
    <x:row r="554" ht="42" customHeight="1">
      <x:c r="A554" s="47" t="e">
        <x:f>IF(AND(대장!A276&lt;&gt;"",ISNUMBER(대장!F276),ISNUMBER(대장!G276),대장!G276&gt;=대장!F276,대장!H276&lt;&gt;""),대장!G276,"")</x:f>
        <x:v>#NAME?</x:v>
      </x:c>
      <x:c r="B554" s="27" t="e">
        <x:f>IF($A554="","",IF(발령대장_설정!$B$4="","",발령대장_설정!$B$4))</x:f>
        <x:v>#NAME?</x:v>
      </x:c>
      <x:c r="C554" s="27" t="e">
        <x:f>IF($A554="","",대장!D276)</x:f>
        <x:v>#NAME?</x:v>
      </x:c>
      <x:c r="D554" s="27" t="e">
        <x:f>IF($A554="","",대장!A276)</x:f>
        <x:v>#NAME?</x:v>
      </x:c>
      <x:c r="E554" s="27" t="e">
        <x:f>IF($A554="","",IF(OR(ISNUMBER(SEARCH("계약만료",대장!H276&amp;"")),ISNUMBER(SEARCH("기간만료",대장!H276&amp;""))),"계약기간 만료로 퇴직",IF(ISNUMBER(SEARCH("의원면직",대장!H276&amp;"")),"의원면직",IF(ISNUMBER(SEARCH("정년퇴직",대장!H276&amp;"")),"정년퇴직",대장!H276))))</x:f>
        <x:v>#NAME?</x:v>
      </x:c>
      <x:c r="F554" s="27" t="e">
        <x:f>IF($A554="","",IF(발령대장_설정!$B$5="","",발령대장_설정!$B$5))</x:f>
        <x:v>#NAME?</x:v>
      </x:c>
      <x:c r="G554" s="27" t="e">
        <x:f>IF($A554="","",IF(발령대장_설정!$B$6="","",발령대장_설정!$B$6))</x:f>
        <x:v>#NAME?</x:v>
      </x:c>
      <x:c r="H554" s="27" t="e">
        <x:f>IF($A554="","",IF(발령대장_설정!$B$7="","",발령대장_설정!$B$7))</x:f>
        <x:v>#NAME?</x:v>
      </x:c>
      <x:c r="I554" s="27" t="e">
        <x:f>IF($A554="","",IF(발령대장_설정!$B$8="","",발령대장_설정!$B$8))</x:f>
        <x:v>#NAME?</x:v>
      </x:c>
      <x:c r="J554" s="27" t="str">
        <x:f>""</x:f>
      </x:c>
    </x:row>
    <x:row r="555" ht="42" customHeight="1">
      <x:c r="A555" s="47" t="e">
        <x:f>IF(AND(대장!A277&lt;&gt;"",ISNUMBER(대장!F277),OR(대장!G277="",AND(ISNUMBER(대장!G277),대장!G277&gt;=대장!F277))),대장!F277,"")</x:f>
        <x:v>#NAME?</x:v>
      </x:c>
      <x:c r="B555" s="27" t="e">
        <x:f>IF($A555="","",IF(발령대장_설정!$B$4="","",발령대장_설정!$B$4))</x:f>
        <x:v>#NAME?</x:v>
      </x:c>
      <x:c r="C555" s="27" t="e">
        <x:f>IF($A555="","",대장!D277)</x:f>
        <x:v>#NAME?</x:v>
      </x:c>
      <x:c r="D555" s="27" t="e">
        <x:f>IF($A555="","",대장!A277)</x:f>
        <x:v>#NAME?</x:v>
      </x:c>
      <x:c r="E555" s="27" t="e">
        <x:f>IF($A555="","",IF(대장!J277&lt;&gt;"",대장!J277,대장!D277&amp;"에 임함"&amp;IF(대장!E277="","",CHAR(10)&amp;"고용형태: "&amp;대장!E277)&amp;IF(대장!I277="","",CHAR(10)&amp;"소정근로시간: "&amp;대장!I277)&amp;CHAR(10)&amp;"근로기간: "&amp;YEAR(대장!F277)&amp;"."&amp;MONTH(대장!F277)&amp;"."&amp;DAY(대장!F277)&amp;"."&amp;" ~ "&amp;IF(ISNUMBER(대장!G277),YEAR(대장!G277)&amp;"."&amp;MONTH(대장!G277)&amp;"."&amp;DAY(대장!G277)&amp;".","재직 중")))</x:f>
        <x:v>#NAME?</x:v>
      </x:c>
      <x:c r="F555" s="27" t="e">
        <x:f>IF($A555="","",IF(발령대장_설정!$B$5="","",발령대장_설정!$B$5))</x:f>
        <x:v>#NAME?</x:v>
      </x:c>
      <x:c r="G555" s="27" t="e">
        <x:f>IF($A555="","",IF(발령대장_설정!$B$6="","",발령대장_설정!$B$6))</x:f>
        <x:v>#NAME?</x:v>
      </x:c>
      <x:c r="H555" s="27" t="e">
        <x:f>IF($A555="","",IF(발령대장_설정!$B$7="","",발령대장_설정!$B$7))</x:f>
        <x:v>#NAME?</x:v>
      </x:c>
      <x:c r="I555" s="27" t="e">
        <x:f>IF($A555="","",IF(발령대장_설정!$B$8="","",발령대장_설정!$B$8))</x:f>
        <x:v>#NAME?</x:v>
      </x:c>
      <x:c r="J555" s="27" t="e">
        <x:f>IF($A555="","",IF(대장!K277="","",대장!K277))</x:f>
        <x:v>#NAME?</x:v>
      </x:c>
    </x:row>
    <x:row r="556" ht="42" customHeight="1">
      <x:c r="A556" s="47" t="e">
        <x:f>IF(AND(대장!A277&lt;&gt;"",ISNUMBER(대장!F277),ISNUMBER(대장!G277),대장!G277&gt;=대장!F277,대장!H277&lt;&gt;""),대장!G277,"")</x:f>
        <x:v>#NAME?</x:v>
      </x:c>
      <x:c r="B556" s="27" t="e">
        <x:f>IF($A556="","",IF(발령대장_설정!$B$4="","",발령대장_설정!$B$4))</x:f>
        <x:v>#NAME?</x:v>
      </x:c>
      <x:c r="C556" s="27" t="e">
        <x:f>IF($A556="","",대장!D277)</x:f>
        <x:v>#NAME?</x:v>
      </x:c>
      <x:c r="D556" s="27" t="e">
        <x:f>IF($A556="","",대장!A277)</x:f>
        <x:v>#NAME?</x:v>
      </x:c>
      <x:c r="E556" s="27" t="e">
        <x:f>IF($A556="","",IF(OR(ISNUMBER(SEARCH("계약만료",대장!H277&amp;"")),ISNUMBER(SEARCH("기간만료",대장!H277&amp;""))),"계약기간 만료로 퇴직",IF(ISNUMBER(SEARCH("의원면직",대장!H277&amp;"")),"의원면직",IF(ISNUMBER(SEARCH("정년퇴직",대장!H277&amp;"")),"정년퇴직",대장!H277))))</x:f>
        <x:v>#NAME?</x:v>
      </x:c>
      <x:c r="F556" s="27" t="e">
        <x:f>IF($A556="","",IF(발령대장_설정!$B$5="","",발령대장_설정!$B$5))</x:f>
        <x:v>#NAME?</x:v>
      </x:c>
      <x:c r="G556" s="27" t="e">
        <x:f>IF($A556="","",IF(발령대장_설정!$B$6="","",발령대장_설정!$B$6))</x:f>
        <x:v>#NAME?</x:v>
      </x:c>
      <x:c r="H556" s="27" t="e">
        <x:f>IF($A556="","",IF(발령대장_설정!$B$7="","",발령대장_설정!$B$7))</x:f>
        <x:v>#NAME?</x:v>
      </x:c>
      <x:c r="I556" s="27" t="e">
        <x:f>IF($A556="","",IF(발령대장_설정!$B$8="","",발령대장_설정!$B$8))</x:f>
        <x:v>#NAME?</x:v>
      </x:c>
      <x:c r="J556" s="27" t="str">
        <x:f>""</x:f>
      </x:c>
    </x:row>
    <x:row r="557" ht="42" customHeight="1">
      <x:c r="A557" s="47" t="e">
        <x:f>IF(AND(대장!A278&lt;&gt;"",ISNUMBER(대장!F278),OR(대장!G278="",AND(ISNUMBER(대장!G278),대장!G278&gt;=대장!F278))),대장!F278,"")</x:f>
        <x:v>#NAME?</x:v>
      </x:c>
      <x:c r="B557" s="27" t="e">
        <x:f>IF($A557="","",IF(발령대장_설정!$B$4="","",발령대장_설정!$B$4))</x:f>
        <x:v>#NAME?</x:v>
      </x:c>
      <x:c r="C557" s="27" t="e">
        <x:f>IF($A557="","",대장!D278)</x:f>
        <x:v>#NAME?</x:v>
      </x:c>
      <x:c r="D557" s="27" t="e">
        <x:f>IF($A557="","",대장!A278)</x:f>
        <x:v>#NAME?</x:v>
      </x:c>
      <x:c r="E557" s="27" t="e">
        <x:f>IF($A557="","",IF(대장!J278&lt;&gt;"",대장!J278,대장!D278&amp;"에 임함"&amp;IF(대장!E278="","",CHAR(10)&amp;"고용형태: "&amp;대장!E278)&amp;IF(대장!I278="","",CHAR(10)&amp;"소정근로시간: "&amp;대장!I278)&amp;CHAR(10)&amp;"근로기간: "&amp;YEAR(대장!F278)&amp;"."&amp;MONTH(대장!F278)&amp;"."&amp;DAY(대장!F278)&amp;"."&amp;" ~ "&amp;IF(ISNUMBER(대장!G278),YEAR(대장!G278)&amp;"."&amp;MONTH(대장!G278)&amp;"."&amp;DAY(대장!G278)&amp;".","재직 중")))</x:f>
        <x:v>#NAME?</x:v>
      </x:c>
      <x:c r="F557" s="27" t="e">
        <x:f>IF($A557="","",IF(발령대장_설정!$B$5="","",발령대장_설정!$B$5))</x:f>
        <x:v>#NAME?</x:v>
      </x:c>
      <x:c r="G557" s="27" t="e">
        <x:f>IF($A557="","",IF(발령대장_설정!$B$6="","",발령대장_설정!$B$6))</x:f>
        <x:v>#NAME?</x:v>
      </x:c>
      <x:c r="H557" s="27" t="e">
        <x:f>IF($A557="","",IF(발령대장_설정!$B$7="","",발령대장_설정!$B$7))</x:f>
        <x:v>#NAME?</x:v>
      </x:c>
      <x:c r="I557" s="27" t="e">
        <x:f>IF($A557="","",IF(발령대장_설정!$B$8="","",발령대장_설정!$B$8))</x:f>
        <x:v>#NAME?</x:v>
      </x:c>
      <x:c r="J557" s="27" t="e">
        <x:f>IF($A557="","",IF(대장!K278="","",대장!K278))</x:f>
        <x:v>#NAME?</x:v>
      </x:c>
    </x:row>
    <x:row r="558" ht="42" customHeight="1">
      <x:c r="A558" s="47" t="e">
        <x:f>IF(AND(대장!A278&lt;&gt;"",ISNUMBER(대장!F278),ISNUMBER(대장!G278),대장!G278&gt;=대장!F278,대장!H278&lt;&gt;""),대장!G278,"")</x:f>
        <x:v>#NAME?</x:v>
      </x:c>
      <x:c r="B558" s="27" t="e">
        <x:f>IF($A558="","",IF(발령대장_설정!$B$4="","",발령대장_설정!$B$4))</x:f>
        <x:v>#NAME?</x:v>
      </x:c>
      <x:c r="C558" s="27" t="e">
        <x:f>IF($A558="","",대장!D278)</x:f>
        <x:v>#NAME?</x:v>
      </x:c>
      <x:c r="D558" s="27" t="e">
        <x:f>IF($A558="","",대장!A278)</x:f>
        <x:v>#NAME?</x:v>
      </x:c>
      <x:c r="E558" s="27" t="e">
        <x:f>IF($A558="","",IF(OR(ISNUMBER(SEARCH("계약만료",대장!H278&amp;"")),ISNUMBER(SEARCH("기간만료",대장!H278&amp;""))),"계약기간 만료로 퇴직",IF(ISNUMBER(SEARCH("의원면직",대장!H278&amp;"")),"의원면직",IF(ISNUMBER(SEARCH("정년퇴직",대장!H278&amp;"")),"정년퇴직",대장!H278))))</x:f>
        <x:v>#NAME?</x:v>
      </x:c>
      <x:c r="F558" s="27" t="e">
        <x:f>IF($A558="","",IF(발령대장_설정!$B$5="","",발령대장_설정!$B$5))</x:f>
        <x:v>#NAME?</x:v>
      </x:c>
      <x:c r="G558" s="27" t="e">
        <x:f>IF($A558="","",IF(발령대장_설정!$B$6="","",발령대장_설정!$B$6))</x:f>
        <x:v>#NAME?</x:v>
      </x:c>
      <x:c r="H558" s="27" t="e">
        <x:f>IF($A558="","",IF(발령대장_설정!$B$7="","",발령대장_설정!$B$7))</x:f>
        <x:v>#NAME?</x:v>
      </x:c>
      <x:c r="I558" s="27" t="e">
        <x:f>IF($A558="","",IF(발령대장_설정!$B$8="","",발령대장_설정!$B$8))</x:f>
        <x:v>#NAME?</x:v>
      </x:c>
      <x:c r="J558" s="27" t="str">
        <x:f>""</x:f>
      </x:c>
    </x:row>
    <x:row r="559" ht="42" customHeight="1">
      <x:c r="A559" s="47" t="e">
        <x:f>IF(AND(대장!A279&lt;&gt;"",ISNUMBER(대장!F279),OR(대장!G279="",AND(ISNUMBER(대장!G279),대장!G279&gt;=대장!F279))),대장!F279,"")</x:f>
        <x:v>#NAME?</x:v>
      </x:c>
      <x:c r="B559" s="27" t="e">
        <x:f>IF($A559="","",IF(발령대장_설정!$B$4="","",발령대장_설정!$B$4))</x:f>
        <x:v>#NAME?</x:v>
      </x:c>
      <x:c r="C559" s="27" t="e">
        <x:f>IF($A559="","",대장!D279)</x:f>
        <x:v>#NAME?</x:v>
      </x:c>
      <x:c r="D559" s="27" t="e">
        <x:f>IF($A559="","",대장!A279)</x:f>
        <x:v>#NAME?</x:v>
      </x:c>
      <x:c r="E559" s="27" t="e">
        <x:f>IF($A559="","",IF(대장!J279&lt;&gt;"",대장!J279,대장!D279&amp;"에 임함"&amp;IF(대장!E279="","",CHAR(10)&amp;"고용형태: "&amp;대장!E279)&amp;IF(대장!I279="","",CHAR(10)&amp;"소정근로시간: "&amp;대장!I279)&amp;CHAR(10)&amp;"근로기간: "&amp;YEAR(대장!F279)&amp;"."&amp;MONTH(대장!F279)&amp;"."&amp;DAY(대장!F279)&amp;"."&amp;" ~ "&amp;IF(ISNUMBER(대장!G279),YEAR(대장!G279)&amp;"."&amp;MONTH(대장!G279)&amp;"."&amp;DAY(대장!G279)&amp;".","재직 중")))</x:f>
        <x:v>#NAME?</x:v>
      </x:c>
      <x:c r="F559" s="27" t="e">
        <x:f>IF($A559="","",IF(발령대장_설정!$B$5="","",발령대장_설정!$B$5))</x:f>
        <x:v>#NAME?</x:v>
      </x:c>
      <x:c r="G559" s="27" t="e">
        <x:f>IF($A559="","",IF(발령대장_설정!$B$6="","",발령대장_설정!$B$6))</x:f>
        <x:v>#NAME?</x:v>
      </x:c>
      <x:c r="H559" s="27" t="e">
        <x:f>IF($A559="","",IF(발령대장_설정!$B$7="","",발령대장_설정!$B$7))</x:f>
        <x:v>#NAME?</x:v>
      </x:c>
      <x:c r="I559" s="27" t="e">
        <x:f>IF($A559="","",IF(발령대장_설정!$B$8="","",발령대장_설정!$B$8))</x:f>
        <x:v>#NAME?</x:v>
      </x:c>
      <x:c r="J559" s="27" t="e">
        <x:f>IF($A559="","",IF(대장!K279="","",대장!K279))</x:f>
        <x:v>#NAME?</x:v>
      </x:c>
    </x:row>
    <x:row r="560" ht="42" customHeight="1">
      <x:c r="A560" s="47" t="e">
        <x:f>IF(AND(대장!A279&lt;&gt;"",ISNUMBER(대장!F279),ISNUMBER(대장!G279),대장!G279&gt;=대장!F279,대장!H279&lt;&gt;""),대장!G279,"")</x:f>
        <x:v>#NAME?</x:v>
      </x:c>
      <x:c r="B560" s="27" t="e">
        <x:f>IF($A560="","",IF(발령대장_설정!$B$4="","",발령대장_설정!$B$4))</x:f>
        <x:v>#NAME?</x:v>
      </x:c>
      <x:c r="C560" s="27" t="e">
        <x:f>IF($A560="","",대장!D279)</x:f>
        <x:v>#NAME?</x:v>
      </x:c>
      <x:c r="D560" s="27" t="e">
        <x:f>IF($A560="","",대장!A279)</x:f>
        <x:v>#NAME?</x:v>
      </x:c>
      <x:c r="E560" s="27" t="e">
        <x:f>IF($A560="","",IF(OR(ISNUMBER(SEARCH("계약만료",대장!H279&amp;"")),ISNUMBER(SEARCH("기간만료",대장!H279&amp;""))),"계약기간 만료로 퇴직",IF(ISNUMBER(SEARCH("의원면직",대장!H279&amp;"")),"의원면직",IF(ISNUMBER(SEARCH("정년퇴직",대장!H279&amp;"")),"정년퇴직",대장!H279))))</x:f>
        <x:v>#NAME?</x:v>
      </x:c>
      <x:c r="F560" s="27" t="e">
        <x:f>IF($A560="","",IF(발령대장_설정!$B$5="","",발령대장_설정!$B$5))</x:f>
        <x:v>#NAME?</x:v>
      </x:c>
      <x:c r="G560" s="27" t="e">
        <x:f>IF($A560="","",IF(발령대장_설정!$B$6="","",발령대장_설정!$B$6))</x:f>
        <x:v>#NAME?</x:v>
      </x:c>
      <x:c r="H560" s="27" t="e">
        <x:f>IF($A560="","",IF(발령대장_설정!$B$7="","",발령대장_설정!$B$7))</x:f>
        <x:v>#NAME?</x:v>
      </x:c>
      <x:c r="I560" s="27" t="e">
        <x:f>IF($A560="","",IF(발령대장_설정!$B$8="","",발령대장_설정!$B$8))</x:f>
        <x:v>#NAME?</x:v>
      </x:c>
      <x:c r="J560" s="27" t="str">
        <x:f>""</x:f>
      </x:c>
    </x:row>
    <x:row r="561" ht="42" customHeight="1">
      <x:c r="A561" s="47" t="e">
        <x:f>IF(AND(대장!A280&lt;&gt;"",ISNUMBER(대장!F280),OR(대장!G280="",AND(ISNUMBER(대장!G280),대장!G280&gt;=대장!F280))),대장!F280,"")</x:f>
        <x:v>#NAME?</x:v>
      </x:c>
      <x:c r="B561" s="27" t="e">
        <x:f>IF($A561="","",IF(발령대장_설정!$B$4="","",발령대장_설정!$B$4))</x:f>
        <x:v>#NAME?</x:v>
      </x:c>
      <x:c r="C561" s="27" t="e">
        <x:f>IF($A561="","",대장!D280)</x:f>
        <x:v>#NAME?</x:v>
      </x:c>
      <x:c r="D561" s="27" t="e">
        <x:f>IF($A561="","",대장!A280)</x:f>
        <x:v>#NAME?</x:v>
      </x:c>
      <x:c r="E561" s="27" t="e">
        <x:f>IF($A561="","",IF(대장!J280&lt;&gt;"",대장!J280,대장!D280&amp;"에 임함"&amp;IF(대장!E280="","",CHAR(10)&amp;"고용형태: "&amp;대장!E280)&amp;IF(대장!I280="","",CHAR(10)&amp;"소정근로시간: "&amp;대장!I280)&amp;CHAR(10)&amp;"근로기간: "&amp;YEAR(대장!F280)&amp;"."&amp;MONTH(대장!F280)&amp;"."&amp;DAY(대장!F280)&amp;"."&amp;" ~ "&amp;IF(ISNUMBER(대장!G280),YEAR(대장!G280)&amp;"."&amp;MONTH(대장!G280)&amp;"."&amp;DAY(대장!G280)&amp;".","재직 중")))</x:f>
        <x:v>#NAME?</x:v>
      </x:c>
      <x:c r="F561" s="27" t="e">
        <x:f>IF($A561="","",IF(발령대장_설정!$B$5="","",발령대장_설정!$B$5))</x:f>
        <x:v>#NAME?</x:v>
      </x:c>
      <x:c r="G561" s="27" t="e">
        <x:f>IF($A561="","",IF(발령대장_설정!$B$6="","",발령대장_설정!$B$6))</x:f>
        <x:v>#NAME?</x:v>
      </x:c>
      <x:c r="H561" s="27" t="e">
        <x:f>IF($A561="","",IF(발령대장_설정!$B$7="","",발령대장_설정!$B$7))</x:f>
        <x:v>#NAME?</x:v>
      </x:c>
      <x:c r="I561" s="27" t="e">
        <x:f>IF($A561="","",IF(발령대장_설정!$B$8="","",발령대장_설정!$B$8))</x:f>
        <x:v>#NAME?</x:v>
      </x:c>
      <x:c r="J561" s="27" t="e">
        <x:f>IF($A561="","",IF(대장!K280="","",대장!K280))</x:f>
        <x:v>#NAME?</x:v>
      </x:c>
    </x:row>
    <x:row r="562" ht="42" customHeight="1">
      <x:c r="A562" s="47" t="e">
        <x:f>IF(AND(대장!A280&lt;&gt;"",ISNUMBER(대장!F280),ISNUMBER(대장!G280),대장!G280&gt;=대장!F280,대장!H280&lt;&gt;""),대장!G280,"")</x:f>
        <x:v>#NAME?</x:v>
      </x:c>
      <x:c r="B562" s="27" t="e">
        <x:f>IF($A562="","",IF(발령대장_설정!$B$4="","",발령대장_설정!$B$4))</x:f>
        <x:v>#NAME?</x:v>
      </x:c>
      <x:c r="C562" s="27" t="e">
        <x:f>IF($A562="","",대장!D280)</x:f>
        <x:v>#NAME?</x:v>
      </x:c>
      <x:c r="D562" s="27" t="e">
        <x:f>IF($A562="","",대장!A280)</x:f>
        <x:v>#NAME?</x:v>
      </x:c>
      <x:c r="E562" s="27" t="e">
        <x:f>IF($A562="","",IF(OR(ISNUMBER(SEARCH("계약만료",대장!H280&amp;"")),ISNUMBER(SEARCH("기간만료",대장!H280&amp;""))),"계약기간 만료로 퇴직",IF(ISNUMBER(SEARCH("의원면직",대장!H280&amp;"")),"의원면직",IF(ISNUMBER(SEARCH("정년퇴직",대장!H280&amp;"")),"정년퇴직",대장!H280))))</x:f>
        <x:v>#NAME?</x:v>
      </x:c>
      <x:c r="F562" s="27" t="e">
        <x:f>IF($A562="","",IF(발령대장_설정!$B$5="","",발령대장_설정!$B$5))</x:f>
        <x:v>#NAME?</x:v>
      </x:c>
      <x:c r="G562" s="27" t="e">
        <x:f>IF($A562="","",IF(발령대장_설정!$B$6="","",발령대장_설정!$B$6))</x:f>
        <x:v>#NAME?</x:v>
      </x:c>
      <x:c r="H562" s="27" t="e">
        <x:f>IF($A562="","",IF(발령대장_설정!$B$7="","",발령대장_설정!$B$7))</x:f>
        <x:v>#NAME?</x:v>
      </x:c>
      <x:c r="I562" s="27" t="e">
        <x:f>IF($A562="","",IF(발령대장_설정!$B$8="","",발령대장_설정!$B$8))</x:f>
        <x:v>#NAME?</x:v>
      </x:c>
      <x:c r="J562" s="27" t="str">
        <x:f>""</x:f>
      </x:c>
    </x:row>
    <x:row r="563" ht="42" customHeight="1">
      <x:c r="A563" s="47" t="e">
        <x:f>IF(AND(대장!A281&lt;&gt;"",ISNUMBER(대장!F281),OR(대장!G281="",AND(ISNUMBER(대장!G281),대장!G281&gt;=대장!F281))),대장!F281,"")</x:f>
        <x:v>#NAME?</x:v>
      </x:c>
      <x:c r="B563" s="27" t="e">
        <x:f>IF($A563="","",IF(발령대장_설정!$B$4="","",발령대장_설정!$B$4))</x:f>
        <x:v>#NAME?</x:v>
      </x:c>
      <x:c r="C563" s="27" t="e">
        <x:f>IF($A563="","",대장!D281)</x:f>
        <x:v>#NAME?</x:v>
      </x:c>
      <x:c r="D563" s="27" t="e">
        <x:f>IF($A563="","",대장!A281)</x:f>
        <x:v>#NAME?</x:v>
      </x:c>
      <x:c r="E563" s="27" t="e">
        <x:f>IF($A563="","",IF(대장!J281&lt;&gt;"",대장!J281,대장!D281&amp;"에 임함"&amp;IF(대장!E281="","",CHAR(10)&amp;"고용형태: "&amp;대장!E281)&amp;IF(대장!I281="","",CHAR(10)&amp;"소정근로시간: "&amp;대장!I281)&amp;CHAR(10)&amp;"근로기간: "&amp;YEAR(대장!F281)&amp;"."&amp;MONTH(대장!F281)&amp;"."&amp;DAY(대장!F281)&amp;"."&amp;" ~ "&amp;IF(ISNUMBER(대장!G281),YEAR(대장!G281)&amp;"."&amp;MONTH(대장!G281)&amp;"."&amp;DAY(대장!G281)&amp;".","재직 중")))</x:f>
        <x:v>#NAME?</x:v>
      </x:c>
      <x:c r="F563" s="27" t="e">
        <x:f>IF($A563="","",IF(발령대장_설정!$B$5="","",발령대장_설정!$B$5))</x:f>
        <x:v>#NAME?</x:v>
      </x:c>
      <x:c r="G563" s="27" t="e">
        <x:f>IF($A563="","",IF(발령대장_설정!$B$6="","",발령대장_설정!$B$6))</x:f>
        <x:v>#NAME?</x:v>
      </x:c>
      <x:c r="H563" s="27" t="e">
        <x:f>IF($A563="","",IF(발령대장_설정!$B$7="","",발령대장_설정!$B$7))</x:f>
        <x:v>#NAME?</x:v>
      </x:c>
      <x:c r="I563" s="27" t="e">
        <x:f>IF($A563="","",IF(발령대장_설정!$B$8="","",발령대장_설정!$B$8))</x:f>
        <x:v>#NAME?</x:v>
      </x:c>
      <x:c r="J563" s="27" t="e">
        <x:f>IF($A563="","",IF(대장!K281="","",대장!K281))</x:f>
        <x:v>#NAME?</x:v>
      </x:c>
    </x:row>
    <x:row r="564" ht="42" customHeight="1">
      <x:c r="A564" s="47" t="e">
        <x:f>IF(AND(대장!A281&lt;&gt;"",ISNUMBER(대장!F281),ISNUMBER(대장!G281),대장!G281&gt;=대장!F281,대장!H281&lt;&gt;""),대장!G281,"")</x:f>
        <x:v>#NAME?</x:v>
      </x:c>
      <x:c r="B564" s="27" t="e">
        <x:f>IF($A564="","",IF(발령대장_설정!$B$4="","",발령대장_설정!$B$4))</x:f>
        <x:v>#NAME?</x:v>
      </x:c>
      <x:c r="C564" s="27" t="e">
        <x:f>IF($A564="","",대장!D281)</x:f>
        <x:v>#NAME?</x:v>
      </x:c>
      <x:c r="D564" s="27" t="e">
        <x:f>IF($A564="","",대장!A281)</x:f>
        <x:v>#NAME?</x:v>
      </x:c>
      <x:c r="E564" s="27" t="e">
        <x:f>IF($A564="","",IF(OR(ISNUMBER(SEARCH("계약만료",대장!H281&amp;"")),ISNUMBER(SEARCH("기간만료",대장!H281&amp;""))),"계약기간 만료로 퇴직",IF(ISNUMBER(SEARCH("의원면직",대장!H281&amp;"")),"의원면직",IF(ISNUMBER(SEARCH("정년퇴직",대장!H281&amp;"")),"정년퇴직",대장!H281))))</x:f>
        <x:v>#NAME?</x:v>
      </x:c>
      <x:c r="F564" s="27" t="e">
        <x:f>IF($A564="","",IF(발령대장_설정!$B$5="","",발령대장_설정!$B$5))</x:f>
        <x:v>#NAME?</x:v>
      </x:c>
      <x:c r="G564" s="27" t="e">
        <x:f>IF($A564="","",IF(발령대장_설정!$B$6="","",발령대장_설정!$B$6))</x:f>
        <x:v>#NAME?</x:v>
      </x:c>
      <x:c r="H564" s="27" t="e">
        <x:f>IF($A564="","",IF(발령대장_설정!$B$7="","",발령대장_설정!$B$7))</x:f>
        <x:v>#NAME?</x:v>
      </x:c>
      <x:c r="I564" s="27" t="e">
        <x:f>IF($A564="","",IF(발령대장_설정!$B$8="","",발령대장_설정!$B$8))</x:f>
        <x:v>#NAME?</x:v>
      </x:c>
      <x:c r="J564" s="27" t="str">
        <x:f>""</x:f>
      </x:c>
    </x:row>
    <x:row r="565" ht="42" customHeight="1">
      <x:c r="A565" s="47" t="e">
        <x:f>IF(AND(대장!A282&lt;&gt;"",ISNUMBER(대장!F282),OR(대장!G282="",AND(ISNUMBER(대장!G282),대장!G282&gt;=대장!F282))),대장!F282,"")</x:f>
        <x:v>#NAME?</x:v>
      </x:c>
      <x:c r="B565" s="27" t="e">
        <x:f>IF($A565="","",IF(발령대장_설정!$B$4="","",발령대장_설정!$B$4))</x:f>
        <x:v>#NAME?</x:v>
      </x:c>
      <x:c r="C565" s="27" t="e">
        <x:f>IF($A565="","",대장!D282)</x:f>
        <x:v>#NAME?</x:v>
      </x:c>
      <x:c r="D565" s="27" t="e">
        <x:f>IF($A565="","",대장!A282)</x:f>
        <x:v>#NAME?</x:v>
      </x:c>
      <x:c r="E565" s="27" t="e">
        <x:f>IF($A565="","",IF(대장!J282&lt;&gt;"",대장!J282,대장!D282&amp;"에 임함"&amp;IF(대장!E282="","",CHAR(10)&amp;"고용형태: "&amp;대장!E282)&amp;IF(대장!I282="","",CHAR(10)&amp;"소정근로시간: "&amp;대장!I282)&amp;CHAR(10)&amp;"근로기간: "&amp;YEAR(대장!F282)&amp;"."&amp;MONTH(대장!F282)&amp;"."&amp;DAY(대장!F282)&amp;"."&amp;" ~ "&amp;IF(ISNUMBER(대장!G282),YEAR(대장!G282)&amp;"."&amp;MONTH(대장!G282)&amp;"."&amp;DAY(대장!G282)&amp;".","재직 중")))</x:f>
        <x:v>#NAME?</x:v>
      </x:c>
      <x:c r="F565" s="27" t="e">
        <x:f>IF($A565="","",IF(발령대장_설정!$B$5="","",발령대장_설정!$B$5))</x:f>
        <x:v>#NAME?</x:v>
      </x:c>
      <x:c r="G565" s="27" t="e">
        <x:f>IF($A565="","",IF(발령대장_설정!$B$6="","",발령대장_설정!$B$6))</x:f>
        <x:v>#NAME?</x:v>
      </x:c>
      <x:c r="H565" s="27" t="e">
        <x:f>IF($A565="","",IF(발령대장_설정!$B$7="","",발령대장_설정!$B$7))</x:f>
        <x:v>#NAME?</x:v>
      </x:c>
      <x:c r="I565" s="27" t="e">
        <x:f>IF($A565="","",IF(발령대장_설정!$B$8="","",발령대장_설정!$B$8))</x:f>
        <x:v>#NAME?</x:v>
      </x:c>
      <x:c r="J565" s="27" t="e">
        <x:f>IF($A565="","",IF(대장!K282="","",대장!K282))</x:f>
        <x:v>#NAME?</x:v>
      </x:c>
    </x:row>
    <x:row r="566" ht="42" customHeight="1">
      <x:c r="A566" s="47" t="e">
        <x:f>IF(AND(대장!A282&lt;&gt;"",ISNUMBER(대장!F282),ISNUMBER(대장!G282),대장!G282&gt;=대장!F282,대장!H282&lt;&gt;""),대장!G282,"")</x:f>
        <x:v>#NAME?</x:v>
      </x:c>
      <x:c r="B566" s="27" t="e">
        <x:f>IF($A566="","",IF(발령대장_설정!$B$4="","",발령대장_설정!$B$4))</x:f>
        <x:v>#NAME?</x:v>
      </x:c>
      <x:c r="C566" s="27" t="e">
        <x:f>IF($A566="","",대장!D282)</x:f>
        <x:v>#NAME?</x:v>
      </x:c>
      <x:c r="D566" s="27" t="e">
        <x:f>IF($A566="","",대장!A282)</x:f>
        <x:v>#NAME?</x:v>
      </x:c>
      <x:c r="E566" s="27" t="e">
        <x:f>IF($A566="","",IF(OR(ISNUMBER(SEARCH("계약만료",대장!H282&amp;"")),ISNUMBER(SEARCH("기간만료",대장!H282&amp;""))),"계약기간 만료로 퇴직",IF(ISNUMBER(SEARCH("의원면직",대장!H282&amp;"")),"의원면직",IF(ISNUMBER(SEARCH("정년퇴직",대장!H282&amp;"")),"정년퇴직",대장!H282))))</x:f>
        <x:v>#NAME?</x:v>
      </x:c>
      <x:c r="F566" s="27" t="e">
        <x:f>IF($A566="","",IF(발령대장_설정!$B$5="","",발령대장_설정!$B$5))</x:f>
        <x:v>#NAME?</x:v>
      </x:c>
      <x:c r="G566" s="27" t="e">
        <x:f>IF($A566="","",IF(발령대장_설정!$B$6="","",발령대장_설정!$B$6))</x:f>
        <x:v>#NAME?</x:v>
      </x:c>
      <x:c r="H566" s="27" t="e">
        <x:f>IF($A566="","",IF(발령대장_설정!$B$7="","",발령대장_설정!$B$7))</x:f>
        <x:v>#NAME?</x:v>
      </x:c>
      <x:c r="I566" s="27" t="e">
        <x:f>IF($A566="","",IF(발령대장_설정!$B$8="","",발령대장_설정!$B$8))</x:f>
        <x:v>#NAME?</x:v>
      </x:c>
      <x:c r="J566" s="27" t="str">
        <x:f>""</x:f>
      </x:c>
    </x:row>
    <x:row r="567" ht="42" customHeight="1">
      <x:c r="A567" s="47" t="e">
        <x:f>IF(AND(대장!A283&lt;&gt;"",ISNUMBER(대장!F283),OR(대장!G283="",AND(ISNUMBER(대장!G283),대장!G283&gt;=대장!F283))),대장!F283,"")</x:f>
        <x:v>#NAME?</x:v>
      </x:c>
      <x:c r="B567" s="27" t="e">
        <x:f>IF($A567="","",IF(발령대장_설정!$B$4="","",발령대장_설정!$B$4))</x:f>
        <x:v>#NAME?</x:v>
      </x:c>
      <x:c r="C567" s="27" t="e">
        <x:f>IF($A567="","",대장!D283)</x:f>
        <x:v>#NAME?</x:v>
      </x:c>
      <x:c r="D567" s="27" t="e">
        <x:f>IF($A567="","",대장!A283)</x:f>
        <x:v>#NAME?</x:v>
      </x:c>
      <x:c r="E567" s="27" t="e">
        <x:f>IF($A567="","",IF(대장!J283&lt;&gt;"",대장!J283,대장!D283&amp;"에 임함"&amp;IF(대장!E283="","",CHAR(10)&amp;"고용형태: "&amp;대장!E283)&amp;IF(대장!I283="","",CHAR(10)&amp;"소정근로시간: "&amp;대장!I283)&amp;CHAR(10)&amp;"근로기간: "&amp;YEAR(대장!F283)&amp;"."&amp;MONTH(대장!F283)&amp;"."&amp;DAY(대장!F283)&amp;"."&amp;" ~ "&amp;IF(ISNUMBER(대장!G283),YEAR(대장!G283)&amp;"."&amp;MONTH(대장!G283)&amp;"."&amp;DAY(대장!G283)&amp;".","재직 중")))</x:f>
        <x:v>#NAME?</x:v>
      </x:c>
      <x:c r="F567" s="27" t="e">
        <x:f>IF($A567="","",IF(발령대장_설정!$B$5="","",발령대장_설정!$B$5))</x:f>
        <x:v>#NAME?</x:v>
      </x:c>
      <x:c r="G567" s="27" t="e">
        <x:f>IF($A567="","",IF(발령대장_설정!$B$6="","",발령대장_설정!$B$6))</x:f>
        <x:v>#NAME?</x:v>
      </x:c>
      <x:c r="H567" s="27" t="e">
        <x:f>IF($A567="","",IF(발령대장_설정!$B$7="","",발령대장_설정!$B$7))</x:f>
        <x:v>#NAME?</x:v>
      </x:c>
      <x:c r="I567" s="27" t="e">
        <x:f>IF($A567="","",IF(발령대장_설정!$B$8="","",발령대장_설정!$B$8))</x:f>
        <x:v>#NAME?</x:v>
      </x:c>
      <x:c r="J567" s="27" t="e">
        <x:f>IF($A567="","",IF(대장!K283="","",대장!K283))</x:f>
        <x:v>#NAME?</x:v>
      </x:c>
    </x:row>
    <x:row r="568" ht="42" customHeight="1">
      <x:c r="A568" s="47" t="e">
        <x:f>IF(AND(대장!A283&lt;&gt;"",ISNUMBER(대장!F283),ISNUMBER(대장!G283),대장!G283&gt;=대장!F283,대장!H283&lt;&gt;""),대장!G283,"")</x:f>
        <x:v>#NAME?</x:v>
      </x:c>
      <x:c r="B568" s="27" t="e">
        <x:f>IF($A568="","",IF(발령대장_설정!$B$4="","",발령대장_설정!$B$4))</x:f>
        <x:v>#NAME?</x:v>
      </x:c>
      <x:c r="C568" s="27" t="e">
        <x:f>IF($A568="","",대장!D283)</x:f>
        <x:v>#NAME?</x:v>
      </x:c>
      <x:c r="D568" s="27" t="e">
        <x:f>IF($A568="","",대장!A283)</x:f>
        <x:v>#NAME?</x:v>
      </x:c>
      <x:c r="E568" s="27" t="e">
        <x:f>IF($A568="","",IF(OR(ISNUMBER(SEARCH("계약만료",대장!H283&amp;"")),ISNUMBER(SEARCH("기간만료",대장!H283&amp;""))),"계약기간 만료로 퇴직",IF(ISNUMBER(SEARCH("의원면직",대장!H283&amp;"")),"의원면직",IF(ISNUMBER(SEARCH("정년퇴직",대장!H283&amp;"")),"정년퇴직",대장!H283))))</x:f>
        <x:v>#NAME?</x:v>
      </x:c>
      <x:c r="F568" s="27" t="e">
        <x:f>IF($A568="","",IF(발령대장_설정!$B$5="","",발령대장_설정!$B$5))</x:f>
        <x:v>#NAME?</x:v>
      </x:c>
      <x:c r="G568" s="27" t="e">
        <x:f>IF($A568="","",IF(발령대장_설정!$B$6="","",발령대장_설정!$B$6))</x:f>
        <x:v>#NAME?</x:v>
      </x:c>
      <x:c r="H568" s="27" t="e">
        <x:f>IF($A568="","",IF(발령대장_설정!$B$7="","",발령대장_설정!$B$7))</x:f>
        <x:v>#NAME?</x:v>
      </x:c>
      <x:c r="I568" s="27" t="e">
        <x:f>IF($A568="","",IF(발령대장_설정!$B$8="","",발령대장_설정!$B$8))</x:f>
        <x:v>#NAME?</x:v>
      </x:c>
      <x:c r="J568" s="27" t="str">
        <x:f>""</x:f>
      </x:c>
    </x:row>
    <x:row r="569" ht="42" customHeight="1">
      <x:c r="A569" s="47" t="e">
        <x:f>IF(AND(대장!A284&lt;&gt;"",ISNUMBER(대장!F284),OR(대장!G284="",AND(ISNUMBER(대장!G284),대장!G284&gt;=대장!F284))),대장!F284,"")</x:f>
        <x:v>#NAME?</x:v>
      </x:c>
      <x:c r="B569" s="27" t="e">
        <x:f>IF($A569="","",IF(발령대장_설정!$B$4="","",발령대장_설정!$B$4))</x:f>
        <x:v>#NAME?</x:v>
      </x:c>
      <x:c r="C569" s="27" t="e">
        <x:f>IF($A569="","",대장!D284)</x:f>
        <x:v>#NAME?</x:v>
      </x:c>
      <x:c r="D569" s="27" t="e">
        <x:f>IF($A569="","",대장!A284)</x:f>
        <x:v>#NAME?</x:v>
      </x:c>
      <x:c r="E569" s="27" t="e">
        <x:f>IF($A569="","",IF(대장!J284&lt;&gt;"",대장!J284,대장!D284&amp;"에 임함"&amp;IF(대장!E284="","",CHAR(10)&amp;"고용형태: "&amp;대장!E284)&amp;IF(대장!I284="","",CHAR(10)&amp;"소정근로시간: "&amp;대장!I284)&amp;CHAR(10)&amp;"근로기간: "&amp;YEAR(대장!F284)&amp;"."&amp;MONTH(대장!F284)&amp;"."&amp;DAY(대장!F284)&amp;"."&amp;" ~ "&amp;IF(ISNUMBER(대장!G284),YEAR(대장!G284)&amp;"."&amp;MONTH(대장!G284)&amp;"."&amp;DAY(대장!G284)&amp;".","재직 중")))</x:f>
        <x:v>#NAME?</x:v>
      </x:c>
      <x:c r="F569" s="27" t="e">
        <x:f>IF($A569="","",IF(발령대장_설정!$B$5="","",발령대장_설정!$B$5))</x:f>
        <x:v>#NAME?</x:v>
      </x:c>
      <x:c r="G569" s="27" t="e">
        <x:f>IF($A569="","",IF(발령대장_설정!$B$6="","",발령대장_설정!$B$6))</x:f>
        <x:v>#NAME?</x:v>
      </x:c>
      <x:c r="H569" s="27" t="e">
        <x:f>IF($A569="","",IF(발령대장_설정!$B$7="","",발령대장_설정!$B$7))</x:f>
        <x:v>#NAME?</x:v>
      </x:c>
      <x:c r="I569" s="27" t="e">
        <x:f>IF($A569="","",IF(발령대장_설정!$B$8="","",발령대장_설정!$B$8))</x:f>
        <x:v>#NAME?</x:v>
      </x:c>
      <x:c r="J569" s="27" t="e">
        <x:f>IF($A569="","",IF(대장!K284="","",대장!K284))</x:f>
        <x:v>#NAME?</x:v>
      </x:c>
    </x:row>
    <x:row r="570" ht="42" customHeight="1">
      <x:c r="A570" s="47" t="e">
        <x:f>IF(AND(대장!A284&lt;&gt;"",ISNUMBER(대장!F284),ISNUMBER(대장!G284),대장!G284&gt;=대장!F284,대장!H284&lt;&gt;""),대장!G284,"")</x:f>
        <x:v>#NAME?</x:v>
      </x:c>
      <x:c r="B570" s="27" t="e">
        <x:f>IF($A570="","",IF(발령대장_설정!$B$4="","",발령대장_설정!$B$4))</x:f>
        <x:v>#NAME?</x:v>
      </x:c>
      <x:c r="C570" s="27" t="e">
        <x:f>IF($A570="","",대장!D284)</x:f>
        <x:v>#NAME?</x:v>
      </x:c>
      <x:c r="D570" s="27" t="e">
        <x:f>IF($A570="","",대장!A284)</x:f>
        <x:v>#NAME?</x:v>
      </x:c>
      <x:c r="E570" s="27" t="e">
        <x:f>IF($A570="","",IF(OR(ISNUMBER(SEARCH("계약만료",대장!H284&amp;"")),ISNUMBER(SEARCH("기간만료",대장!H284&amp;""))),"계약기간 만료로 퇴직",IF(ISNUMBER(SEARCH("의원면직",대장!H284&amp;"")),"의원면직",IF(ISNUMBER(SEARCH("정년퇴직",대장!H284&amp;"")),"정년퇴직",대장!H284))))</x:f>
        <x:v>#NAME?</x:v>
      </x:c>
      <x:c r="F570" s="27" t="e">
        <x:f>IF($A570="","",IF(발령대장_설정!$B$5="","",발령대장_설정!$B$5))</x:f>
        <x:v>#NAME?</x:v>
      </x:c>
      <x:c r="G570" s="27" t="e">
        <x:f>IF($A570="","",IF(발령대장_설정!$B$6="","",발령대장_설정!$B$6))</x:f>
        <x:v>#NAME?</x:v>
      </x:c>
      <x:c r="H570" s="27" t="e">
        <x:f>IF($A570="","",IF(발령대장_설정!$B$7="","",발령대장_설정!$B$7))</x:f>
        <x:v>#NAME?</x:v>
      </x:c>
      <x:c r="I570" s="27" t="e">
        <x:f>IF($A570="","",IF(발령대장_설정!$B$8="","",발령대장_설정!$B$8))</x:f>
        <x:v>#NAME?</x:v>
      </x:c>
      <x:c r="J570" s="27" t="str">
        <x:f>""</x:f>
      </x:c>
    </x:row>
    <x:row r="571" ht="42" customHeight="1">
      <x:c r="A571" s="47" t="e">
        <x:f>IF(AND(대장!A285&lt;&gt;"",ISNUMBER(대장!F285),OR(대장!G285="",AND(ISNUMBER(대장!G285),대장!G285&gt;=대장!F285))),대장!F285,"")</x:f>
        <x:v>#NAME?</x:v>
      </x:c>
      <x:c r="B571" s="27" t="e">
        <x:f>IF($A571="","",IF(발령대장_설정!$B$4="","",발령대장_설정!$B$4))</x:f>
        <x:v>#NAME?</x:v>
      </x:c>
      <x:c r="C571" s="27" t="e">
        <x:f>IF($A571="","",대장!D285)</x:f>
        <x:v>#NAME?</x:v>
      </x:c>
      <x:c r="D571" s="27" t="e">
        <x:f>IF($A571="","",대장!A285)</x:f>
        <x:v>#NAME?</x:v>
      </x:c>
      <x:c r="E571" s="27" t="e">
        <x:f>IF($A571="","",IF(대장!J285&lt;&gt;"",대장!J285,대장!D285&amp;"에 임함"&amp;IF(대장!E285="","",CHAR(10)&amp;"고용형태: "&amp;대장!E285)&amp;IF(대장!I285="","",CHAR(10)&amp;"소정근로시간: "&amp;대장!I285)&amp;CHAR(10)&amp;"근로기간: "&amp;YEAR(대장!F285)&amp;"."&amp;MONTH(대장!F285)&amp;"."&amp;DAY(대장!F285)&amp;"."&amp;" ~ "&amp;IF(ISNUMBER(대장!G285),YEAR(대장!G285)&amp;"."&amp;MONTH(대장!G285)&amp;"."&amp;DAY(대장!G285)&amp;".","재직 중")))</x:f>
        <x:v>#NAME?</x:v>
      </x:c>
      <x:c r="F571" s="27" t="e">
        <x:f>IF($A571="","",IF(발령대장_설정!$B$5="","",발령대장_설정!$B$5))</x:f>
        <x:v>#NAME?</x:v>
      </x:c>
      <x:c r="G571" s="27" t="e">
        <x:f>IF($A571="","",IF(발령대장_설정!$B$6="","",발령대장_설정!$B$6))</x:f>
        <x:v>#NAME?</x:v>
      </x:c>
      <x:c r="H571" s="27" t="e">
        <x:f>IF($A571="","",IF(발령대장_설정!$B$7="","",발령대장_설정!$B$7))</x:f>
        <x:v>#NAME?</x:v>
      </x:c>
      <x:c r="I571" s="27" t="e">
        <x:f>IF($A571="","",IF(발령대장_설정!$B$8="","",발령대장_설정!$B$8))</x:f>
        <x:v>#NAME?</x:v>
      </x:c>
      <x:c r="J571" s="27" t="e">
        <x:f>IF($A571="","",IF(대장!K285="","",대장!K285))</x:f>
        <x:v>#NAME?</x:v>
      </x:c>
    </x:row>
    <x:row r="572" ht="42" customHeight="1">
      <x:c r="A572" s="47" t="e">
        <x:f>IF(AND(대장!A285&lt;&gt;"",ISNUMBER(대장!F285),ISNUMBER(대장!G285),대장!G285&gt;=대장!F285,대장!H285&lt;&gt;""),대장!G285,"")</x:f>
        <x:v>#NAME?</x:v>
      </x:c>
      <x:c r="B572" s="27" t="e">
        <x:f>IF($A572="","",IF(발령대장_설정!$B$4="","",발령대장_설정!$B$4))</x:f>
        <x:v>#NAME?</x:v>
      </x:c>
      <x:c r="C572" s="27" t="e">
        <x:f>IF($A572="","",대장!D285)</x:f>
        <x:v>#NAME?</x:v>
      </x:c>
      <x:c r="D572" s="27" t="e">
        <x:f>IF($A572="","",대장!A285)</x:f>
        <x:v>#NAME?</x:v>
      </x:c>
      <x:c r="E572" s="27" t="e">
        <x:f>IF($A572="","",IF(OR(ISNUMBER(SEARCH("계약만료",대장!H285&amp;"")),ISNUMBER(SEARCH("기간만료",대장!H285&amp;""))),"계약기간 만료로 퇴직",IF(ISNUMBER(SEARCH("의원면직",대장!H285&amp;"")),"의원면직",IF(ISNUMBER(SEARCH("정년퇴직",대장!H285&amp;"")),"정년퇴직",대장!H285))))</x:f>
        <x:v>#NAME?</x:v>
      </x:c>
      <x:c r="F572" s="27" t="e">
        <x:f>IF($A572="","",IF(발령대장_설정!$B$5="","",발령대장_설정!$B$5))</x:f>
        <x:v>#NAME?</x:v>
      </x:c>
      <x:c r="G572" s="27" t="e">
        <x:f>IF($A572="","",IF(발령대장_설정!$B$6="","",발령대장_설정!$B$6))</x:f>
        <x:v>#NAME?</x:v>
      </x:c>
      <x:c r="H572" s="27" t="e">
        <x:f>IF($A572="","",IF(발령대장_설정!$B$7="","",발령대장_설정!$B$7))</x:f>
        <x:v>#NAME?</x:v>
      </x:c>
      <x:c r="I572" s="27" t="e">
        <x:f>IF($A572="","",IF(발령대장_설정!$B$8="","",발령대장_설정!$B$8))</x:f>
        <x:v>#NAME?</x:v>
      </x:c>
      <x:c r="J572" s="27" t="str">
        <x:f>""</x:f>
      </x:c>
    </x:row>
    <x:row r="573" ht="42" customHeight="1">
      <x:c r="A573" s="47" t="e">
        <x:f>IF(AND(대장!A286&lt;&gt;"",ISNUMBER(대장!F286),OR(대장!G286="",AND(ISNUMBER(대장!G286),대장!G286&gt;=대장!F286))),대장!F286,"")</x:f>
        <x:v>#NAME?</x:v>
      </x:c>
      <x:c r="B573" s="27" t="e">
        <x:f>IF($A573="","",IF(발령대장_설정!$B$4="","",발령대장_설정!$B$4))</x:f>
        <x:v>#NAME?</x:v>
      </x:c>
      <x:c r="C573" s="27" t="e">
        <x:f>IF($A573="","",대장!D286)</x:f>
        <x:v>#NAME?</x:v>
      </x:c>
      <x:c r="D573" s="27" t="e">
        <x:f>IF($A573="","",대장!A286)</x:f>
        <x:v>#NAME?</x:v>
      </x:c>
      <x:c r="E573" s="27" t="e">
        <x:f>IF($A573="","",IF(대장!J286&lt;&gt;"",대장!J286,대장!D286&amp;"에 임함"&amp;IF(대장!E286="","",CHAR(10)&amp;"고용형태: "&amp;대장!E286)&amp;IF(대장!I286="","",CHAR(10)&amp;"소정근로시간: "&amp;대장!I286)&amp;CHAR(10)&amp;"근로기간: "&amp;YEAR(대장!F286)&amp;"."&amp;MONTH(대장!F286)&amp;"."&amp;DAY(대장!F286)&amp;"."&amp;" ~ "&amp;IF(ISNUMBER(대장!G286),YEAR(대장!G286)&amp;"."&amp;MONTH(대장!G286)&amp;"."&amp;DAY(대장!G286)&amp;".","재직 중")))</x:f>
        <x:v>#NAME?</x:v>
      </x:c>
      <x:c r="F573" s="27" t="e">
        <x:f>IF($A573="","",IF(발령대장_설정!$B$5="","",발령대장_설정!$B$5))</x:f>
        <x:v>#NAME?</x:v>
      </x:c>
      <x:c r="G573" s="27" t="e">
        <x:f>IF($A573="","",IF(발령대장_설정!$B$6="","",발령대장_설정!$B$6))</x:f>
        <x:v>#NAME?</x:v>
      </x:c>
      <x:c r="H573" s="27" t="e">
        <x:f>IF($A573="","",IF(발령대장_설정!$B$7="","",발령대장_설정!$B$7))</x:f>
        <x:v>#NAME?</x:v>
      </x:c>
      <x:c r="I573" s="27" t="e">
        <x:f>IF($A573="","",IF(발령대장_설정!$B$8="","",발령대장_설정!$B$8))</x:f>
        <x:v>#NAME?</x:v>
      </x:c>
      <x:c r="J573" s="27" t="e">
        <x:f>IF($A573="","",IF(대장!K286="","",대장!K286))</x:f>
        <x:v>#NAME?</x:v>
      </x:c>
    </x:row>
    <x:row r="574" ht="42" customHeight="1">
      <x:c r="A574" s="47" t="e">
        <x:f>IF(AND(대장!A286&lt;&gt;"",ISNUMBER(대장!F286),ISNUMBER(대장!G286),대장!G286&gt;=대장!F286,대장!H286&lt;&gt;""),대장!G286,"")</x:f>
        <x:v>#NAME?</x:v>
      </x:c>
      <x:c r="B574" s="27" t="e">
        <x:f>IF($A574="","",IF(발령대장_설정!$B$4="","",발령대장_설정!$B$4))</x:f>
        <x:v>#NAME?</x:v>
      </x:c>
      <x:c r="C574" s="27" t="e">
        <x:f>IF($A574="","",대장!D286)</x:f>
        <x:v>#NAME?</x:v>
      </x:c>
      <x:c r="D574" s="27" t="e">
        <x:f>IF($A574="","",대장!A286)</x:f>
        <x:v>#NAME?</x:v>
      </x:c>
      <x:c r="E574" s="27" t="e">
        <x:f>IF($A574="","",IF(OR(ISNUMBER(SEARCH("계약만료",대장!H286&amp;"")),ISNUMBER(SEARCH("기간만료",대장!H286&amp;""))),"계약기간 만료로 퇴직",IF(ISNUMBER(SEARCH("의원면직",대장!H286&amp;"")),"의원면직",IF(ISNUMBER(SEARCH("정년퇴직",대장!H286&amp;"")),"정년퇴직",대장!H286))))</x:f>
        <x:v>#NAME?</x:v>
      </x:c>
      <x:c r="F574" s="27" t="e">
        <x:f>IF($A574="","",IF(발령대장_설정!$B$5="","",발령대장_설정!$B$5))</x:f>
        <x:v>#NAME?</x:v>
      </x:c>
      <x:c r="G574" s="27" t="e">
        <x:f>IF($A574="","",IF(발령대장_설정!$B$6="","",발령대장_설정!$B$6))</x:f>
        <x:v>#NAME?</x:v>
      </x:c>
      <x:c r="H574" s="27" t="e">
        <x:f>IF($A574="","",IF(발령대장_설정!$B$7="","",발령대장_설정!$B$7))</x:f>
        <x:v>#NAME?</x:v>
      </x:c>
      <x:c r="I574" s="27" t="e">
        <x:f>IF($A574="","",IF(발령대장_설정!$B$8="","",발령대장_설정!$B$8))</x:f>
        <x:v>#NAME?</x:v>
      </x:c>
      <x:c r="J574" s="27" t="str">
        <x:f>""</x:f>
      </x:c>
    </x:row>
    <x:row r="575" ht="42" customHeight="1">
      <x:c r="A575" s="47" t="e">
        <x:f>IF(AND(대장!A287&lt;&gt;"",ISNUMBER(대장!F287),OR(대장!G287="",AND(ISNUMBER(대장!G287),대장!G287&gt;=대장!F287))),대장!F287,"")</x:f>
        <x:v>#NAME?</x:v>
      </x:c>
      <x:c r="B575" s="27" t="e">
        <x:f>IF($A575="","",IF(발령대장_설정!$B$4="","",발령대장_설정!$B$4))</x:f>
        <x:v>#NAME?</x:v>
      </x:c>
      <x:c r="C575" s="27" t="e">
        <x:f>IF($A575="","",대장!D287)</x:f>
        <x:v>#NAME?</x:v>
      </x:c>
      <x:c r="D575" s="27" t="e">
        <x:f>IF($A575="","",대장!A287)</x:f>
        <x:v>#NAME?</x:v>
      </x:c>
      <x:c r="E575" s="27" t="e">
        <x:f>IF($A575="","",IF(대장!J287&lt;&gt;"",대장!J287,대장!D287&amp;"에 임함"&amp;IF(대장!E287="","",CHAR(10)&amp;"고용형태: "&amp;대장!E287)&amp;IF(대장!I287="","",CHAR(10)&amp;"소정근로시간: "&amp;대장!I287)&amp;CHAR(10)&amp;"근로기간: "&amp;YEAR(대장!F287)&amp;"."&amp;MONTH(대장!F287)&amp;"."&amp;DAY(대장!F287)&amp;"."&amp;" ~ "&amp;IF(ISNUMBER(대장!G287),YEAR(대장!G287)&amp;"."&amp;MONTH(대장!G287)&amp;"."&amp;DAY(대장!G287)&amp;".","재직 중")))</x:f>
        <x:v>#NAME?</x:v>
      </x:c>
      <x:c r="F575" s="27" t="e">
        <x:f>IF($A575="","",IF(발령대장_설정!$B$5="","",발령대장_설정!$B$5))</x:f>
        <x:v>#NAME?</x:v>
      </x:c>
      <x:c r="G575" s="27" t="e">
        <x:f>IF($A575="","",IF(발령대장_설정!$B$6="","",발령대장_설정!$B$6))</x:f>
        <x:v>#NAME?</x:v>
      </x:c>
      <x:c r="H575" s="27" t="e">
        <x:f>IF($A575="","",IF(발령대장_설정!$B$7="","",발령대장_설정!$B$7))</x:f>
        <x:v>#NAME?</x:v>
      </x:c>
      <x:c r="I575" s="27" t="e">
        <x:f>IF($A575="","",IF(발령대장_설정!$B$8="","",발령대장_설정!$B$8))</x:f>
        <x:v>#NAME?</x:v>
      </x:c>
      <x:c r="J575" s="27" t="e">
        <x:f>IF($A575="","",IF(대장!K287="","",대장!K287))</x:f>
        <x:v>#NAME?</x:v>
      </x:c>
    </x:row>
    <x:row r="576" ht="42" customHeight="1">
      <x:c r="A576" s="47" t="e">
        <x:f>IF(AND(대장!A287&lt;&gt;"",ISNUMBER(대장!F287),ISNUMBER(대장!G287),대장!G287&gt;=대장!F287,대장!H287&lt;&gt;""),대장!G287,"")</x:f>
        <x:v>#NAME?</x:v>
      </x:c>
      <x:c r="B576" s="27" t="e">
        <x:f>IF($A576="","",IF(발령대장_설정!$B$4="","",발령대장_설정!$B$4))</x:f>
        <x:v>#NAME?</x:v>
      </x:c>
      <x:c r="C576" s="27" t="e">
        <x:f>IF($A576="","",대장!D287)</x:f>
        <x:v>#NAME?</x:v>
      </x:c>
      <x:c r="D576" s="27" t="e">
        <x:f>IF($A576="","",대장!A287)</x:f>
        <x:v>#NAME?</x:v>
      </x:c>
      <x:c r="E576" s="27" t="e">
        <x:f>IF($A576="","",IF(OR(ISNUMBER(SEARCH("계약만료",대장!H287&amp;"")),ISNUMBER(SEARCH("기간만료",대장!H287&amp;""))),"계약기간 만료로 퇴직",IF(ISNUMBER(SEARCH("의원면직",대장!H287&amp;"")),"의원면직",IF(ISNUMBER(SEARCH("정년퇴직",대장!H287&amp;"")),"정년퇴직",대장!H287))))</x:f>
        <x:v>#NAME?</x:v>
      </x:c>
      <x:c r="F576" s="27" t="e">
        <x:f>IF($A576="","",IF(발령대장_설정!$B$5="","",발령대장_설정!$B$5))</x:f>
        <x:v>#NAME?</x:v>
      </x:c>
      <x:c r="G576" s="27" t="e">
        <x:f>IF($A576="","",IF(발령대장_설정!$B$6="","",발령대장_설정!$B$6))</x:f>
        <x:v>#NAME?</x:v>
      </x:c>
      <x:c r="H576" s="27" t="e">
        <x:f>IF($A576="","",IF(발령대장_설정!$B$7="","",발령대장_설정!$B$7))</x:f>
        <x:v>#NAME?</x:v>
      </x:c>
      <x:c r="I576" s="27" t="e">
        <x:f>IF($A576="","",IF(발령대장_설정!$B$8="","",발령대장_설정!$B$8))</x:f>
        <x:v>#NAME?</x:v>
      </x:c>
      <x:c r="J576" s="27" t="str">
        <x:f>""</x:f>
      </x:c>
    </x:row>
    <x:row r="577" ht="42" customHeight="1">
      <x:c r="A577" s="47" t="e">
        <x:f>IF(AND(대장!A288&lt;&gt;"",ISNUMBER(대장!F288),OR(대장!G288="",AND(ISNUMBER(대장!G288),대장!G288&gt;=대장!F288))),대장!F288,"")</x:f>
        <x:v>#NAME?</x:v>
      </x:c>
      <x:c r="B577" s="27" t="e">
        <x:f>IF($A577="","",IF(발령대장_설정!$B$4="","",발령대장_설정!$B$4))</x:f>
        <x:v>#NAME?</x:v>
      </x:c>
      <x:c r="C577" s="27" t="e">
        <x:f>IF($A577="","",대장!D288)</x:f>
        <x:v>#NAME?</x:v>
      </x:c>
      <x:c r="D577" s="27" t="e">
        <x:f>IF($A577="","",대장!A288)</x:f>
        <x:v>#NAME?</x:v>
      </x:c>
      <x:c r="E577" s="27" t="e">
        <x:f>IF($A577="","",IF(대장!J288&lt;&gt;"",대장!J288,대장!D288&amp;"에 임함"&amp;IF(대장!E288="","",CHAR(10)&amp;"고용형태: "&amp;대장!E288)&amp;IF(대장!I288="","",CHAR(10)&amp;"소정근로시간: "&amp;대장!I288)&amp;CHAR(10)&amp;"근로기간: "&amp;YEAR(대장!F288)&amp;"."&amp;MONTH(대장!F288)&amp;"."&amp;DAY(대장!F288)&amp;"."&amp;" ~ "&amp;IF(ISNUMBER(대장!G288),YEAR(대장!G288)&amp;"."&amp;MONTH(대장!G288)&amp;"."&amp;DAY(대장!G288)&amp;".","재직 중")))</x:f>
        <x:v>#NAME?</x:v>
      </x:c>
      <x:c r="F577" s="27" t="e">
        <x:f>IF($A577="","",IF(발령대장_설정!$B$5="","",발령대장_설정!$B$5))</x:f>
        <x:v>#NAME?</x:v>
      </x:c>
      <x:c r="G577" s="27" t="e">
        <x:f>IF($A577="","",IF(발령대장_설정!$B$6="","",발령대장_설정!$B$6))</x:f>
        <x:v>#NAME?</x:v>
      </x:c>
      <x:c r="H577" s="27" t="e">
        <x:f>IF($A577="","",IF(발령대장_설정!$B$7="","",발령대장_설정!$B$7))</x:f>
        <x:v>#NAME?</x:v>
      </x:c>
      <x:c r="I577" s="27" t="e">
        <x:f>IF($A577="","",IF(발령대장_설정!$B$8="","",발령대장_설정!$B$8))</x:f>
        <x:v>#NAME?</x:v>
      </x:c>
      <x:c r="J577" s="27" t="e">
        <x:f>IF($A577="","",IF(대장!K288="","",대장!K288))</x:f>
        <x:v>#NAME?</x:v>
      </x:c>
    </x:row>
    <x:row r="578" ht="42" customHeight="1">
      <x:c r="A578" s="47" t="e">
        <x:f>IF(AND(대장!A288&lt;&gt;"",ISNUMBER(대장!F288),ISNUMBER(대장!G288),대장!G288&gt;=대장!F288,대장!H288&lt;&gt;""),대장!G288,"")</x:f>
        <x:v>#NAME?</x:v>
      </x:c>
      <x:c r="B578" s="27" t="e">
        <x:f>IF($A578="","",IF(발령대장_설정!$B$4="","",발령대장_설정!$B$4))</x:f>
        <x:v>#NAME?</x:v>
      </x:c>
      <x:c r="C578" s="27" t="e">
        <x:f>IF($A578="","",대장!D288)</x:f>
        <x:v>#NAME?</x:v>
      </x:c>
      <x:c r="D578" s="27" t="e">
        <x:f>IF($A578="","",대장!A288)</x:f>
        <x:v>#NAME?</x:v>
      </x:c>
      <x:c r="E578" s="27" t="e">
        <x:f>IF($A578="","",IF(OR(ISNUMBER(SEARCH("계약만료",대장!H288&amp;"")),ISNUMBER(SEARCH("기간만료",대장!H288&amp;""))),"계약기간 만료로 퇴직",IF(ISNUMBER(SEARCH("의원면직",대장!H288&amp;"")),"의원면직",IF(ISNUMBER(SEARCH("정년퇴직",대장!H288&amp;"")),"정년퇴직",대장!H288))))</x:f>
        <x:v>#NAME?</x:v>
      </x:c>
      <x:c r="F578" s="27" t="e">
        <x:f>IF($A578="","",IF(발령대장_설정!$B$5="","",발령대장_설정!$B$5))</x:f>
        <x:v>#NAME?</x:v>
      </x:c>
      <x:c r="G578" s="27" t="e">
        <x:f>IF($A578="","",IF(발령대장_설정!$B$6="","",발령대장_설정!$B$6))</x:f>
        <x:v>#NAME?</x:v>
      </x:c>
      <x:c r="H578" s="27" t="e">
        <x:f>IF($A578="","",IF(발령대장_설정!$B$7="","",발령대장_설정!$B$7))</x:f>
        <x:v>#NAME?</x:v>
      </x:c>
      <x:c r="I578" s="27" t="e">
        <x:f>IF($A578="","",IF(발령대장_설정!$B$8="","",발령대장_설정!$B$8))</x:f>
        <x:v>#NAME?</x:v>
      </x:c>
      <x:c r="J578" s="27" t="str">
        <x:f>""</x:f>
      </x:c>
    </x:row>
    <x:row r="579" ht="42" customHeight="1">
      <x:c r="A579" s="47" t="e">
        <x:f>IF(AND(대장!A289&lt;&gt;"",ISNUMBER(대장!F289),OR(대장!G289="",AND(ISNUMBER(대장!G289),대장!G289&gt;=대장!F289))),대장!F289,"")</x:f>
        <x:v>#NAME?</x:v>
      </x:c>
      <x:c r="B579" s="27" t="e">
        <x:f>IF($A579="","",IF(발령대장_설정!$B$4="","",발령대장_설정!$B$4))</x:f>
        <x:v>#NAME?</x:v>
      </x:c>
      <x:c r="C579" s="27" t="e">
        <x:f>IF($A579="","",대장!D289)</x:f>
        <x:v>#NAME?</x:v>
      </x:c>
      <x:c r="D579" s="27" t="e">
        <x:f>IF($A579="","",대장!A289)</x:f>
        <x:v>#NAME?</x:v>
      </x:c>
      <x:c r="E579" s="27" t="e">
        <x:f>IF($A579="","",IF(대장!J289&lt;&gt;"",대장!J289,대장!D289&amp;"에 임함"&amp;IF(대장!E289="","",CHAR(10)&amp;"고용형태: "&amp;대장!E289)&amp;IF(대장!I289="","",CHAR(10)&amp;"소정근로시간: "&amp;대장!I289)&amp;CHAR(10)&amp;"근로기간: "&amp;YEAR(대장!F289)&amp;"."&amp;MONTH(대장!F289)&amp;"."&amp;DAY(대장!F289)&amp;"."&amp;" ~ "&amp;IF(ISNUMBER(대장!G289),YEAR(대장!G289)&amp;"."&amp;MONTH(대장!G289)&amp;"."&amp;DAY(대장!G289)&amp;".","재직 중")))</x:f>
        <x:v>#NAME?</x:v>
      </x:c>
      <x:c r="F579" s="27" t="e">
        <x:f>IF($A579="","",IF(발령대장_설정!$B$5="","",발령대장_설정!$B$5))</x:f>
        <x:v>#NAME?</x:v>
      </x:c>
      <x:c r="G579" s="27" t="e">
        <x:f>IF($A579="","",IF(발령대장_설정!$B$6="","",발령대장_설정!$B$6))</x:f>
        <x:v>#NAME?</x:v>
      </x:c>
      <x:c r="H579" s="27" t="e">
        <x:f>IF($A579="","",IF(발령대장_설정!$B$7="","",발령대장_설정!$B$7))</x:f>
        <x:v>#NAME?</x:v>
      </x:c>
      <x:c r="I579" s="27" t="e">
        <x:f>IF($A579="","",IF(발령대장_설정!$B$8="","",발령대장_설정!$B$8))</x:f>
        <x:v>#NAME?</x:v>
      </x:c>
      <x:c r="J579" s="27" t="e">
        <x:f>IF($A579="","",IF(대장!K289="","",대장!K289))</x:f>
        <x:v>#NAME?</x:v>
      </x:c>
    </x:row>
    <x:row r="580" ht="42" customHeight="1">
      <x:c r="A580" s="47" t="e">
        <x:f>IF(AND(대장!A289&lt;&gt;"",ISNUMBER(대장!F289),ISNUMBER(대장!G289),대장!G289&gt;=대장!F289,대장!H289&lt;&gt;""),대장!G289,"")</x:f>
        <x:v>#NAME?</x:v>
      </x:c>
      <x:c r="B580" s="27" t="e">
        <x:f>IF($A580="","",IF(발령대장_설정!$B$4="","",발령대장_설정!$B$4))</x:f>
        <x:v>#NAME?</x:v>
      </x:c>
      <x:c r="C580" s="27" t="e">
        <x:f>IF($A580="","",대장!D289)</x:f>
        <x:v>#NAME?</x:v>
      </x:c>
      <x:c r="D580" s="27" t="e">
        <x:f>IF($A580="","",대장!A289)</x:f>
        <x:v>#NAME?</x:v>
      </x:c>
      <x:c r="E580" s="27" t="e">
        <x:f>IF($A580="","",IF(OR(ISNUMBER(SEARCH("계약만료",대장!H289&amp;"")),ISNUMBER(SEARCH("기간만료",대장!H289&amp;""))),"계약기간 만료로 퇴직",IF(ISNUMBER(SEARCH("의원면직",대장!H289&amp;"")),"의원면직",IF(ISNUMBER(SEARCH("정년퇴직",대장!H289&amp;"")),"정년퇴직",대장!H289))))</x:f>
        <x:v>#NAME?</x:v>
      </x:c>
      <x:c r="F580" s="27" t="e">
        <x:f>IF($A580="","",IF(발령대장_설정!$B$5="","",발령대장_설정!$B$5))</x:f>
        <x:v>#NAME?</x:v>
      </x:c>
      <x:c r="G580" s="27" t="e">
        <x:f>IF($A580="","",IF(발령대장_설정!$B$6="","",발령대장_설정!$B$6))</x:f>
        <x:v>#NAME?</x:v>
      </x:c>
      <x:c r="H580" s="27" t="e">
        <x:f>IF($A580="","",IF(발령대장_설정!$B$7="","",발령대장_설정!$B$7))</x:f>
        <x:v>#NAME?</x:v>
      </x:c>
      <x:c r="I580" s="27" t="e">
        <x:f>IF($A580="","",IF(발령대장_설정!$B$8="","",발령대장_설정!$B$8))</x:f>
        <x:v>#NAME?</x:v>
      </x:c>
      <x:c r="J580" s="27" t="str">
        <x:f>""</x:f>
      </x:c>
    </x:row>
    <x:row r="581" ht="42" customHeight="1">
      <x:c r="A581" s="47" t="e">
        <x:f>IF(AND(대장!A290&lt;&gt;"",ISNUMBER(대장!F290),OR(대장!G290="",AND(ISNUMBER(대장!G290),대장!G290&gt;=대장!F290))),대장!F290,"")</x:f>
        <x:v>#NAME?</x:v>
      </x:c>
      <x:c r="B581" s="27" t="e">
        <x:f>IF($A581="","",IF(발령대장_설정!$B$4="","",발령대장_설정!$B$4))</x:f>
        <x:v>#NAME?</x:v>
      </x:c>
      <x:c r="C581" s="27" t="e">
        <x:f>IF($A581="","",대장!D290)</x:f>
        <x:v>#NAME?</x:v>
      </x:c>
      <x:c r="D581" s="27" t="e">
        <x:f>IF($A581="","",대장!A290)</x:f>
        <x:v>#NAME?</x:v>
      </x:c>
      <x:c r="E581" s="27" t="e">
        <x:f>IF($A581="","",IF(대장!J290&lt;&gt;"",대장!J290,대장!D290&amp;"에 임함"&amp;IF(대장!E290="","",CHAR(10)&amp;"고용형태: "&amp;대장!E290)&amp;IF(대장!I290="","",CHAR(10)&amp;"소정근로시간: "&amp;대장!I290)&amp;CHAR(10)&amp;"근로기간: "&amp;YEAR(대장!F290)&amp;"."&amp;MONTH(대장!F290)&amp;"."&amp;DAY(대장!F290)&amp;"."&amp;" ~ "&amp;IF(ISNUMBER(대장!G290),YEAR(대장!G290)&amp;"."&amp;MONTH(대장!G290)&amp;"."&amp;DAY(대장!G290)&amp;".","재직 중")))</x:f>
        <x:v>#NAME?</x:v>
      </x:c>
      <x:c r="F581" s="27" t="e">
        <x:f>IF($A581="","",IF(발령대장_설정!$B$5="","",발령대장_설정!$B$5))</x:f>
        <x:v>#NAME?</x:v>
      </x:c>
      <x:c r="G581" s="27" t="e">
        <x:f>IF($A581="","",IF(발령대장_설정!$B$6="","",발령대장_설정!$B$6))</x:f>
        <x:v>#NAME?</x:v>
      </x:c>
      <x:c r="H581" s="27" t="e">
        <x:f>IF($A581="","",IF(발령대장_설정!$B$7="","",발령대장_설정!$B$7))</x:f>
        <x:v>#NAME?</x:v>
      </x:c>
      <x:c r="I581" s="27" t="e">
        <x:f>IF($A581="","",IF(발령대장_설정!$B$8="","",발령대장_설정!$B$8))</x:f>
        <x:v>#NAME?</x:v>
      </x:c>
      <x:c r="J581" s="27" t="e">
        <x:f>IF($A581="","",IF(대장!K290="","",대장!K290))</x:f>
        <x:v>#NAME?</x:v>
      </x:c>
    </x:row>
    <x:row r="582" ht="42" customHeight="1">
      <x:c r="A582" s="47" t="e">
        <x:f>IF(AND(대장!A290&lt;&gt;"",ISNUMBER(대장!F290),ISNUMBER(대장!G290),대장!G290&gt;=대장!F290,대장!H290&lt;&gt;""),대장!G290,"")</x:f>
        <x:v>#NAME?</x:v>
      </x:c>
      <x:c r="B582" s="27" t="e">
        <x:f>IF($A582="","",IF(발령대장_설정!$B$4="","",발령대장_설정!$B$4))</x:f>
        <x:v>#NAME?</x:v>
      </x:c>
      <x:c r="C582" s="27" t="e">
        <x:f>IF($A582="","",대장!D290)</x:f>
        <x:v>#NAME?</x:v>
      </x:c>
      <x:c r="D582" s="27" t="e">
        <x:f>IF($A582="","",대장!A290)</x:f>
        <x:v>#NAME?</x:v>
      </x:c>
      <x:c r="E582" s="27" t="e">
        <x:f>IF($A582="","",IF(OR(ISNUMBER(SEARCH("계약만료",대장!H290&amp;"")),ISNUMBER(SEARCH("기간만료",대장!H290&amp;""))),"계약기간 만료로 퇴직",IF(ISNUMBER(SEARCH("의원면직",대장!H290&amp;"")),"의원면직",IF(ISNUMBER(SEARCH("정년퇴직",대장!H290&amp;"")),"정년퇴직",대장!H290))))</x:f>
        <x:v>#NAME?</x:v>
      </x:c>
      <x:c r="F582" s="27" t="e">
        <x:f>IF($A582="","",IF(발령대장_설정!$B$5="","",발령대장_설정!$B$5))</x:f>
        <x:v>#NAME?</x:v>
      </x:c>
      <x:c r="G582" s="27" t="e">
        <x:f>IF($A582="","",IF(발령대장_설정!$B$6="","",발령대장_설정!$B$6))</x:f>
        <x:v>#NAME?</x:v>
      </x:c>
      <x:c r="H582" s="27" t="e">
        <x:f>IF($A582="","",IF(발령대장_설정!$B$7="","",발령대장_설정!$B$7))</x:f>
        <x:v>#NAME?</x:v>
      </x:c>
      <x:c r="I582" s="27" t="e">
        <x:f>IF($A582="","",IF(발령대장_설정!$B$8="","",발령대장_설정!$B$8))</x:f>
        <x:v>#NAME?</x:v>
      </x:c>
      <x:c r="J582" s="27" t="str">
        <x:f>""</x:f>
      </x:c>
    </x:row>
    <x:row r="583" ht="42" customHeight="1">
      <x:c r="A583" s="47" t="e">
        <x:f>IF(AND(대장!A291&lt;&gt;"",ISNUMBER(대장!F291),OR(대장!G291="",AND(ISNUMBER(대장!G291),대장!G291&gt;=대장!F291))),대장!F291,"")</x:f>
        <x:v>#NAME?</x:v>
      </x:c>
      <x:c r="B583" s="27" t="e">
        <x:f>IF($A583="","",IF(발령대장_설정!$B$4="","",발령대장_설정!$B$4))</x:f>
        <x:v>#NAME?</x:v>
      </x:c>
      <x:c r="C583" s="27" t="e">
        <x:f>IF($A583="","",대장!D291)</x:f>
        <x:v>#NAME?</x:v>
      </x:c>
      <x:c r="D583" s="27" t="e">
        <x:f>IF($A583="","",대장!A291)</x:f>
        <x:v>#NAME?</x:v>
      </x:c>
      <x:c r="E583" s="27" t="e">
        <x:f>IF($A583="","",IF(대장!J291&lt;&gt;"",대장!J291,대장!D291&amp;"에 임함"&amp;IF(대장!E291="","",CHAR(10)&amp;"고용형태: "&amp;대장!E291)&amp;IF(대장!I291="","",CHAR(10)&amp;"소정근로시간: "&amp;대장!I291)&amp;CHAR(10)&amp;"근로기간: "&amp;YEAR(대장!F291)&amp;"."&amp;MONTH(대장!F291)&amp;"."&amp;DAY(대장!F291)&amp;"."&amp;" ~ "&amp;IF(ISNUMBER(대장!G291),YEAR(대장!G291)&amp;"."&amp;MONTH(대장!G291)&amp;"."&amp;DAY(대장!G291)&amp;".","재직 중")))</x:f>
        <x:v>#NAME?</x:v>
      </x:c>
      <x:c r="F583" s="27" t="e">
        <x:f>IF($A583="","",IF(발령대장_설정!$B$5="","",발령대장_설정!$B$5))</x:f>
        <x:v>#NAME?</x:v>
      </x:c>
      <x:c r="G583" s="27" t="e">
        <x:f>IF($A583="","",IF(발령대장_설정!$B$6="","",발령대장_설정!$B$6))</x:f>
        <x:v>#NAME?</x:v>
      </x:c>
      <x:c r="H583" s="27" t="e">
        <x:f>IF($A583="","",IF(발령대장_설정!$B$7="","",발령대장_설정!$B$7))</x:f>
        <x:v>#NAME?</x:v>
      </x:c>
      <x:c r="I583" s="27" t="e">
        <x:f>IF($A583="","",IF(발령대장_설정!$B$8="","",발령대장_설정!$B$8))</x:f>
        <x:v>#NAME?</x:v>
      </x:c>
      <x:c r="J583" s="27" t="e">
        <x:f>IF($A583="","",IF(대장!K291="","",대장!K291))</x:f>
        <x:v>#NAME?</x:v>
      </x:c>
    </x:row>
    <x:row r="584" ht="42" customHeight="1">
      <x:c r="A584" s="47" t="e">
        <x:f>IF(AND(대장!A291&lt;&gt;"",ISNUMBER(대장!F291),ISNUMBER(대장!G291),대장!G291&gt;=대장!F291,대장!H291&lt;&gt;""),대장!G291,"")</x:f>
        <x:v>#NAME?</x:v>
      </x:c>
      <x:c r="B584" s="27" t="e">
        <x:f>IF($A584="","",IF(발령대장_설정!$B$4="","",발령대장_설정!$B$4))</x:f>
        <x:v>#NAME?</x:v>
      </x:c>
      <x:c r="C584" s="27" t="e">
        <x:f>IF($A584="","",대장!D291)</x:f>
        <x:v>#NAME?</x:v>
      </x:c>
      <x:c r="D584" s="27" t="e">
        <x:f>IF($A584="","",대장!A291)</x:f>
        <x:v>#NAME?</x:v>
      </x:c>
      <x:c r="E584" s="27" t="e">
        <x:f>IF($A584="","",IF(OR(ISNUMBER(SEARCH("계약만료",대장!H291&amp;"")),ISNUMBER(SEARCH("기간만료",대장!H291&amp;""))),"계약기간 만료로 퇴직",IF(ISNUMBER(SEARCH("의원면직",대장!H291&amp;"")),"의원면직",IF(ISNUMBER(SEARCH("정년퇴직",대장!H291&amp;"")),"정년퇴직",대장!H291))))</x:f>
        <x:v>#NAME?</x:v>
      </x:c>
      <x:c r="F584" s="27" t="e">
        <x:f>IF($A584="","",IF(발령대장_설정!$B$5="","",발령대장_설정!$B$5))</x:f>
        <x:v>#NAME?</x:v>
      </x:c>
      <x:c r="G584" s="27" t="e">
        <x:f>IF($A584="","",IF(발령대장_설정!$B$6="","",발령대장_설정!$B$6))</x:f>
        <x:v>#NAME?</x:v>
      </x:c>
      <x:c r="H584" s="27" t="e">
        <x:f>IF($A584="","",IF(발령대장_설정!$B$7="","",발령대장_설정!$B$7))</x:f>
        <x:v>#NAME?</x:v>
      </x:c>
      <x:c r="I584" s="27" t="e">
        <x:f>IF($A584="","",IF(발령대장_설정!$B$8="","",발령대장_설정!$B$8))</x:f>
        <x:v>#NAME?</x:v>
      </x:c>
      <x:c r="J584" s="27" t="str">
        <x:f>""</x:f>
      </x:c>
    </x:row>
    <x:row r="585" ht="42" customHeight="1">
      <x:c r="A585" s="47" t="e">
        <x:f>IF(AND(대장!A292&lt;&gt;"",ISNUMBER(대장!F292),OR(대장!G292="",AND(ISNUMBER(대장!G292),대장!G292&gt;=대장!F292))),대장!F292,"")</x:f>
        <x:v>#NAME?</x:v>
      </x:c>
      <x:c r="B585" s="27" t="e">
        <x:f>IF($A585="","",IF(발령대장_설정!$B$4="","",발령대장_설정!$B$4))</x:f>
        <x:v>#NAME?</x:v>
      </x:c>
      <x:c r="C585" s="27" t="e">
        <x:f>IF($A585="","",대장!D292)</x:f>
        <x:v>#NAME?</x:v>
      </x:c>
      <x:c r="D585" s="27" t="e">
        <x:f>IF($A585="","",대장!A292)</x:f>
        <x:v>#NAME?</x:v>
      </x:c>
      <x:c r="E585" s="27" t="e">
        <x:f>IF($A585="","",IF(대장!J292&lt;&gt;"",대장!J292,대장!D292&amp;"에 임함"&amp;IF(대장!E292="","",CHAR(10)&amp;"고용형태: "&amp;대장!E292)&amp;IF(대장!I292="","",CHAR(10)&amp;"소정근로시간: "&amp;대장!I292)&amp;CHAR(10)&amp;"근로기간: "&amp;YEAR(대장!F292)&amp;"."&amp;MONTH(대장!F292)&amp;"."&amp;DAY(대장!F292)&amp;"."&amp;" ~ "&amp;IF(ISNUMBER(대장!G292),YEAR(대장!G292)&amp;"."&amp;MONTH(대장!G292)&amp;"."&amp;DAY(대장!G292)&amp;".","재직 중")))</x:f>
        <x:v>#NAME?</x:v>
      </x:c>
      <x:c r="F585" s="27" t="e">
        <x:f>IF($A585="","",IF(발령대장_설정!$B$5="","",발령대장_설정!$B$5))</x:f>
        <x:v>#NAME?</x:v>
      </x:c>
      <x:c r="G585" s="27" t="e">
        <x:f>IF($A585="","",IF(발령대장_설정!$B$6="","",발령대장_설정!$B$6))</x:f>
        <x:v>#NAME?</x:v>
      </x:c>
      <x:c r="H585" s="27" t="e">
        <x:f>IF($A585="","",IF(발령대장_설정!$B$7="","",발령대장_설정!$B$7))</x:f>
        <x:v>#NAME?</x:v>
      </x:c>
      <x:c r="I585" s="27" t="e">
        <x:f>IF($A585="","",IF(발령대장_설정!$B$8="","",발령대장_설정!$B$8))</x:f>
        <x:v>#NAME?</x:v>
      </x:c>
      <x:c r="J585" s="27" t="e">
        <x:f>IF($A585="","",IF(대장!K292="","",대장!K292))</x:f>
        <x:v>#NAME?</x:v>
      </x:c>
    </x:row>
    <x:row r="586" ht="42" customHeight="1">
      <x:c r="A586" s="47" t="e">
        <x:f>IF(AND(대장!A292&lt;&gt;"",ISNUMBER(대장!F292),ISNUMBER(대장!G292),대장!G292&gt;=대장!F292,대장!H292&lt;&gt;""),대장!G292,"")</x:f>
        <x:v>#NAME?</x:v>
      </x:c>
      <x:c r="B586" s="27" t="e">
        <x:f>IF($A586="","",IF(발령대장_설정!$B$4="","",발령대장_설정!$B$4))</x:f>
        <x:v>#NAME?</x:v>
      </x:c>
      <x:c r="C586" s="27" t="e">
        <x:f>IF($A586="","",대장!D292)</x:f>
        <x:v>#NAME?</x:v>
      </x:c>
      <x:c r="D586" s="27" t="e">
        <x:f>IF($A586="","",대장!A292)</x:f>
        <x:v>#NAME?</x:v>
      </x:c>
      <x:c r="E586" s="27" t="e">
        <x:f>IF($A586="","",IF(OR(ISNUMBER(SEARCH("계약만료",대장!H292&amp;"")),ISNUMBER(SEARCH("기간만료",대장!H292&amp;""))),"계약기간 만료로 퇴직",IF(ISNUMBER(SEARCH("의원면직",대장!H292&amp;"")),"의원면직",IF(ISNUMBER(SEARCH("정년퇴직",대장!H292&amp;"")),"정년퇴직",대장!H292))))</x:f>
        <x:v>#NAME?</x:v>
      </x:c>
      <x:c r="F586" s="27" t="e">
        <x:f>IF($A586="","",IF(발령대장_설정!$B$5="","",발령대장_설정!$B$5))</x:f>
        <x:v>#NAME?</x:v>
      </x:c>
      <x:c r="G586" s="27" t="e">
        <x:f>IF($A586="","",IF(발령대장_설정!$B$6="","",발령대장_설정!$B$6))</x:f>
        <x:v>#NAME?</x:v>
      </x:c>
      <x:c r="H586" s="27" t="e">
        <x:f>IF($A586="","",IF(발령대장_설정!$B$7="","",발령대장_설정!$B$7))</x:f>
        <x:v>#NAME?</x:v>
      </x:c>
      <x:c r="I586" s="27" t="e">
        <x:f>IF($A586="","",IF(발령대장_설정!$B$8="","",발령대장_설정!$B$8))</x:f>
        <x:v>#NAME?</x:v>
      </x:c>
      <x:c r="J586" s="27" t="str">
        <x:f>""</x:f>
      </x:c>
    </x:row>
    <x:row r="587" ht="42" customHeight="1">
      <x:c r="A587" s="47" t="e">
        <x:f>IF(AND(대장!A293&lt;&gt;"",ISNUMBER(대장!F293),OR(대장!G293="",AND(ISNUMBER(대장!G293),대장!G293&gt;=대장!F293))),대장!F293,"")</x:f>
        <x:v>#NAME?</x:v>
      </x:c>
      <x:c r="B587" s="27" t="e">
        <x:f>IF($A587="","",IF(발령대장_설정!$B$4="","",발령대장_설정!$B$4))</x:f>
        <x:v>#NAME?</x:v>
      </x:c>
      <x:c r="C587" s="27" t="e">
        <x:f>IF($A587="","",대장!D293)</x:f>
        <x:v>#NAME?</x:v>
      </x:c>
      <x:c r="D587" s="27" t="e">
        <x:f>IF($A587="","",대장!A293)</x:f>
        <x:v>#NAME?</x:v>
      </x:c>
      <x:c r="E587" s="27" t="e">
        <x:f>IF($A587="","",IF(대장!J293&lt;&gt;"",대장!J293,대장!D293&amp;"에 임함"&amp;IF(대장!E293="","",CHAR(10)&amp;"고용형태: "&amp;대장!E293)&amp;IF(대장!I293="","",CHAR(10)&amp;"소정근로시간: "&amp;대장!I293)&amp;CHAR(10)&amp;"근로기간: "&amp;YEAR(대장!F293)&amp;"."&amp;MONTH(대장!F293)&amp;"."&amp;DAY(대장!F293)&amp;"."&amp;" ~ "&amp;IF(ISNUMBER(대장!G293),YEAR(대장!G293)&amp;"."&amp;MONTH(대장!G293)&amp;"."&amp;DAY(대장!G293)&amp;".","재직 중")))</x:f>
        <x:v>#NAME?</x:v>
      </x:c>
      <x:c r="F587" s="27" t="e">
        <x:f>IF($A587="","",IF(발령대장_설정!$B$5="","",발령대장_설정!$B$5))</x:f>
        <x:v>#NAME?</x:v>
      </x:c>
      <x:c r="G587" s="27" t="e">
        <x:f>IF($A587="","",IF(발령대장_설정!$B$6="","",발령대장_설정!$B$6))</x:f>
        <x:v>#NAME?</x:v>
      </x:c>
      <x:c r="H587" s="27" t="e">
        <x:f>IF($A587="","",IF(발령대장_설정!$B$7="","",발령대장_설정!$B$7))</x:f>
        <x:v>#NAME?</x:v>
      </x:c>
      <x:c r="I587" s="27" t="e">
        <x:f>IF($A587="","",IF(발령대장_설정!$B$8="","",발령대장_설정!$B$8))</x:f>
        <x:v>#NAME?</x:v>
      </x:c>
      <x:c r="J587" s="27" t="e">
        <x:f>IF($A587="","",IF(대장!K293="","",대장!K293))</x:f>
        <x:v>#NAME?</x:v>
      </x:c>
    </x:row>
    <x:row r="588" ht="42" customHeight="1">
      <x:c r="A588" s="47" t="e">
        <x:f>IF(AND(대장!A293&lt;&gt;"",ISNUMBER(대장!F293),ISNUMBER(대장!G293),대장!G293&gt;=대장!F293,대장!H293&lt;&gt;""),대장!G293,"")</x:f>
        <x:v>#NAME?</x:v>
      </x:c>
      <x:c r="B588" s="27" t="e">
        <x:f>IF($A588="","",IF(발령대장_설정!$B$4="","",발령대장_설정!$B$4))</x:f>
        <x:v>#NAME?</x:v>
      </x:c>
      <x:c r="C588" s="27" t="e">
        <x:f>IF($A588="","",대장!D293)</x:f>
        <x:v>#NAME?</x:v>
      </x:c>
      <x:c r="D588" s="27" t="e">
        <x:f>IF($A588="","",대장!A293)</x:f>
        <x:v>#NAME?</x:v>
      </x:c>
      <x:c r="E588" s="27" t="e">
        <x:f>IF($A588="","",IF(OR(ISNUMBER(SEARCH("계약만료",대장!H293&amp;"")),ISNUMBER(SEARCH("기간만료",대장!H293&amp;""))),"계약기간 만료로 퇴직",IF(ISNUMBER(SEARCH("의원면직",대장!H293&amp;"")),"의원면직",IF(ISNUMBER(SEARCH("정년퇴직",대장!H293&amp;"")),"정년퇴직",대장!H293))))</x:f>
        <x:v>#NAME?</x:v>
      </x:c>
      <x:c r="F588" s="27" t="e">
        <x:f>IF($A588="","",IF(발령대장_설정!$B$5="","",발령대장_설정!$B$5))</x:f>
        <x:v>#NAME?</x:v>
      </x:c>
      <x:c r="G588" s="27" t="e">
        <x:f>IF($A588="","",IF(발령대장_설정!$B$6="","",발령대장_설정!$B$6))</x:f>
        <x:v>#NAME?</x:v>
      </x:c>
      <x:c r="H588" s="27" t="e">
        <x:f>IF($A588="","",IF(발령대장_설정!$B$7="","",발령대장_설정!$B$7))</x:f>
        <x:v>#NAME?</x:v>
      </x:c>
      <x:c r="I588" s="27" t="e">
        <x:f>IF($A588="","",IF(발령대장_설정!$B$8="","",발령대장_설정!$B$8))</x:f>
        <x:v>#NAME?</x:v>
      </x:c>
      <x:c r="J588" s="27" t="str">
        <x:f>""</x:f>
      </x:c>
    </x:row>
    <x:row r="589" ht="42" customHeight="1">
      <x:c r="A589" s="47" t="e">
        <x:f>IF(AND(대장!A294&lt;&gt;"",ISNUMBER(대장!F294),OR(대장!G294="",AND(ISNUMBER(대장!G294),대장!G294&gt;=대장!F294))),대장!F294,"")</x:f>
        <x:v>#NAME?</x:v>
      </x:c>
      <x:c r="B589" s="27" t="e">
        <x:f>IF($A589="","",IF(발령대장_설정!$B$4="","",발령대장_설정!$B$4))</x:f>
        <x:v>#NAME?</x:v>
      </x:c>
      <x:c r="C589" s="27" t="e">
        <x:f>IF($A589="","",대장!D294)</x:f>
        <x:v>#NAME?</x:v>
      </x:c>
      <x:c r="D589" s="27" t="e">
        <x:f>IF($A589="","",대장!A294)</x:f>
        <x:v>#NAME?</x:v>
      </x:c>
      <x:c r="E589" s="27" t="e">
        <x:f>IF($A589="","",IF(대장!J294&lt;&gt;"",대장!J294,대장!D294&amp;"에 임함"&amp;IF(대장!E294="","",CHAR(10)&amp;"고용형태: "&amp;대장!E294)&amp;IF(대장!I294="","",CHAR(10)&amp;"소정근로시간: "&amp;대장!I294)&amp;CHAR(10)&amp;"근로기간: "&amp;YEAR(대장!F294)&amp;"."&amp;MONTH(대장!F294)&amp;"."&amp;DAY(대장!F294)&amp;"."&amp;" ~ "&amp;IF(ISNUMBER(대장!G294),YEAR(대장!G294)&amp;"."&amp;MONTH(대장!G294)&amp;"."&amp;DAY(대장!G294)&amp;".","재직 중")))</x:f>
        <x:v>#NAME?</x:v>
      </x:c>
      <x:c r="F589" s="27" t="e">
        <x:f>IF($A589="","",IF(발령대장_설정!$B$5="","",발령대장_설정!$B$5))</x:f>
        <x:v>#NAME?</x:v>
      </x:c>
      <x:c r="G589" s="27" t="e">
        <x:f>IF($A589="","",IF(발령대장_설정!$B$6="","",발령대장_설정!$B$6))</x:f>
        <x:v>#NAME?</x:v>
      </x:c>
      <x:c r="H589" s="27" t="e">
        <x:f>IF($A589="","",IF(발령대장_설정!$B$7="","",발령대장_설정!$B$7))</x:f>
        <x:v>#NAME?</x:v>
      </x:c>
      <x:c r="I589" s="27" t="e">
        <x:f>IF($A589="","",IF(발령대장_설정!$B$8="","",발령대장_설정!$B$8))</x:f>
        <x:v>#NAME?</x:v>
      </x:c>
      <x:c r="J589" s="27" t="e">
        <x:f>IF($A589="","",IF(대장!K294="","",대장!K294))</x:f>
        <x:v>#NAME?</x:v>
      </x:c>
    </x:row>
    <x:row r="590" ht="42" customHeight="1">
      <x:c r="A590" s="47" t="e">
        <x:f>IF(AND(대장!A294&lt;&gt;"",ISNUMBER(대장!F294),ISNUMBER(대장!G294),대장!G294&gt;=대장!F294,대장!H294&lt;&gt;""),대장!G294,"")</x:f>
        <x:v>#NAME?</x:v>
      </x:c>
      <x:c r="B590" s="27" t="e">
        <x:f>IF($A590="","",IF(발령대장_설정!$B$4="","",발령대장_설정!$B$4))</x:f>
        <x:v>#NAME?</x:v>
      </x:c>
      <x:c r="C590" s="27" t="e">
        <x:f>IF($A590="","",대장!D294)</x:f>
        <x:v>#NAME?</x:v>
      </x:c>
      <x:c r="D590" s="27" t="e">
        <x:f>IF($A590="","",대장!A294)</x:f>
        <x:v>#NAME?</x:v>
      </x:c>
      <x:c r="E590" s="27" t="e">
        <x:f>IF($A590="","",IF(OR(ISNUMBER(SEARCH("계약만료",대장!H294&amp;"")),ISNUMBER(SEARCH("기간만료",대장!H294&amp;""))),"계약기간 만료로 퇴직",IF(ISNUMBER(SEARCH("의원면직",대장!H294&amp;"")),"의원면직",IF(ISNUMBER(SEARCH("정년퇴직",대장!H294&amp;"")),"정년퇴직",대장!H294))))</x:f>
        <x:v>#NAME?</x:v>
      </x:c>
      <x:c r="F590" s="27" t="e">
        <x:f>IF($A590="","",IF(발령대장_설정!$B$5="","",발령대장_설정!$B$5))</x:f>
        <x:v>#NAME?</x:v>
      </x:c>
      <x:c r="G590" s="27" t="e">
        <x:f>IF($A590="","",IF(발령대장_설정!$B$6="","",발령대장_설정!$B$6))</x:f>
        <x:v>#NAME?</x:v>
      </x:c>
      <x:c r="H590" s="27" t="e">
        <x:f>IF($A590="","",IF(발령대장_설정!$B$7="","",발령대장_설정!$B$7))</x:f>
        <x:v>#NAME?</x:v>
      </x:c>
      <x:c r="I590" s="27" t="e">
        <x:f>IF($A590="","",IF(발령대장_설정!$B$8="","",발령대장_설정!$B$8))</x:f>
        <x:v>#NAME?</x:v>
      </x:c>
      <x:c r="J590" s="27" t="str">
        <x:f>""</x:f>
      </x:c>
    </x:row>
    <x:row r="591" ht="42" customHeight="1">
      <x:c r="A591" s="47" t="e">
        <x:f>IF(AND(대장!A295&lt;&gt;"",ISNUMBER(대장!F295),OR(대장!G295="",AND(ISNUMBER(대장!G295),대장!G295&gt;=대장!F295))),대장!F295,"")</x:f>
        <x:v>#NAME?</x:v>
      </x:c>
      <x:c r="B591" s="27" t="e">
        <x:f>IF($A591="","",IF(발령대장_설정!$B$4="","",발령대장_설정!$B$4))</x:f>
        <x:v>#NAME?</x:v>
      </x:c>
      <x:c r="C591" s="27" t="e">
        <x:f>IF($A591="","",대장!D295)</x:f>
        <x:v>#NAME?</x:v>
      </x:c>
      <x:c r="D591" s="27" t="e">
        <x:f>IF($A591="","",대장!A295)</x:f>
        <x:v>#NAME?</x:v>
      </x:c>
      <x:c r="E591" s="27" t="e">
        <x:f>IF($A591="","",IF(대장!J295&lt;&gt;"",대장!J295,대장!D295&amp;"에 임함"&amp;IF(대장!E295="","",CHAR(10)&amp;"고용형태: "&amp;대장!E295)&amp;IF(대장!I295="","",CHAR(10)&amp;"소정근로시간: "&amp;대장!I295)&amp;CHAR(10)&amp;"근로기간: "&amp;YEAR(대장!F295)&amp;"."&amp;MONTH(대장!F295)&amp;"."&amp;DAY(대장!F295)&amp;"."&amp;" ~ "&amp;IF(ISNUMBER(대장!G295),YEAR(대장!G295)&amp;"."&amp;MONTH(대장!G295)&amp;"."&amp;DAY(대장!G295)&amp;".","재직 중")))</x:f>
        <x:v>#NAME?</x:v>
      </x:c>
      <x:c r="F591" s="27" t="e">
        <x:f>IF($A591="","",IF(발령대장_설정!$B$5="","",발령대장_설정!$B$5))</x:f>
        <x:v>#NAME?</x:v>
      </x:c>
      <x:c r="G591" s="27" t="e">
        <x:f>IF($A591="","",IF(발령대장_설정!$B$6="","",발령대장_설정!$B$6))</x:f>
        <x:v>#NAME?</x:v>
      </x:c>
      <x:c r="H591" s="27" t="e">
        <x:f>IF($A591="","",IF(발령대장_설정!$B$7="","",발령대장_설정!$B$7))</x:f>
        <x:v>#NAME?</x:v>
      </x:c>
      <x:c r="I591" s="27" t="e">
        <x:f>IF($A591="","",IF(발령대장_설정!$B$8="","",발령대장_설정!$B$8))</x:f>
        <x:v>#NAME?</x:v>
      </x:c>
      <x:c r="J591" s="27" t="e">
        <x:f>IF($A591="","",IF(대장!K295="","",대장!K295))</x:f>
        <x:v>#NAME?</x:v>
      </x:c>
    </x:row>
    <x:row r="592" ht="42" customHeight="1">
      <x:c r="A592" s="47" t="e">
        <x:f>IF(AND(대장!A295&lt;&gt;"",ISNUMBER(대장!F295),ISNUMBER(대장!G295),대장!G295&gt;=대장!F295,대장!H295&lt;&gt;""),대장!G295,"")</x:f>
        <x:v>#NAME?</x:v>
      </x:c>
      <x:c r="B592" s="27" t="e">
        <x:f>IF($A592="","",IF(발령대장_설정!$B$4="","",발령대장_설정!$B$4))</x:f>
        <x:v>#NAME?</x:v>
      </x:c>
      <x:c r="C592" s="27" t="e">
        <x:f>IF($A592="","",대장!D295)</x:f>
        <x:v>#NAME?</x:v>
      </x:c>
      <x:c r="D592" s="27" t="e">
        <x:f>IF($A592="","",대장!A295)</x:f>
        <x:v>#NAME?</x:v>
      </x:c>
      <x:c r="E592" s="27" t="e">
        <x:f>IF($A592="","",IF(OR(ISNUMBER(SEARCH("계약만료",대장!H295&amp;"")),ISNUMBER(SEARCH("기간만료",대장!H295&amp;""))),"계약기간 만료로 퇴직",IF(ISNUMBER(SEARCH("의원면직",대장!H295&amp;"")),"의원면직",IF(ISNUMBER(SEARCH("정년퇴직",대장!H295&amp;"")),"정년퇴직",대장!H295))))</x:f>
        <x:v>#NAME?</x:v>
      </x:c>
      <x:c r="F592" s="27" t="e">
        <x:f>IF($A592="","",IF(발령대장_설정!$B$5="","",발령대장_설정!$B$5))</x:f>
        <x:v>#NAME?</x:v>
      </x:c>
      <x:c r="G592" s="27" t="e">
        <x:f>IF($A592="","",IF(발령대장_설정!$B$6="","",발령대장_설정!$B$6))</x:f>
        <x:v>#NAME?</x:v>
      </x:c>
      <x:c r="H592" s="27" t="e">
        <x:f>IF($A592="","",IF(발령대장_설정!$B$7="","",발령대장_설정!$B$7))</x:f>
        <x:v>#NAME?</x:v>
      </x:c>
      <x:c r="I592" s="27" t="e">
        <x:f>IF($A592="","",IF(발령대장_설정!$B$8="","",발령대장_설정!$B$8))</x:f>
        <x:v>#NAME?</x:v>
      </x:c>
      <x:c r="J592" s="27" t="str">
        <x:f>""</x:f>
      </x:c>
    </x:row>
    <x:row r="593" ht="42" customHeight="1">
      <x:c r="A593" s="47" t="e">
        <x:f>IF(AND(대장!A296&lt;&gt;"",ISNUMBER(대장!F296),OR(대장!G296="",AND(ISNUMBER(대장!G296),대장!G296&gt;=대장!F296))),대장!F296,"")</x:f>
        <x:v>#NAME?</x:v>
      </x:c>
      <x:c r="B593" s="27" t="e">
        <x:f>IF($A593="","",IF(발령대장_설정!$B$4="","",발령대장_설정!$B$4))</x:f>
        <x:v>#NAME?</x:v>
      </x:c>
      <x:c r="C593" s="27" t="e">
        <x:f>IF($A593="","",대장!D296)</x:f>
        <x:v>#NAME?</x:v>
      </x:c>
      <x:c r="D593" s="27" t="e">
        <x:f>IF($A593="","",대장!A296)</x:f>
        <x:v>#NAME?</x:v>
      </x:c>
      <x:c r="E593" s="27" t="e">
        <x:f>IF($A593="","",IF(대장!J296&lt;&gt;"",대장!J296,대장!D296&amp;"에 임함"&amp;IF(대장!E296="","",CHAR(10)&amp;"고용형태: "&amp;대장!E296)&amp;IF(대장!I296="","",CHAR(10)&amp;"소정근로시간: "&amp;대장!I296)&amp;CHAR(10)&amp;"근로기간: "&amp;YEAR(대장!F296)&amp;"."&amp;MONTH(대장!F296)&amp;"."&amp;DAY(대장!F296)&amp;"."&amp;" ~ "&amp;IF(ISNUMBER(대장!G296),YEAR(대장!G296)&amp;"."&amp;MONTH(대장!G296)&amp;"."&amp;DAY(대장!G296)&amp;".","재직 중")))</x:f>
        <x:v>#NAME?</x:v>
      </x:c>
      <x:c r="F593" s="27" t="e">
        <x:f>IF($A593="","",IF(발령대장_설정!$B$5="","",발령대장_설정!$B$5))</x:f>
        <x:v>#NAME?</x:v>
      </x:c>
      <x:c r="G593" s="27" t="e">
        <x:f>IF($A593="","",IF(발령대장_설정!$B$6="","",발령대장_설정!$B$6))</x:f>
        <x:v>#NAME?</x:v>
      </x:c>
      <x:c r="H593" s="27" t="e">
        <x:f>IF($A593="","",IF(발령대장_설정!$B$7="","",발령대장_설정!$B$7))</x:f>
        <x:v>#NAME?</x:v>
      </x:c>
      <x:c r="I593" s="27" t="e">
        <x:f>IF($A593="","",IF(발령대장_설정!$B$8="","",발령대장_설정!$B$8))</x:f>
        <x:v>#NAME?</x:v>
      </x:c>
      <x:c r="J593" s="27" t="e">
        <x:f>IF($A593="","",IF(대장!K296="","",대장!K296))</x:f>
        <x:v>#NAME?</x:v>
      </x:c>
    </x:row>
    <x:row r="594" ht="42" customHeight="1">
      <x:c r="A594" s="47" t="e">
        <x:f>IF(AND(대장!A296&lt;&gt;"",ISNUMBER(대장!F296),ISNUMBER(대장!G296),대장!G296&gt;=대장!F296,대장!H296&lt;&gt;""),대장!G296,"")</x:f>
        <x:v>#NAME?</x:v>
      </x:c>
      <x:c r="B594" s="27" t="e">
        <x:f>IF($A594="","",IF(발령대장_설정!$B$4="","",발령대장_설정!$B$4))</x:f>
        <x:v>#NAME?</x:v>
      </x:c>
      <x:c r="C594" s="27" t="e">
        <x:f>IF($A594="","",대장!D296)</x:f>
        <x:v>#NAME?</x:v>
      </x:c>
      <x:c r="D594" s="27" t="e">
        <x:f>IF($A594="","",대장!A296)</x:f>
        <x:v>#NAME?</x:v>
      </x:c>
      <x:c r="E594" s="27" t="e">
        <x:f>IF($A594="","",IF(OR(ISNUMBER(SEARCH("계약만료",대장!H296&amp;"")),ISNUMBER(SEARCH("기간만료",대장!H296&amp;""))),"계약기간 만료로 퇴직",IF(ISNUMBER(SEARCH("의원면직",대장!H296&amp;"")),"의원면직",IF(ISNUMBER(SEARCH("정년퇴직",대장!H296&amp;"")),"정년퇴직",대장!H296))))</x:f>
        <x:v>#NAME?</x:v>
      </x:c>
      <x:c r="F594" s="27" t="e">
        <x:f>IF($A594="","",IF(발령대장_설정!$B$5="","",발령대장_설정!$B$5))</x:f>
        <x:v>#NAME?</x:v>
      </x:c>
      <x:c r="G594" s="27" t="e">
        <x:f>IF($A594="","",IF(발령대장_설정!$B$6="","",발령대장_설정!$B$6))</x:f>
        <x:v>#NAME?</x:v>
      </x:c>
      <x:c r="H594" s="27" t="e">
        <x:f>IF($A594="","",IF(발령대장_설정!$B$7="","",발령대장_설정!$B$7))</x:f>
        <x:v>#NAME?</x:v>
      </x:c>
      <x:c r="I594" s="27" t="e">
        <x:f>IF($A594="","",IF(발령대장_설정!$B$8="","",발령대장_설정!$B$8))</x:f>
        <x:v>#NAME?</x:v>
      </x:c>
      <x:c r="J594" s="27" t="str">
        <x:f>""</x:f>
      </x:c>
    </x:row>
    <x:row r="595" ht="42" customHeight="1">
      <x:c r="A595" s="47" t="e">
        <x:f>IF(AND(대장!A297&lt;&gt;"",ISNUMBER(대장!F297),OR(대장!G297="",AND(ISNUMBER(대장!G297),대장!G297&gt;=대장!F297))),대장!F297,"")</x:f>
        <x:v>#NAME?</x:v>
      </x:c>
      <x:c r="B595" s="27" t="e">
        <x:f>IF($A595="","",IF(발령대장_설정!$B$4="","",발령대장_설정!$B$4))</x:f>
        <x:v>#NAME?</x:v>
      </x:c>
      <x:c r="C595" s="27" t="e">
        <x:f>IF($A595="","",대장!D297)</x:f>
        <x:v>#NAME?</x:v>
      </x:c>
      <x:c r="D595" s="27" t="e">
        <x:f>IF($A595="","",대장!A297)</x:f>
        <x:v>#NAME?</x:v>
      </x:c>
      <x:c r="E595" s="27" t="e">
        <x:f>IF($A595="","",IF(대장!J297&lt;&gt;"",대장!J297,대장!D297&amp;"에 임함"&amp;IF(대장!E297="","",CHAR(10)&amp;"고용형태: "&amp;대장!E297)&amp;IF(대장!I297="","",CHAR(10)&amp;"소정근로시간: "&amp;대장!I297)&amp;CHAR(10)&amp;"근로기간: "&amp;YEAR(대장!F297)&amp;"."&amp;MONTH(대장!F297)&amp;"."&amp;DAY(대장!F297)&amp;"."&amp;" ~ "&amp;IF(ISNUMBER(대장!G297),YEAR(대장!G297)&amp;"."&amp;MONTH(대장!G297)&amp;"."&amp;DAY(대장!G297)&amp;".","재직 중")))</x:f>
        <x:v>#NAME?</x:v>
      </x:c>
      <x:c r="F595" s="27" t="e">
        <x:f>IF($A595="","",IF(발령대장_설정!$B$5="","",발령대장_설정!$B$5))</x:f>
        <x:v>#NAME?</x:v>
      </x:c>
      <x:c r="G595" s="27" t="e">
        <x:f>IF($A595="","",IF(발령대장_설정!$B$6="","",발령대장_설정!$B$6))</x:f>
        <x:v>#NAME?</x:v>
      </x:c>
      <x:c r="H595" s="27" t="e">
        <x:f>IF($A595="","",IF(발령대장_설정!$B$7="","",발령대장_설정!$B$7))</x:f>
        <x:v>#NAME?</x:v>
      </x:c>
      <x:c r="I595" s="27" t="e">
        <x:f>IF($A595="","",IF(발령대장_설정!$B$8="","",발령대장_설정!$B$8))</x:f>
        <x:v>#NAME?</x:v>
      </x:c>
      <x:c r="J595" s="27" t="e">
        <x:f>IF($A595="","",IF(대장!K297="","",대장!K297))</x:f>
        <x:v>#NAME?</x:v>
      </x:c>
    </x:row>
    <x:row r="596" ht="42" customHeight="1">
      <x:c r="A596" s="47" t="e">
        <x:f>IF(AND(대장!A297&lt;&gt;"",ISNUMBER(대장!F297),ISNUMBER(대장!G297),대장!G297&gt;=대장!F297,대장!H297&lt;&gt;""),대장!G297,"")</x:f>
        <x:v>#NAME?</x:v>
      </x:c>
      <x:c r="B596" s="27" t="e">
        <x:f>IF($A596="","",IF(발령대장_설정!$B$4="","",발령대장_설정!$B$4))</x:f>
        <x:v>#NAME?</x:v>
      </x:c>
      <x:c r="C596" s="27" t="e">
        <x:f>IF($A596="","",대장!D297)</x:f>
        <x:v>#NAME?</x:v>
      </x:c>
      <x:c r="D596" s="27" t="e">
        <x:f>IF($A596="","",대장!A297)</x:f>
        <x:v>#NAME?</x:v>
      </x:c>
      <x:c r="E596" s="27" t="e">
        <x:f>IF($A596="","",IF(OR(ISNUMBER(SEARCH("계약만료",대장!H297&amp;"")),ISNUMBER(SEARCH("기간만료",대장!H297&amp;""))),"계약기간 만료로 퇴직",IF(ISNUMBER(SEARCH("의원면직",대장!H297&amp;"")),"의원면직",IF(ISNUMBER(SEARCH("정년퇴직",대장!H297&amp;"")),"정년퇴직",대장!H297))))</x:f>
        <x:v>#NAME?</x:v>
      </x:c>
      <x:c r="F596" s="27" t="e">
        <x:f>IF($A596="","",IF(발령대장_설정!$B$5="","",발령대장_설정!$B$5))</x:f>
        <x:v>#NAME?</x:v>
      </x:c>
      <x:c r="G596" s="27" t="e">
        <x:f>IF($A596="","",IF(발령대장_설정!$B$6="","",발령대장_설정!$B$6))</x:f>
        <x:v>#NAME?</x:v>
      </x:c>
      <x:c r="H596" s="27" t="e">
        <x:f>IF($A596="","",IF(발령대장_설정!$B$7="","",발령대장_설정!$B$7))</x:f>
        <x:v>#NAME?</x:v>
      </x:c>
      <x:c r="I596" s="27" t="e">
        <x:f>IF($A596="","",IF(발령대장_설정!$B$8="","",발령대장_설정!$B$8))</x:f>
        <x:v>#NAME?</x:v>
      </x:c>
      <x:c r="J596" s="27" t="str">
        <x:f>""</x:f>
      </x:c>
    </x:row>
    <x:row r="597" ht="42" customHeight="1">
      <x:c r="A597" s="47" t="e">
        <x:f>IF(AND(대장!A298&lt;&gt;"",ISNUMBER(대장!F298),OR(대장!G298="",AND(ISNUMBER(대장!G298),대장!G298&gt;=대장!F298))),대장!F298,"")</x:f>
        <x:v>#NAME?</x:v>
      </x:c>
      <x:c r="B597" s="27" t="e">
        <x:f>IF($A597="","",IF(발령대장_설정!$B$4="","",발령대장_설정!$B$4))</x:f>
        <x:v>#NAME?</x:v>
      </x:c>
      <x:c r="C597" s="27" t="e">
        <x:f>IF($A597="","",대장!D298)</x:f>
        <x:v>#NAME?</x:v>
      </x:c>
      <x:c r="D597" s="27" t="e">
        <x:f>IF($A597="","",대장!A298)</x:f>
        <x:v>#NAME?</x:v>
      </x:c>
      <x:c r="E597" s="27" t="e">
        <x:f>IF($A597="","",IF(대장!J298&lt;&gt;"",대장!J298,대장!D298&amp;"에 임함"&amp;IF(대장!E298="","",CHAR(10)&amp;"고용형태: "&amp;대장!E298)&amp;IF(대장!I298="","",CHAR(10)&amp;"소정근로시간: "&amp;대장!I298)&amp;CHAR(10)&amp;"근로기간: "&amp;YEAR(대장!F298)&amp;"."&amp;MONTH(대장!F298)&amp;"."&amp;DAY(대장!F298)&amp;"."&amp;" ~ "&amp;IF(ISNUMBER(대장!G298),YEAR(대장!G298)&amp;"."&amp;MONTH(대장!G298)&amp;"."&amp;DAY(대장!G298)&amp;".","재직 중")))</x:f>
        <x:v>#NAME?</x:v>
      </x:c>
      <x:c r="F597" s="27" t="e">
        <x:f>IF($A597="","",IF(발령대장_설정!$B$5="","",발령대장_설정!$B$5))</x:f>
        <x:v>#NAME?</x:v>
      </x:c>
      <x:c r="G597" s="27" t="e">
        <x:f>IF($A597="","",IF(발령대장_설정!$B$6="","",발령대장_설정!$B$6))</x:f>
        <x:v>#NAME?</x:v>
      </x:c>
      <x:c r="H597" s="27" t="e">
        <x:f>IF($A597="","",IF(발령대장_설정!$B$7="","",발령대장_설정!$B$7))</x:f>
        <x:v>#NAME?</x:v>
      </x:c>
      <x:c r="I597" s="27" t="e">
        <x:f>IF($A597="","",IF(발령대장_설정!$B$8="","",발령대장_설정!$B$8))</x:f>
        <x:v>#NAME?</x:v>
      </x:c>
      <x:c r="J597" s="27" t="e">
        <x:f>IF($A597="","",IF(대장!K298="","",대장!K298))</x:f>
        <x:v>#NAME?</x:v>
      </x:c>
    </x:row>
    <x:row r="598" ht="42" customHeight="1">
      <x:c r="A598" s="47" t="e">
        <x:f>IF(AND(대장!A298&lt;&gt;"",ISNUMBER(대장!F298),ISNUMBER(대장!G298),대장!G298&gt;=대장!F298,대장!H298&lt;&gt;""),대장!G298,"")</x:f>
        <x:v>#NAME?</x:v>
      </x:c>
      <x:c r="B598" s="27" t="e">
        <x:f>IF($A598="","",IF(발령대장_설정!$B$4="","",발령대장_설정!$B$4))</x:f>
        <x:v>#NAME?</x:v>
      </x:c>
      <x:c r="C598" s="27" t="e">
        <x:f>IF($A598="","",대장!D298)</x:f>
        <x:v>#NAME?</x:v>
      </x:c>
      <x:c r="D598" s="27" t="e">
        <x:f>IF($A598="","",대장!A298)</x:f>
        <x:v>#NAME?</x:v>
      </x:c>
      <x:c r="E598" s="27" t="e">
        <x:f>IF($A598="","",IF(OR(ISNUMBER(SEARCH("계약만료",대장!H298&amp;"")),ISNUMBER(SEARCH("기간만료",대장!H298&amp;""))),"계약기간 만료로 퇴직",IF(ISNUMBER(SEARCH("의원면직",대장!H298&amp;"")),"의원면직",IF(ISNUMBER(SEARCH("정년퇴직",대장!H298&amp;"")),"정년퇴직",대장!H298))))</x:f>
        <x:v>#NAME?</x:v>
      </x:c>
      <x:c r="F598" s="27" t="e">
        <x:f>IF($A598="","",IF(발령대장_설정!$B$5="","",발령대장_설정!$B$5))</x:f>
        <x:v>#NAME?</x:v>
      </x:c>
      <x:c r="G598" s="27" t="e">
        <x:f>IF($A598="","",IF(발령대장_설정!$B$6="","",발령대장_설정!$B$6))</x:f>
        <x:v>#NAME?</x:v>
      </x:c>
      <x:c r="H598" s="27" t="e">
        <x:f>IF($A598="","",IF(발령대장_설정!$B$7="","",발령대장_설정!$B$7))</x:f>
        <x:v>#NAME?</x:v>
      </x:c>
      <x:c r="I598" s="27" t="e">
        <x:f>IF($A598="","",IF(발령대장_설정!$B$8="","",발령대장_설정!$B$8))</x:f>
        <x:v>#NAME?</x:v>
      </x:c>
      <x:c r="J598" s="27" t="str">
        <x:f>""</x:f>
      </x:c>
    </x:row>
    <x:row r="599" ht="42" customHeight="1">
      <x:c r="A599" s="47" t="e">
        <x:f>IF(AND(대장!A299&lt;&gt;"",ISNUMBER(대장!F299),OR(대장!G299="",AND(ISNUMBER(대장!G299),대장!G299&gt;=대장!F299))),대장!F299,"")</x:f>
        <x:v>#NAME?</x:v>
      </x:c>
      <x:c r="B599" s="27" t="e">
        <x:f>IF($A599="","",IF(발령대장_설정!$B$4="","",발령대장_설정!$B$4))</x:f>
        <x:v>#NAME?</x:v>
      </x:c>
      <x:c r="C599" s="27" t="e">
        <x:f>IF($A599="","",대장!D299)</x:f>
        <x:v>#NAME?</x:v>
      </x:c>
      <x:c r="D599" s="27" t="e">
        <x:f>IF($A599="","",대장!A299)</x:f>
        <x:v>#NAME?</x:v>
      </x:c>
      <x:c r="E599" s="27" t="e">
        <x:f>IF($A599="","",IF(대장!J299&lt;&gt;"",대장!J299,대장!D299&amp;"에 임함"&amp;IF(대장!E299="","",CHAR(10)&amp;"고용형태: "&amp;대장!E299)&amp;IF(대장!I299="","",CHAR(10)&amp;"소정근로시간: "&amp;대장!I299)&amp;CHAR(10)&amp;"근로기간: "&amp;YEAR(대장!F299)&amp;"."&amp;MONTH(대장!F299)&amp;"."&amp;DAY(대장!F299)&amp;"."&amp;" ~ "&amp;IF(ISNUMBER(대장!G299),YEAR(대장!G299)&amp;"."&amp;MONTH(대장!G299)&amp;"."&amp;DAY(대장!G299)&amp;".","재직 중")))</x:f>
        <x:v>#NAME?</x:v>
      </x:c>
      <x:c r="F599" s="27" t="e">
        <x:f>IF($A599="","",IF(발령대장_설정!$B$5="","",발령대장_설정!$B$5))</x:f>
        <x:v>#NAME?</x:v>
      </x:c>
      <x:c r="G599" s="27" t="e">
        <x:f>IF($A599="","",IF(발령대장_설정!$B$6="","",발령대장_설정!$B$6))</x:f>
        <x:v>#NAME?</x:v>
      </x:c>
      <x:c r="H599" s="27" t="e">
        <x:f>IF($A599="","",IF(발령대장_설정!$B$7="","",발령대장_설정!$B$7))</x:f>
        <x:v>#NAME?</x:v>
      </x:c>
      <x:c r="I599" s="27" t="e">
        <x:f>IF($A599="","",IF(발령대장_설정!$B$8="","",발령대장_설정!$B$8))</x:f>
        <x:v>#NAME?</x:v>
      </x:c>
      <x:c r="J599" s="27" t="e">
        <x:f>IF($A599="","",IF(대장!K299="","",대장!K299))</x:f>
        <x:v>#NAME?</x:v>
      </x:c>
    </x:row>
    <x:row r="600" ht="42" customHeight="1">
      <x:c r="A600" s="47" t="e">
        <x:f>IF(AND(대장!A299&lt;&gt;"",ISNUMBER(대장!F299),ISNUMBER(대장!G299),대장!G299&gt;=대장!F299,대장!H299&lt;&gt;""),대장!G299,"")</x:f>
        <x:v>#NAME?</x:v>
      </x:c>
      <x:c r="B600" s="27" t="e">
        <x:f>IF($A600="","",IF(발령대장_설정!$B$4="","",발령대장_설정!$B$4))</x:f>
        <x:v>#NAME?</x:v>
      </x:c>
      <x:c r="C600" s="27" t="e">
        <x:f>IF($A600="","",대장!D299)</x:f>
        <x:v>#NAME?</x:v>
      </x:c>
      <x:c r="D600" s="27" t="e">
        <x:f>IF($A600="","",대장!A299)</x:f>
        <x:v>#NAME?</x:v>
      </x:c>
      <x:c r="E600" s="27" t="e">
        <x:f>IF($A600="","",IF(OR(ISNUMBER(SEARCH("계약만료",대장!H299&amp;"")),ISNUMBER(SEARCH("기간만료",대장!H299&amp;""))),"계약기간 만료로 퇴직",IF(ISNUMBER(SEARCH("의원면직",대장!H299&amp;"")),"의원면직",IF(ISNUMBER(SEARCH("정년퇴직",대장!H299&amp;"")),"정년퇴직",대장!H299))))</x:f>
        <x:v>#NAME?</x:v>
      </x:c>
      <x:c r="F600" s="27" t="e">
        <x:f>IF($A600="","",IF(발령대장_설정!$B$5="","",발령대장_설정!$B$5))</x:f>
        <x:v>#NAME?</x:v>
      </x:c>
      <x:c r="G600" s="27" t="e">
        <x:f>IF($A600="","",IF(발령대장_설정!$B$6="","",발령대장_설정!$B$6))</x:f>
        <x:v>#NAME?</x:v>
      </x:c>
      <x:c r="H600" s="27" t="e">
        <x:f>IF($A600="","",IF(발령대장_설정!$B$7="","",발령대장_설정!$B$7))</x:f>
        <x:v>#NAME?</x:v>
      </x:c>
      <x:c r="I600" s="27" t="e">
        <x:f>IF($A600="","",IF(발령대장_설정!$B$8="","",발령대장_설정!$B$8))</x:f>
        <x:v>#NAME?</x:v>
      </x:c>
      <x:c r="J600" s="27" t="str">
        <x:f>""</x:f>
      </x:c>
    </x:row>
    <x:row r="601" ht="42" customHeight="1">
      <x:c r="A601" s="47" t="e">
        <x:f>IF(AND(대장!A300&lt;&gt;"",ISNUMBER(대장!F300),OR(대장!G300="",AND(ISNUMBER(대장!G300),대장!G300&gt;=대장!F300))),대장!F300,"")</x:f>
        <x:v>#NAME?</x:v>
      </x:c>
      <x:c r="B601" s="27" t="e">
        <x:f>IF($A601="","",IF(발령대장_설정!$B$4="","",발령대장_설정!$B$4))</x:f>
        <x:v>#NAME?</x:v>
      </x:c>
      <x:c r="C601" s="27" t="e">
        <x:f>IF($A601="","",대장!D300)</x:f>
        <x:v>#NAME?</x:v>
      </x:c>
      <x:c r="D601" s="27" t="e">
        <x:f>IF($A601="","",대장!A300)</x:f>
        <x:v>#NAME?</x:v>
      </x:c>
      <x:c r="E601" s="27" t="e">
        <x:f>IF($A601="","",IF(대장!J300&lt;&gt;"",대장!J300,대장!D300&amp;"에 임함"&amp;IF(대장!E300="","",CHAR(10)&amp;"고용형태: "&amp;대장!E300)&amp;IF(대장!I300="","",CHAR(10)&amp;"소정근로시간: "&amp;대장!I300)&amp;CHAR(10)&amp;"근로기간: "&amp;YEAR(대장!F300)&amp;"."&amp;MONTH(대장!F300)&amp;"."&amp;DAY(대장!F300)&amp;"."&amp;" ~ "&amp;IF(ISNUMBER(대장!G300),YEAR(대장!G300)&amp;"."&amp;MONTH(대장!G300)&amp;"."&amp;DAY(대장!G300)&amp;".","재직 중")))</x:f>
        <x:v>#NAME?</x:v>
      </x:c>
      <x:c r="F601" s="27" t="e">
        <x:f>IF($A601="","",IF(발령대장_설정!$B$5="","",발령대장_설정!$B$5))</x:f>
        <x:v>#NAME?</x:v>
      </x:c>
      <x:c r="G601" s="27" t="e">
        <x:f>IF($A601="","",IF(발령대장_설정!$B$6="","",발령대장_설정!$B$6))</x:f>
        <x:v>#NAME?</x:v>
      </x:c>
      <x:c r="H601" s="27" t="e">
        <x:f>IF($A601="","",IF(발령대장_설정!$B$7="","",발령대장_설정!$B$7))</x:f>
        <x:v>#NAME?</x:v>
      </x:c>
      <x:c r="I601" s="27" t="e">
        <x:f>IF($A601="","",IF(발령대장_설정!$B$8="","",발령대장_설정!$B$8))</x:f>
        <x:v>#NAME?</x:v>
      </x:c>
      <x:c r="J601" s="27" t="e">
        <x:f>IF($A601="","",IF(대장!K300="","",대장!K300))</x:f>
        <x:v>#NAME?</x:v>
      </x:c>
    </x:row>
    <x:row r="602" ht="42" customHeight="1">
      <x:c r="A602" s="47" t="e">
        <x:f>IF(AND(대장!A300&lt;&gt;"",ISNUMBER(대장!F300),ISNUMBER(대장!G300),대장!G300&gt;=대장!F300,대장!H300&lt;&gt;""),대장!G300,"")</x:f>
        <x:v>#NAME?</x:v>
      </x:c>
      <x:c r="B602" s="27" t="e">
        <x:f>IF($A602="","",IF(발령대장_설정!$B$4="","",발령대장_설정!$B$4))</x:f>
        <x:v>#NAME?</x:v>
      </x:c>
      <x:c r="C602" s="27" t="e">
        <x:f>IF($A602="","",대장!D300)</x:f>
        <x:v>#NAME?</x:v>
      </x:c>
      <x:c r="D602" s="27" t="e">
        <x:f>IF($A602="","",대장!A300)</x:f>
        <x:v>#NAME?</x:v>
      </x:c>
      <x:c r="E602" s="27" t="e">
        <x:f>IF($A602="","",IF(OR(ISNUMBER(SEARCH("계약만료",대장!H300&amp;"")),ISNUMBER(SEARCH("기간만료",대장!H300&amp;""))),"계약기간 만료로 퇴직",IF(ISNUMBER(SEARCH("의원면직",대장!H300&amp;"")),"의원면직",IF(ISNUMBER(SEARCH("정년퇴직",대장!H300&amp;"")),"정년퇴직",대장!H300))))</x:f>
        <x:v>#NAME?</x:v>
      </x:c>
      <x:c r="F602" s="27" t="e">
        <x:f>IF($A602="","",IF(발령대장_설정!$B$5="","",발령대장_설정!$B$5))</x:f>
        <x:v>#NAME?</x:v>
      </x:c>
      <x:c r="G602" s="27" t="e">
        <x:f>IF($A602="","",IF(발령대장_설정!$B$6="","",발령대장_설정!$B$6))</x:f>
        <x:v>#NAME?</x:v>
      </x:c>
      <x:c r="H602" s="27" t="e">
        <x:f>IF($A602="","",IF(발령대장_설정!$B$7="","",발령대장_설정!$B$7))</x:f>
        <x:v>#NAME?</x:v>
      </x:c>
      <x:c r="I602" s="27" t="e">
        <x:f>IF($A602="","",IF(발령대장_설정!$B$8="","",발령대장_설정!$B$8))</x:f>
        <x:v>#NAME?</x:v>
      </x:c>
      <x:c r="J602" s="27" t="str">
        <x:f>""</x:f>
      </x:c>
    </x:row>
    <x:row r="603" ht="42" customHeight="1">
      <x:c r="A603" s="47" t="e">
        <x:f>IF(AND(대장!A301&lt;&gt;"",ISNUMBER(대장!F301),OR(대장!G301="",AND(ISNUMBER(대장!G301),대장!G301&gt;=대장!F301))),대장!F301,"")</x:f>
        <x:v>#NAME?</x:v>
      </x:c>
      <x:c r="B603" s="27" t="e">
        <x:f>IF($A603="","",IF(발령대장_설정!$B$4="","",발령대장_설정!$B$4))</x:f>
        <x:v>#NAME?</x:v>
      </x:c>
      <x:c r="C603" s="27" t="e">
        <x:f>IF($A603="","",대장!D301)</x:f>
        <x:v>#NAME?</x:v>
      </x:c>
      <x:c r="D603" s="27" t="e">
        <x:f>IF($A603="","",대장!A301)</x:f>
        <x:v>#NAME?</x:v>
      </x:c>
      <x:c r="E603" s="27" t="e">
        <x:f>IF($A603="","",IF(대장!J301&lt;&gt;"",대장!J301,대장!D301&amp;"에 임함"&amp;IF(대장!E301="","",CHAR(10)&amp;"고용형태: "&amp;대장!E301)&amp;IF(대장!I301="","",CHAR(10)&amp;"소정근로시간: "&amp;대장!I301)&amp;CHAR(10)&amp;"근로기간: "&amp;YEAR(대장!F301)&amp;"."&amp;MONTH(대장!F301)&amp;"."&amp;DAY(대장!F301)&amp;"."&amp;" ~ "&amp;IF(ISNUMBER(대장!G301),YEAR(대장!G301)&amp;"."&amp;MONTH(대장!G301)&amp;"."&amp;DAY(대장!G301)&amp;".","재직 중")))</x:f>
        <x:v>#NAME?</x:v>
      </x:c>
      <x:c r="F603" s="27" t="e">
        <x:f>IF($A603="","",IF(발령대장_설정!$B$5="","",발령대장_설정!$B$5))</x:f>
        <x:v>#NAME?</x:v>
      </x:c>
      <x:c r="G603" s="27" t="e">
        <x:f>IF($A603="","",IF(발령대장_설정!$B$6="","",발령대장_설정!$B$6))</x:f>
        <x:v>#NAME?</x:v>
      </x:c>
      <x:c r="H603" s="27" t="e">
        <x:f>IF($A603="","",IF(발령대장_설정!$B$7="","",발령대장_설정!$B$7))</x:f>
        <x:v>#NAME?</x:v>
      </x:c>
      <x:c r="I603" s="27" t="e">
        <x:f>IF($A603="","",IF(발령대장_설정!$B$8="","",발령대장_설정!$B$8))</x:f>
        <x:v>#NAME?</x:v>
      </x:c>
      <x:c r="J603" s="27" t="e">
        <x:f>IF($A603="","",IF(대장!K301="","",대장!K301))</x:f>
        <x:v>#NAME?</x:v>
      </x:c>
    </x:row>
    <x:row r="604" ht="42" customHeight="1">
      <x:c r="A604" s="47" t="e">
        <x:f>IF(AND(대장!A301&lt;&gt;"",ISNUMBER(대장!F301),ISNUMBER(대장!G301),대장!G301&gt;=대장!F301,대장!H301&lt;&gt;""),대장!G301,"")</x:f>
        <x:v>#NAME?</x:v>
      </x:c>
      <x:c r="B604" s="27" t="e">
        <x:f>IF($A604="","",IF(발령대장_설정!$B$4="","",발령대장_설정!$B$4))</x:f>
        <x:v>#NAME?</x:v>
      </x:c>
      <x:c r="C604" s="27" t="e">
        <x:f>IF($A604="","",대장!D301)</x:f>
        <x:v>#NAME?</x:v>
      </x:c>
      <x:c r="D604" s="27" t="e">
        <x:f>IF($A604="","",대장!A301)</x:f>
        <x:v>#NAME?</x:v>
      </x:c>
      <x:c r="E604" s="27" t="e">
        <x:f>IF($A604="","",IF(OR(ISNUMBER(SEARCH("계약만료",대장!H301&amp;"")),ISNUMBER(SEARCH("기간만료",대장!H301&amp;""))),"계약기간 만료로 퇴직",IF(ISNUMBER(SEARCH("의원면직",대장!H301&amp;"")),"의원면직",IF(ISNUMBER(SEARCH("정년퇴직",대장!H301&amp;"")),"정년퇴직",대장!H301))))</x:f>
        <x:v>#NAME?</x:v>
      </x:c>
      <x:c r="F604" s="27" t="e">
        <x:f>IF($A604="","",IF(발령대장_설정!$B$5="","",발령대장_설정!$B$5))</x:f>
        <x:v>#NAME?</x:v>
      </x:c>
      <x:c r="G604" s="27" t="e">
        <x:f>IF($A604="","",IF(발령대장_설정!$B$6="","",발령대장_설정!$B$6))</x:f>
        <x:v>#NAME?</x:v>
      </x:c>
      <x:c r="H604" s="27" t="e">
        <x:f>IF($A604="","",IF(발령대장_설정!$B$7="","",발령대장_설정!$B$7))</x:f>
        <x:v>#NAME?</x:v>
      </x:c>
      <x:c r="I604" s="27" t="e">
        <x:f>IF($A604="","",IF(발령대장_설정!$B$8="","",발령대장_설정!$B$8))</x:f>
        <x:v>#NAME?</x:v>
      </x:c>
      <x:c r="J604" s="27" t="str">
        <x:f>""</x:f>
      </x:c>
    </x:row>
    <x:row r="605" ht="42" customHeight="1">
      <x:c r="A605" s="47" t="e">
        <x:f>IF(AND(대장!A302&lt;&gt;"",ISNUMBER(대장!F302),OR(대장!G302="",AND(ISNUMBER(대장!G302),대장!G302&gt;=대장!F302))),대장!F302,"")</x:f>
        <x:v>#NAME?</x:v>
      </x:c>
      <x:c r="B605" s="27" t="e">
        <x:f>IF($A605="","",IF(발령대장_설정!$B$4="","",발령대장_설정!$B$4))</x:f>
        <x:v>#NAME?</x:v>
      </x:c>
      <x:c r="C605" s="27" t="e">
        <x:f>IF($A605="","",대장!D302)</x:f>
        <x:v>#NAME?</x:v>
      </x:c>
      <x:c r="D605" s="27" t="e">
        <x:f>IF($A605="","",대장!A302)</x:f>
        <x:v>#NAME?</x:v>
      </x:c>
      <x:c r="E605" s="27" t="e">
        <x:f>IF($A605="","",IF(대장!J302&lt;&gt;"",대장!J302,대장!D302&amp;"에 임함"&amp;IF(대장!E302="","",CHAR(10)&amp;"고용형태: "&amp;대장!E302)&amp;IF(대장!I302="","",CHAR(10)&amp;"소정근로시간: "&amp;대장!I302)&amp;CHAR(10)&amp;"근로기간: "&amp;YEAR(대장!F302)&amp;"."&amp;MONTH(대장!F302)&amp;"."&amp;DAY(대장!F302)&amp;"."&amp;" ~ "&amp;IF(ISNUMBER(대장!G302),YEAR(대장!G302)&amp;"."&amp;MONTH(대장!G302)&amp;"."&amp;DAY(대장!G302)&amp;".","재직 중")))</x:f>
        <x:v>#NAME?</x:v>
      </x:c>
      <x:c r="F605" s="27" t="e">
        <x:f>IF($A605="","",IF(발령대장_설정!$B$5="","",발령대장_설정!$B$5))</x:f>
        <x:v>#NAME?</x:v>
      </x:c>
      <x:c r="G605" s="27" t="e">
        <x:f>IF($A605="","",IF(발령대장_설정!$B$6="","",발령대장_설정!$B$6))</x:f>
        <x:v>#NAME?</x:v>
      </x:c>
      <x:c r="H605" s="27" t="e">
        <x:f>IF($A605="","",IF(발령대장_설정!$B$7="","",발령대장_설정!$B$7))</x:f>
        <x:v>#NAME?</x:v>
      </x:c>
      <x:c r="I605" s="27" t="e">
        <x:f>IF($A605="","",IF(발령대장_설정!$B$8="","",발령대장_설정!$B$8))</x:f>
        <x:v>#NAME?</x:v>
      </x:c>
      <x:c r="J605" s="27" t="e">
        <x:f>IF($A605="","",IF(대장!K302="","",대장!K302))</x:f>
        <x:v>#NAME?</x:v>
      </x:c>
    </x:row>
    <x:row r="606" ht="42" customHeight="1">
      <x:c r="A606" s="47" t="e">
        <x:f>IF(AND(대장!A302&lt;&gt;"",ISNUMBER(대장!F302),ISNUMBER(대장!G302),대장!G302&gt;=대장!F302,대장!H302&lt;&gt;""),대장!G302,"")</x:f>
        <x:v>#NAME?</x:v>
      </x:c>
      <x:c r="B606" s="27" t="e">
        <x:f>IF($A606="","",IF(발령대장_설정!$B$4="","",발령대장_설정!$B$4))</x:f>
        <x:v>#NAME?</x:v>
      </x:c>
      <x:c r="C606" s="27" t="e">
        <x:f>IF($A606="","",대장!D302)</x:f>
        <x:v>#NAME?</x:v>
      </x:c>
      <x:c r="D606" s="27" t="e">
        <x:f>IF($A606="","",대장!A302)</x:f>
        <x:v>#NAME?</x:v>
      </x:c>
      <x:c r="E606" s="27" t="e">
        <x:f>IF($A606="","",IF(OR(ISNUMBER(SEARCH("계약만료",대장!H302&amp;"")),ISNUMBER(SEARCH("기간만료",대장!H302&amp;""))),"계약기간 만료로 퇴직",IF(ISNUMBER(SEARCH("의원면직",대장!H302&amp;"")),"의원면직",IF(ISNUMBER(SEARCH("정년퇴직",대장!H302&amp;"")),"정년퇴직",대장!H302))))</x:f>
        <x:v>#NAME?</x:v>
      </x:c>
      <x:c r="F606" s="27" t="e">
        <x:f>IF($A606="","",IF(발령대장_설정!$B$5="","",발령대장_설정!$B$5))</x:f>
        <x:v>#NAME?</x:v>
      </x:c>
      <x:c r="G606" s="27" t="e">
        <x:f>IF($A606="","",IF(발령대장_설정!$B$6="","",발령대장_설정!$B$6))</x:f>
        <x:v>#NAME?</x:v>
      </x:c>
      <x:c r="H606" s="27" t="e">
        <x:f>IF($A606="","",IF(발령대장_설정!$B$7="","",발령대장_설정!$B$7))</x:f>
        <x:v>#NAME?</x:v>
      </x:c>
      <x:c r="I606" s="27" t="e">
        <x:f>IF($A606="","",IF(발령대장_설정!$B$8="","",발령대장_설정!$B$8))</x:f>
        <x:v>#NAME?</x:v>
      </x:c>
      <x:c r="J606" s="27" t="str">
        <x:f>""</x:f>
      </x:c>
    </x:row>
    <x:row r="607" ht="42" customHeight="1">
      <x:c r="A607" s="47" t="e">
        <x:f>IF(AND(대장!A303&lt;&gt;"",ISNUMBER(대장!F303),OR(대장!G303="",AND(ISNUMBER(대장!G303),대장!G303&gt;=대장!F303))),대장!F303,"")</x:f>
        <x:v>#NAME?</x:v>
      </x:c>
      <x:c r="B607" s="27" t="e">
        <x:f>IF($A607="","",IF(발령대장_설정!$B$4="","",발령대장_설정!$B$4))</x:f>
        <x:v>#NAME?</x:v>
      </x:c>
      <x:c r="C607" s="27" t="e">
        <x:f>IF($A607="","",대장!D303)</x:f>
        <x:v>#NAME?</x:v>
      </x:c>
      <x:c r="D607" s="27" t="e">
        <x:f>IF($A607="","",대장!A303)</x:f>
        <x:v>#NAME?</x:v>
      </x:c>
      <x:c r="E607" s="27" t="e">
        <x:f>IF($A607="","",IF(대장!J303&lt;&gt;"",대장!J303,대장!D303&amp;"에 임함"&amp;IF(대장!E303="","",CHAR(10)&amp;"고용형태: "&amp;대장!E303)&amp;IF(대장!I303="","",CHAR(10)&amp;"소정근로시간: "&amp;대장!I303)&amp;CHAR(10)&amp;"근로기간: "&amp;YEAR(대장!F303)&amp;"."&amp;MONTH(대장!F303)&amp;"."&amp;DAY(대장!F303)&amp;"."&amp;" ~ "&amp;IF(ISNUMBER(대장!G303),YEAR(대장!G303)&amp;"."&amp;MONTH(대장!G303)&amp;"."&amp;DAY(대장!G303)&amp;".","재직 중")))</x:f>
        <x:v>#NAME?</x:v>
      </x:c>
      <x:c r="F607" s="27" t="e">
        <x:f>IF($A607="","",IF(발령대장_설정!$B$5="","",발령대장_설정!$B$5))</x:f>
        <x:v>#NAME?</x:v>
      </x:c>
      <x:c r="G607" s="27" t="e">
        <x:f>IF($A607="","",IF(발령대장_설정!$B$6="","",발령대장_설정!$B$6))</x:f>
        <x:v>#NAME?</x:v>
      </x:c>
      <x:c r="H607" s="27" t="e">
        <x:f>IF($A607="","",IF(발령대장_설정!$B$7="","",발령대장_설정!$B$7))</x:f>
        <x:v>#NAME?</x:v>
      </x:c>
      <x:c r="I607" s="27" t="e">
        <x:f>IF($A607="","",IF(발령대장_설정!$B$8="","",발령대장_설정!$B$8))</x:f>
        <x:v>#NAME?</x:v>
      </x:c>
      <x:c r="J607" s="27" t="e">
        <x:f>IF($A607="","",IF(대장!K303="","",대장!K303))</x:f>
        <x:v>#NAME?</x:v>
      </x:c>
    </x:row>
    <x:row r="608" ht="42" customHeight="1">
      <x:c r="A608" s="47" t="e">
        <x:f>IF(AND(대장!A303&lt;&gt;"",ISNUMBER(대장!F303),ISNUMBER(대장!G303),대장!G303&gt;=대장!F303,대장!H303&lt;&gt;""),대장!G303,"")</x:f>
        <x:v>#NAME?</x:v>
      </x:c>
      <x:c r="B608" s="27" t="e">
        <x:f>IF($A608="","",IF(발령대장_설정!$B$4="","",발령대장_설정!$B$4))</x:f>
        <x:v>#NAME?</x:v>
      </x:c>
      <x:c r="C608" s="27" t="e">
        <x:f>IF($A608="","",대장!D303)</x:f>
        <x:v>#NAME?</x:v>
      </x:c>
      <x:c r="D608" s="27" t="e">
        <x:f>IF($A608="","",대장!A303)</x:f>
        <x:v>#NAME?</x:v>
      </x:c>
      <x:c r="E608" s="27" t="e">
        <x:f>IF($A608="","",IF(OR(ISNUMBER(SEARCH("계약만료",대장!H303&amp;"")),ISNUMBER(SEARCH("기간만료",대장!H303&amp;""))),"계약기간 만료로 퇴직",IF(ISNUMBER(SEARCH("의원면직",대장!H303&amp;"")),"의원면직",IF(ISNUMBER(SEARCH("정년퇴직",대장!H303&amp;"")),"정년퇴직",대장!H303))))</x:f>
        <x:v>#NAME?</x:v>
      </x:c>
      <x:c r="F608" s="27" t="e">
        <x:f>IF($A608="","",IF(발령대장_설정!$B$5="","",발령대장_설정!$B$5))</x:f>
        <x:v>#NAME?</x:v>
      </x:c>
      <x:c r="G608" s="27" t="e">
        <x:f>IF($A608="","",IF(발령대장_설정!$B$6="","",발령대장_설정!$B$6))</x:f>
        <x:v>#NAME?</x:v>
      </x:c>
      <x:c r="H608" s="27" t="e">
        <x:f>IF($A608="","",IF(발령대장_설정!$B$7="","",발령대장_설정!$B$7))</x:f>
        <x:v>#NAME?</x:v>
      </x:c>
      <x:c r="I608" s="27" t="e">
        <x:f>IF($A608="","",IF(발령대장_설정!$B$8="","",발령대장_설정!$B$8))</x:f>
        <x:v>#NAME?</x:v>
      </x:c>
      <x:c r="J608" s="27" t="str">
        <x:f>""</x:f>
      </x:c>
    </x:row>
    <x:row r="609" ht="42" customHeight="1">
      <x:c r="A609" s="47" t="e">
        <x:f>IF(AND(대장!A304&lt;&gt;"",ISNUMBER(대장!F304),OR(대장!G304="",AND(ISNUMBER(대장!G304),대장!G304&gt;=대장!F304))),대장!F304,"")</x:f>
        <x:v>#NAME?</x:v>
      </x:c>
      <x:c r="B609" s="27" t="e">
        <x:f>IF($A609="","",IF(발령대장_설정!$B$4="","",발령대장_설정!$B$4))</x:f>
        <x:v>#NAME?</x:v>
      </x:c>
      <x:c r="C609" s="27" t="e">
        <x:f>IF($A609="","",대장!D304)</x:f>
        <x:v>#NAME?</x:v>
      </x:c>
      <x:c r="D609" s="27" t="e">
        <x:f>IF($A609="","",대장!A304)</x:f>
        <x:v>#NAME?</x:v>
      </x:c>
      <x:c r="E609" s="27" t="e">
        <x:f>IF($A609="","",IF(대장!J304&lt;&gt;"",대장!J304,대장!D304&amp;"에 임함"&amp;IF(대장!E304="","",CHAR(10)&amp;"고용형태: "&amp;대장!E304)&amp;IF(대장!I304="","",CHAR(10)&amp;"소정근로시간: "&amp;대장!I304)&amp;CHAR(10)&amp;"근로기간: "&amp;YEAR(대장!F304)&amp;"."&amp;MONTH(대장!F304)&amp;"."&amp;DAY(대장!F304)&amp;"."&amp;" ~ "&amp;IF(ISNUMBER(대장!G304),YEAR(대장!G304)&amp;"."&amp;MONTH(대장!G304)&amp;"."&amp;DAY(대장!G304)&amp;".","재직 중")))</x:f>
        <x:v>#NAME?</x:v>
      </x:c>
      <x:c r="F609" s="27" t="e">
        <x:f>IF($A609="","",IF(발령대장_설정!$B$5="","",발령대장_설정!$B$5))</x:f>
        <x:v>#NAME?</x:v>
      </x:c>
      <x:c r="G609" s="27" t="e">
        <x:f>IF($A609="","",IF(발령대장_설정!$B$6="","",발령대장_설정!$B$6))</x:f>
        <x:v>#NAME?</x:v>
      </x:c>
      <x:c r="H609" s="27" t="e">
        <x:f>IF($A609="","",IF(발령대장_설정!$B$7="","",발령대장_설정!$B$7))</x:f>
        <x:v>#NAME?</x:v>
      </x:c>
      <x:c r="I609" s="27" t="e">
        <x:f>IF($A609="","",IF(발령대장_설정!$B$8="","",발령대장_설정!$B$8))</x:f>
        <x:v>#NAME?</x:v>
      </x:c>
      <x:c r="J609" s="27" t="e">
        <x:f>IF($A609="","",IF(대장!K304="","",대장!K304))</x:f>
        <x:v>#NAME?</x:v>
      </x:c>
    </x:row>
    <x:row r="610" ht="42" customHeight="1">
      <x:c r="A610" s="47" t="e">
        <x:f>IF(AND(대장!A304&lt;&gt;"",ISNUMBER(대장!F304),ISNUMBER(대장!G304),대장!G304&gt;=대장!F304,대장!H304&lt;&gt;""),대장!G304,"")</x:f>
        <x:v>#NAME?</x:v>
      </x:c>
      <x:c r="B610" s="27" t="e">
        <x:f>IF($A610="","",IF(발령대장_설정!$B$4="","",발령대장_설정!$B$4))</x:f>
        <x:v>#NAME?</x:v>
      </x:c>
      <x:c r="C610" s="27" t="e">
        <x:f>IF($A610="","",대장!D304)</x:f>
        <x:v>#NAME?</x:v>
      </x:c>
      <x:c r="D610" s="27" t="e">
        <x:f>IF($A610="","",대장!A304)</x:f>
        <x:v>#NAME?</x:v>
      </x:c>
      <x:c r="E610" s="27" t="e">
        <x:f>IF($A610="","",IF(OR(ISNUMBER(SEARCH("계약만료",대장!H304&amp;"")),ISNUMBER(SEARCH("기간만료",대장!H304&amp;""))),"계약기간 만료로 퇴직",IF(ISNUMBER(SEARCH("의원면직",대장!H304&amp;"")),"의원면직",IF(ISNUMBER(SEARCH("정년퇴직",대장!H304&amp;"")),"정년퇴직",대장!H304))))</x:f>
        <x:v>#NAME?</x:v>
      </x:c>
      <x:c r="F610" s="27" t="e">
        <x:f>IF($A610="","",IF(발령대장_설정!$B$5="","",발령대장_설정!$B$5))</x:f>
        <x:v>#NAME?</x:v>
      </x:c>
      <x:c r="G610" s="27" t="e">
        <x:f>IF($A610="","",IF(발령대장_설정!$B$6="","",발령대장_설정!$B$6))</x:f>
        <x:v>#NAME?</x:v>
      </x:c>
      <x:c r="H610" s="27" t="e">
        <x:f>IF($A610="","",IF(발령대장_설정!$B$7="","",발령대장_설정!$B$7))</x:f>
        <x:v>#NAME?</x:v>
      </x:c>
      <x:c r="I610" s="27" t="e">
        <x:f>IF($A610="","",IF(발령대장_설정!$B$8="","",발령대장_설정!$B$8))</x:f>
        <x:v>#NAME?</x:v>
      </x:c>
      <x:c r="J610" s="27" t="str">
        <x:f>""</x:f>
      </x:c>
    </x:row>
    <x:row r="611" ht="42" customHeight="1">
      <x:c r="A611" s="47" t="e">
        <x:f>IF(AND(대장!A305&lt;&gt;"",ISNUMBER(대장!F305),OR(대장!G305="",AND(ISNUMBER(대장!G305),대장!G305&gt;=대장!F305))),대장!F305,"")</x:f>
        <x:v>#NAME?</x:v>
      </x:c>
      <x:c r="B611" s="27" t="e">
        <x:f>IF($A611="","",IF(발령대장_설정!$B$4="","",발령대장_설정!$B$4))</x:f>
        <x:v>#NAME?</x:v>
      </x:c>
      <x:c r="C611" s="27" t="e">
        <x:f>IF($A611="","",대장!D305)</x:f>
        <x:v>#NAME?</x:v>
      </x:c>
      <x:c r="D611" s="27" t="e">
        <x:f>IF($A611="","",대장!A305)</x:f>
        <x:v>#NAME?</x:v>
      </x:c>
      <x:c r="E611" s="27" t="e">
        <x:f>IF($A611="","",IF(대장!J305&lt;&gt;"",대장!J305,대장!D305&amp;"에 임함"&amp;IF(대장!E305="","",CHAR(10)&amp;"고용형태: "&amp;대장!E305)&amp;IF(대장!I305="","",CHAR(10)&amp;"소정근로시간: "&amp;대장!I305)&amp;CHAR(10)&amp;"근로기간: "&amp;YEAR(대장!F305)&amp;"."&amp;MONTH(대장!F305)&amp;"."&amp;DAY(대장!F305)&amp;"."&amp;" ~ "&amp;IF(ISNUMBER(대장!G305),YEAR(대장!G305)&amp;"."&amp;MONTH(대장!G305)&amp;"."&amp;DAY(대장!G305)&amp;".","재직 중")))</x:f>
        <x:v>#NAME?</x:v>
      </x:c>
      <x:c r="F611" s="27" t="e">
        <x:f>IF($A611="","",IF(발령대장_설정!$B$5="","",발령대장_설정!$B$5))</x:f>
        <x:v>#NAME?</x:v>
      </x:c>
      <x:c r="G611" s="27" t="e">
        <x:f>IF($A611="","",IF(발령대장_설정!$B$6="","",발령대장_설정!$B$6))</x:f>
        <x:v>#NAME?</x:v>
      </x:c>
      <x:c r="H611" s="27" t="e">
        <x:f>IF($A611="","",IF(발령대장_설정!$B$7="","",발령대장_설정!$B$7))</x:f>
        <x:v>#NAME?</x:v>
      </x:c>
      <x:c r="I611" s="27" t="e">
        <x:f>IF($A611="","",IF(발령대장_설정!$B$8="","",발령대장_설정!$B$8))</x:f>
        <x:v>#NAME?</x:v>
      </x:c>
      <x:c r="J611" s="27" t="e">
        <x:f>IF($A611="","",IF(대장!K305="","",대장!K305))</x:f>
        <x:v>#NAME?</x:v>
      </x:c>
    </x:row>
    <x:row r="612" ht="42" customHeight="1">
      <x:c r="A612" s="47" t="e">
        <x:f>IF(AND(대장!A305&lt;&gt;"",ISNUMBER(대장!F305),ISNUMBER(대장!G305),대장!G305&gt;=대장!F305,대장!H305&lt;&gt;""),대장!G305,"")</x:f>
        <x:v>#NAME?</x:v>
      </x:c>
      <x:c r="B612" s="27" t="e">
        <x:f>IF($A612="","",IF(발령대장_설정!$B$4="","",발령대장_설정!$B$4))</x:f>
        <x:v>#NAME?</x:v>
      </x:c>
      <x:c r="C612" s="27" t="e">
        <x:f>IF($A612="","",대장!D305)</x:f>
        <x:v>#NAME?</x:v>
      </x:c>
      <x:c r="D612" s="27" t="e">
        <x:f>IF($A612="","",대장!A305)</x:f>
        <x:v>#NAME?</x:v>
      </x:c>
      <x:c r="E612" s="27" t="e">
        <x:f>IF($A612="","",IF(OR(ISNUMBER(SEARCH("계약만료",대장!H305&amp;"")),ISNUMBER(SEARCH("기간만료",대장!H305&amp;""))),"계약기간 만료로 퇴직",IF(ISNUMBER(SEARCH("의원면직",대장!H305&amp;"")),"의원면직",IF(ISNUMBER(SEARCH("정년퇴직",대장!H305&amp;"")),"정년퇴직",대장!H305))))</x:f>
        <x:v>#NAME?</x:v>
      </x:c>
      <x:c r="F612" s="27" t="e">
        <x:f>IF($A612="","",IF(발령대장_설정!$B$5="","",발령대장_설정!$B$5))</x:f>
        <x:v>#NAME?</x:v>
      </x:c>
      <x:c r="G612" s="27" t="e">
        <x:f>IF($A612="","",IF(발령대장_설정!$B$6="","",발령대장_설정!$B$6))</x:f>
        <x:v>#NAME?</x:v>
      </x:c>
      <x:c r="H612" s="27" t="e">
        <x:f>IF($A612="","",IF(발령대장_설정!$B$7="","",발령대장_설정!$B$7))</x:f>
        <x:v>#NAME?</x:v>
      </x:c>
      <x:c r="I612" s="27" t="e">
        <x:f>IF($A612="","",IF(발령대장_설정!$B$8="","",발령대장_설정!$B$8))</x:f>
        <x:v>#NAME?</x:v>
      </x:c>
      <x:c r="J612" s="27" t="str">
        <x:f>""</x:f>
      </x:c>
    </x:row>
    <x:row r="613" ht="42" customHeight="1">
      <x:c r="A613" s="47" t="e">
        <x:f>IF(AND(대장!A306&lt;&gt;"",ISNUMBER(대장!F306),OR(대장!G306="",AND(ISNUMBER(대장!G306),대장!G306&gt;=대장!F306))),대장!F306,"")</x:f>
        <x:v>#NAME?</x:v>
      </x:c>
      <x:c r="B613" s="27" t="e">
        <x:f>IF($A613="","",IF(발령대장_설정!$B$4="","",발령대장_설정!$B$4))</x:f>
        <x:v>#NAME?</x:v>
      </x:c>
      <x:c r="C613" s="27" t="e">
        <x:f>IF($A613="","",대장!D306)</x:f>
        <x:v>#NAME?</x:v>
      </x:c>
      <x:c r="D613" s="27" t="e">
        <x:f>IF($A613="","",대장!A306)</x:f>
        <x:v>#NAME?</x:v>
      </x:c>
      <x:c r="E613" s="27" t="e">
        <x:f>IF($A613="","",IF(대장!J306&lt;&gt;"",대장!J306,대장!D306&amp;"에 임함"&amp;IF(대장!E306="","",CHAR(10)&amp;"고용형태: "&amp;대장!E306)&amp;IF(대장!I306="","",CHAR(10)&amp;"소정근로시간: "&amp;대장!I306)&amp;CHAR(10)&amp;"근로기간: "&amp;YEAR(대장!F306)&amp;"."&amp;MONTH(대장!F306)&amp;"."&amp;DAY(대장!F306)&amp;"."&amp;" ~ "&amp;IF(ISNUMBER(대장!G306),YEAR(대장!G306)&amp;"."&amp;MONTH(대장!G306)&amp;"."&amp;DAY(대장!G306)&amp;".","재직 중")))</x:f>
        <x:v>#NAME?</x:v>
      </x:c>
      <x:c r="F613" s="27" t="e">
        <x:f>IF($A613="","",IF(발령대장_설정!$B$5="","",발령대장_설정!$B$5))</x:f>
        <x:v>#NAME?</x:v>
      </x:c>
      <x:c r="G613" s="27" t="e">
        <x:f>IF($A613="","",IF(발령대장_설정!$B$6="","",발령대장_설정!$B$6))</x:f>
        <x:v>#NAME?</x:v>
      </x:c>
      <x:c r="H613" s="27" t="e">
        <x:f>IF($A613="","",IF(발령대장_설정!$B$7="","",발령대장_설정!$B$7))</x:f>
        <x:v>#NAME?</x:v>
      </x:c>
      <x:c r="I613" s="27" t="e">
        <x:f>IF($A613="","",IF(발령대장_설정!$B$8="","",발령대장_설정!$B$8))</x:f>
        <x:v>#NAME?</x:v>
      </x:c>
      <x:c r="J613" s="27" t="e">
        <x:f>IF($A613="","",IF(대장!K306="","",대장!K306))</x:f>
        <x:v>#NAME?</x:v>
      </x:c>
    </x:row>
    <x:row r="614" ht="42" customHeight="1">
      <x:c r="A614" s="47" t="e">
        <x:f>IF(AND(대장!A306&lt;&gt;"",ISNUMBER(대장!F306),ISNUMBER(대장!G306),대장!G306&gt;=대장!F306,대장!H306&lt;&gt;""),대장!G306,"")</x:f>
        <x:v>#NAME?</x:v>
      </x:c>
      <x:c r="B614" s="27" t="e">
        <x:f>IF($A614="","",IF(발령대장_설정!$B$4="","",발령대장_설정!$B$4))</x:f>
        <x:v>#NAME?</x:v>
      </x:c>
      <x:c r="C614" s="27" t="e">
        <x:f>IF($A614="","",대장!D306)</x:f>
        <x:v>#NAME?</x:v>
      </x:c>
      <x:c r="D614" s="27" t="e">
        <x:f>IF($A614="","",대장!A306)</x:f>
        <x:v>#NAME?</x:v>
      </x:c>
      <x:c r="E614" s="27" t="e">
        <x:f>IF($A614="","",IF(OR(ISNUMBER(SEARCH("계약만료",대장!H306&amp;"")),ISNUMBER(SEARCH("기간만료",대장!H306&amp;""))),"계약기간 만료로 퇴직",IF(ISNUMBER(SEARCH("의원면직",대장!H306&amp;"")),"의원면직",IF(ISNUMBER(SEARCH("정년퇴직",대장!H306&amp;"")),"정년퇴직",대장!H306))))</x:f>
        <x:v>#NAME?</x:v>
      </x:c>
      <x:c r="F614" s="27" t="e">
        <x:f>IF($A614="","",IF(발령대장_설정!$B$5="","",발령대장_설정!$B$5))</x:f>
        <x:v>#NAME?</x:v>
      </x:c>
      <x:c r="G614" s="27" t="e">
        <x:f>IF($A614="","",IF(발령대장_설정!$B$6="","",발령대장_설정!$B$6))</x:f>
        <x:v>#NAME?</x:v>
      </x:c>
      <x:c r="H614" s="27" t="e">
        <x:f>IF($A614="","",IF(발령대장_설정!$B$7="","",발령대장_설정!$B$7))</x:f>
        <x:v>#NAME?</x:v>
      </x:c>
      <x:c r="I614" s="27" t="e">
        <x:f>IF($A614="","",IF(발령대장_설정!$B$8="","",발령대장_설정!$B$8))</x:f>
        <x:v>#NAME?</x:v>
      </x:c>
      <x:c r="J614" s="27" t="str">
        <x:f>""</x:f>
      </x:c>
    </x:row>
    <x:row r="615" ht="42" customHeight="1">
      <x:c r="A615" s="47" t="e">
        <x:f>IF(AND(대장!A307&lt;&gt;"",ISNUMBER(대장!F307),OR(대장!G307="",AND(ISNUMBER(대장!G307),대장!G307&gt;=대장!F307))),대장!F307,"")</x:f>
        <x:v>#NAME?</x:v>
      </x:c>
      <x:c r="B615" s="27" t="e">
        <x:f>IF($A615="","",IF(발령대장_설정!$B$4="","",발령대장_설정!$B$4))</x:f>
        <x:v>#NAME?</x:v>
      </x:c>
      <x:c r="C615" s="27" t="e">
        <x:f>IF($A615="","",대장!D307)</x:f>
        <x:v>#NAME?</x:v>
      </x:c>
      <x:c r="D615" s="27" t="e">
        <x:f>IF($A615="","",대장!A307)</x:f>
        <x:v>#NAME?</x:v>
      </x:c>
      <x:c r="E615" s="27" t="e">
        <x:f>IF($A615="","",IF(대장!J307&lt;&gt;"",대장!J307,대장!D307&amp;"에 임함"&amp;IF(대장!E307="","",CHAR(10)&amp;"고용형태: "&amp;대장!E307)&amp;IF(대장!I307="","",CHAR(10)&amp;"소정근로시간: "&amp;대장!I307)&amp;CHAR(10)&amp;"근로기간: "&amp;YEAR(대장!F307)&amp;"."&amp;MONTH(대장!F307)&amp;"."&amp;DAY(대장!F307)&amp;"."&amp;" ~ "&amp;IF(ISNUMBER(대장!G307),YEAR(대장!G307)&amp;"."&amp;MONTH(대장!G307)&amp;"."&amp;DAY(대장!G307)&amp;".","재직 중")))</x:f>
        <x:v>#NAME?</x:v>
      </x:c>
      <x:c r="F615" s="27" t="e">
        <x:f>IF($A615="","",IF(발령대장_설정!$B$5="","",발령대장_설정!$B$5))</x:f>
        <x:v>#NAME?</x:v>
      </x:c>
      <x:c r="G615" s="27" t="e">
        <x:f>IF($A615="","",IF(발령대장_설정!$B$6="","",발령대장_설정!$B$6))</x:f>
        <x:v>#NAME?</x:v>
      </x:c>
      <x:c r="H615" s="27" t="e">
        <x:f>IF($A615="","",IF(발령대장_설정!$B$7="","",발령대장_설정!$B$7))</x:f>
        <x:v>#NAME?</x:v>
      </x:c>
      <x:c r="I615" s="27" t="e">
        <x:f>IF($A615="","",IF(발령대장_설정!$B$8="","",발령대장_설정!$B$8))</x:f>
        <x:v>#NAME?</x:v>
      </x:c>
      <x:c r="J615" s="27" t="e">
        <x:f>IF($A615="","",IF(대장!K307="","",대장!K307))</x:f>
        <x:v>#NAME?</x:v>
      </x:c>
    </x:row>
    <x:row r="616" ht="42" customHeight="1">
      <x:c r="A616" s="47" t="e">
        <x:f>IF(AND(대장!A307&lt;&gt;"",ISNUMBER(대장!F307),ISNUMBER(대장!G307),대장!G307&gt;=대장!F307,대장!H307&lt;&gt;""),대장!G307,"")</x:f>
        <x:v>#NAME?</x:v>
      </x:c>
      <x:c r="B616" s="27" t="e">
        <x:f>IF($A616="","",IF(발령대장_설정!$B$4="","",발령대장_설정!$B$4))</x:f>
        <x:v>#NAME?</x:v>
      </x:c>
      <x:c r="C616" s="27" t="e">
        <x:f>IF($A616="","",대장!D307)</x:f>
        <x:v>#NAME?</x:v>
      </x:c>
      <x:c r="D616" s="27" t="e">
        <x:f>IF($A616="","",대장!A307)</x:f>
        <x:v>#NAME?</x:v>
      </x:c>
      <x:c r="E616" s="27" t="e">
        <x:f>IF($A616="","",IF(OR(ISNUMBER(SEARCH("계약만료",대장!H307&amp;"")),ISNUMBER(SEARCH("기간만료",대장!H307&amp;""))),"계약기간 만료로 퇴직",IF(ISNUMBER(SEARCH("의원면직",대장!H307&amp;"")),"의원면직",IF(ISNUMBER(SEARCH("정년퇴직",대장!H307&amp;"")),"정년퇴직",대장!H307))))</x:f>
        <x:v>#NAME?</x:v>
      </x:c>
      <x:c r="F616" s="27" t="e">
        <x:f>IF($A616="","",IF(발령대장_설정!$B$5="","",발령대장_설정!$B$5))</x:f>
        <x:v>#NAME?</x:v>
      </x:c>
      <x:c r="G616" s="27" t="e">
        <x:f>IF($A616="","",IF(발령대장_설정!$B$6="","",발령대장_설정!$B$6))</x:f>
        <x:v>#NAME?</x:v>
      </x:c>
      <x:c r="H616" s="27" t="e">
        <x:f>IF($A616="","",IF(발령대장_설정!$B$7="","",발령대장_설정!$B$7))</x:f>
        <x:v>#NAME?</x:v>
      </x:c>
      <x:c r="I616" s="27" t="e">
        <x:f>IF($A616="","",IF(발령대장_설정!$B$8="","",발령대장_설정!$B$8))</x:f>
        <x:v>#NAME?</x:v>
      </x:c>
      <x:c r="J616" s="27" t="str">
        <x:f>""</x:f>
      </x:c>
    </x:row>
    <x:row r="617" ht="42" customHeight="1">
      <x:c r="A617" s="47" t="e">
        <x:f>IF(AND(대장!A308&lt;&gt;"",ISNUMBER(대장!F308),OR(대장!G308="",AND(ISNUMBER(대장!G308),대장!G308&gt;=대장!F308))),대장!F308,"")</x:f>
        <x:v>#NAME?</x:v>
      </x:c>
      <x:c r="B617" s="27" t="e">
        <x:f>IF($A617="","",IF(발령대장_설정!$B$4="","",발령대장_설정!$B$4))</x:f>
        <x:v>#NAME?</x:v>
      </x:c>
      <x:c r="C617" s="27" t="e">
        <x:f>IF($A617="","",대장!D308)</x:f>
        <x:v>#NAME?</x:v>
      </x:c>
      <x:c r="D617" s="27" t="e">
        <x:f>IF($A617="","",대장!A308)</x:f>
        <x:v>#NAME?</x:v>
      </x:c>
      <x:c r="E617" s="27" t="e">
        <x:f>IF($A617="","",IF(대장!J308&lt;&gt;"",대장!J308,대장!D308&amp;"에 임함"&amp;IF(대장!E308="","",CHAR(10)&amp;"고용형태: "&amp;대장!E308)&amp;IF(대장!I308="","",CHAR(10)&amp;"소정근로시간: "&amp;대장!I308)&amp;CHAR(10)&amp;"근로기간: "&amp;YEAR(대장!F308)&amp;"."&amp;MONTH(대장!F308)&amp;"."&amp;DAY(대장!F308)&amp;"."&amp;" ~ "&amp;IF(ISNUMBER(대장!G308),YEAR(대장!G308)&amp;"."&amp;MONTH(대장!G308)&amp;"."&amp;DAY(대장!G308)&amp;".","재직 중")))</x:f>
        <x:v>#NAME?</x:v>
      </x:c>
      <x:c r="F617" s="27" t="e">
        <x:f>IF($A617="","",IF(발령대장_설정!$B$5="","",발령대장_설정!$B$5))</x:f>
        <x:v>#NAME?</x:v>
      </x:c>
      <x:c r="G617" s="27" t="e">
        <x:f>IF($A617="","",IF(발령대장_설정!$B$6="","",발령대장_설정!$B$6))</x:f>
        <x:v>#NAME?</x:v>
      </x:c>
      <x:c r="H617" s="27" t="e">
        <x:f>IF($A617="","",IF(발령대장_설정!$B$7="","",발령대장_설정!$B$7))</x:f>
        <x:v>#NAME?</x:v>
      </x:c>
      <x:c r="I617" s="27" t="e">
        <x:f>IF($A617="","",IF(발령대장_설정!$B$8="","",발령대장_설정!$B$8))</x:f>
        <x:v>#NAME?</x:v>
      </x:c>
      <x:c r="J617" s="27" t="e">
        <x:f>IF($A617="","",IF(대장!K308="","",대장!K308))</x:f>
        <x:v>#NAME?</x:v>
      </x:c>
    </x:row>
    <x:row r="618" ht="42" customHeight="1">
      <x:c r="A618" s="47" t="e">
        <x:f>IF(AND(대장!A308&lt;&gt;"",ISNUMBER(대장!F308),ISNUMBER(대장!G308),대장!G308&gt;=대장!F308,대장!H308&lt;&gt;""),대장!G308,"")</x:f>
        <x:v>#NAME?</x:v>
      </x:c>
      <x:c r="B618" s="27" t="e">
        <x:f>IF($A618="","",IF(발령대장_설정!$B$4="","",발령대장_설정!$B$4))</x:f>
        <x:v>#NAME?</x:v>
      </x:c>
      <x:c r="C618" s="27" t="e">
        <x:f>IF($A618="","",대장!D308)</x:f>
        <x:v>#NAME?</x:v>
      </x:c>
      <x:c r="D618" s="27" t="e">
        <x:f>IF($A618="","",대장!A308)</x:f>
        <x:v>#NAME?</x:v>
      </x:c>
      <x:c r="E618" s="27" t="e">
        <x:f>IF($A618="","",IF(OR(ISNUMBER(SEARCH("계약만료",대장!H308&amp;"")),ISNUMBER(SEARCH("기간만료",대장!H308&amp;""))),"계약기간 만료로 퇴직",IF(ISNUMBER(SEARCH("의원면직",대장!H308&amp;"")),"의원면직",IF(ISNUMBER(SEARCH("정년퇴직",대장!H308&amp;"")),"정년퇴직",대장!H308))))</x:f>
        <x:v>#NAME?</x:v>
      </x:c>
      <x:c r="F618" s="27" t="e">
        <x:f>IF($A618="","",IF(발령대장_설정!$B$5="","",발령대장_설정!$B$5))</x:f>
        <x:v>#NAME?</x:v>
      </x:c>
      <x:c r="G618" s="27" t="e">
        <x:f>IF($A618="","",IF(발령대장_설정!$B$6="","",발령대장_설정!$B$6))</x:f>
        <x:v>#NAME?</x:v>
      </x:c>
      <x:c r="H618" s="27" t="e">
        <x:f>IF($A618="","",IF(발령대장_설정!$B$7="","",발령대장_설정!$B$7))</x:f>
        <x:v>#NAME?</x:v>
      </x:c>
      <x:c r="I618" s="27" t="e">
        <x:f>IF($A618="","",IF(발령대장_설정!$B$8="","",발령대장_설정!$B$8))</x:f>
        <x:v>#NAME?</x:v>
      </x:c>
      <x:c r="J618" s="27" t="str">
        <x:f>""</x:f>
      </x:c>
    </x:row>
    <x:row r="619" ht="42" customHeight="1">
      <x:c r="A619" s="47" t="e">
        <x:f>IF(AND(대장!A309&lt;&gt;"",ISNUMBER(대장!F309),OR(대장!G309="",AND(ISNUMBER(대장!G309),대장!G309&gt;=대장!F309))),대장!F309,"")</x:f>
        <x:v>#NAME?</x:v>
      </x:c>
      <x:c r="B619" s="27" t="e">
        <x:f>IF($A619="","",IF(발령대장_설정!$B$4="","",발령대장_설정!$B$4))</x:f>
        <x:v>#NAME?</x:v>
      </x:c>
      <x:c r="C619" s="27" t="e">
        <x:f>IF($A619="","",대장!D309)</x:f>
        <x:v>#NAME?</x:v>
      </x:c>
      <x:c r="D619" s="27" t="e">
        <x:f>IF($A619="","",대장!A309)</x:f>
        <x:v>#NAME?</x:v>
      </x:c>
      <x:c r="E619" s="27" t="e">
        <x:f>IF($A619="","",IF(대장!J309&lt;&gt;"",대장!J309,대장!D309&amp;"에 임함"&amp;IF(대장!E309="","",CHAR(10)&amp;"고용형태: "&amp;대장!E309)&amp;IF(대장!I309="","",CHAR(10)&amp;"소정근로시간: "&amp;대장!I309)&amp;CHAR(10)&amp;"근로기간: "&amp;YEAR(대장!F309)&amp;"."&amp;MONTH(대장!F309)&amp;"."&amp;DAY(대장!F309)&amp;"."&amp;" ~ "&amp;IF(ISNUMBER(대장!G309),YEAR(대장!G309)&amp;"."&amp;MONTH(대장!G309)&amp;"."&amp;DAY(대장!G309)&amp;".","재직 중")))</x:f>
        <x:v>#NAME?</x:v>
      </x:c>
      <x:c r="F619" s="27" t="e">
        <x:f>IF($A619="","",IF(발령대장_설정!$B$5="","",발령대장_설정!$B$5))</x:f>
        <x:v>#NAME?</x:v>
      </x:c>
      <x:c r="G619" s="27" t="e">
        <x:f>IF($A619="","",IF(발령대장_설정!$B$6="","",발령대장_설정!$B$6))</x:f>
        <x:v>#NAME?</x:v>
      </x:c>
      <x:c r="H619" s="27" t="e">
        <x:f>IF($A619="","",IF(발령대장_설정!$B$7="","",발령대장_설정!$B$7))</x:f>
        <x:v>#NAME?</x:v>
      </x:c>
      <x:c r="I619" s="27" t="e">
        <x:f>IF($A619="","",IF(발령대장_설정!$B$8="","",발령대장_설정!$B$8))</x:f>
        <x:v>#NAME?</x:v>
      </x:c>
      <x:c r="J619" s="27" t="e">
        <x:f>IF($A619="","",IF(대장!K309="","",대장!K309))</x:f>
        <x:v>#NAME?</x:v>
      </x:c>
    </x:row>
    <x:row r="620" ht="42" customHeight="1">
      <x:c r="A620" s="47" t="e">
        <x:f>IF(AND(대장!A309&lt;&gt;"",ISNUMBER(대장!F309),ISNUMBER(대장!G309),대장!G309&gt;=대장!F309,대장!H309&lt;&gt;""),대장!G309,"")</x:f>
        <x:v>#NAME?</x:v>
      </x:c>
      <x:c r="B620" s="27" t="e">
        <x:f>IF($A620="","",IF(발령대장_설정!$B$4="","",발령대장_설정!$B$4))</x:f>
        <x:v>#NAME?</x:v>
      </x:c>
      <x:c r="C620" s="27" t="e">
        <x:f>IF($A620="","",대장!D309)</x:f>
        <x:v>#NAME?</x:v>
      </x:c>
      <x:c r="D620" s="27" t="e">
        <x:f>IF($A620="","",대장!A309)</x:f>
        <x:v>#NAME?</x:v>
      </x:c>
      <x:c r="E620" s="27" t="e">
        <x:f>IF($A620="","",IF(OR(ISNUMBER(SEARCH("계약만료",대장!H309&amp;"")),ISNUMBER(SEARCH("기간만료",대장!H309&amp;""))),"계약기간 만료로 퇴직",IF(ISNUMBER(SEARCH("의원면직",대장!H309&amp;"")),"의원면직",IF(ISNUMBER(SEARCH("정년퇴직",대장!H309&amp;"")),"정년퇴직",대장!H309))))</x:f>
        <x:v>#NAME?</x:v>
      </x:c>
      <x:c r="F620" s="27" t="e">
        <x:f>IF($A620="","",IF(발령대장_설정!$B$5="","",발령대장_설정!$B$5))</x:f>
        <x:v>#NAME?</x:v>
      </x:c>
      <x:c r="G620" s="27" t="e">
        <x:f>IF($A620="","",IF(발령대장_설정!$B$6="","",발령대장_설정!$B$6))</x:f>
        <x:v>#NAME?</x:v>
      </x:c>
      <x:c r="H620" s="27" t="e">
        <x:f>IF($A620="","",IF(발령대장_설정!$B$7="","",발령대장_설정!$B$7))</x:f>
        <x:v>#NAME?</x:v>
      </x:c>
      <x:c r="I620" s="27" t="e">
        <x:f>IF($A620="","",IF(발령대장_설정!$B$8="","",발령대장_설정!$B$8))</x:f>
        <x:v>#NAME?</x:v>
      </x:c>
      <x:c r="J620" s="27" t="str">
        <x:f>""</x:f>
      </x:c>
    </x:row>
    <x:row r="621" ht="42" customHeight="1">
      <x:c r="A621" s="47" t="e">
        <x:f>IF(AND(대장!A310&lt;&gt;"",ISNUMBER(대장!F310),OR(대장!G310="",AND(ISNUMBER(대장!G310),대장!G310&gt;=대장!F310))),대장!F310,"")</x:f>
        <x:v>#NAME?</x:v>
      </x:c>
      <x:c r="B621" s="27" t="e">
        <x:f>IF($A621="","",IF(발령대장_설정!$B$4="","",발령대장_설정!$B$4))</x:f>
        <x:v>#NAME?</x:v>
      </x:c>
      <x:c r="C621" s="27" t="e">
        <x:f>IF($A621="","",대장!D310)</x:f>
        <x:v>#NAME?</x:v>
      </x:c>
      <x:c r="D621" s="27" t="e">
        <x:f>IF($A621="","",대장!A310)</x:f>
        <x:v>#NAME?</x:v>
      </x:c>
      <x:c r="E621" s="27" t="e">
        <x:f>IF($A621="","",IF(대장!J310&lt;&gt;"",대장!J310,대장!D310&amp;"에 임함"&amp;IF(대장!E310="","",CHAR(10)&amp;"고용형태: "&amp;대장!E310)&amp;IF(대장!I310="","",CHAR(10)&amp;"소정근로시간: "&amp;대장!I310)&amp;CHAR(10)&amp;"근로기간: "&amp;YEAR(대장!F310)&amp;"."&amp;MONTH(대장!F310)&amp;"."&amp;DAY(대장!F310)&amp;"."&amp;" ~ "&amp;IF(ISNUMBER(대장!G310),YEAR(대장!G310)&amp;"."&amp;MONTH(대장!G310)&amp;"."&amp;DAY(대장!G310)&amp;".","재직 중")))</x:f>
        <x:v>#NAME?</x:v>
      </x:c>
      <x:c r="F621" s="27" t="e">
        <x:f>IF($A621="","",IF(발령대장_설정!$B$5="","",발령대장_설정!$B$5))</x:f>
        <x:v>#NAME?</x:v>
      </x:c>
      <x:c r="G621" s="27" t="e">
        <x:f>IF($A621="","",IF(발령대장_설정!$B$6="","",발령대장_설정!$B$6))</x:f>
        <x:v>#NAME?</x:v>
      </x:c>
      <x:c r="H621" s="27" t="e">
        <x:f>IF($A621="","",IF(발령대장_설정!$B$7="","",발령대장_설정!$B$7))</x:f>
        <x:v>#NAME?</x:v>
      </x:c>
      <x:c r="I621" s="27" t="e">
        <x:f>IF($A621="","",IF(발령대장_설정!$B$8="","",발령대장_설정!$B$8))</x:f>
        <x:v>#NAME?</x:v>
      </x:c>
      <x:c r="J621" s="27" t="e">
        <x:f>IF($A621="","",IF(대장!K310="","",대장!K310))</x:f>
        <x:v>#NAME?</x:v>
      </x:c>
    </x:row>
    <x:row r="622" ht="42" customHeight="1">
      <x:c r="A622" s="47" t="e">
        <x:f>IF(AND(대장!A310&lt;&gt;"",ISNUMBER(대장!F310),ISNUMBER(대장!G310),대장!G310&gt;=대장!F310,대장!H310&lt;&gt;""),대장!G310,"")</x:f>
        <x:v>#NAME?</x:v>
      </x:c>
      <x:c r="B622" s="27" t="e">
        <x:f>IF($A622="","",IF(발령대장_설정!$B$4="","",발령대장_설정!$B$4))</x:f>
        <x:v>#NAME?</x:v>
      </x:c>
      <x:c r="C622" s="27" t="e">
        <x:f>IF($A622="","",대장!D310)</x:f>
        <x:v>#NAME?</x:v>
      </x:c>
      <x:c r="D622" s="27" t="e">
        <x:f>IF($A622="","",대장!A310)</x:f>
        <x:v>#NAME?</x:v>
      </x:c>
      <x:c r="E622" s="27" t="e">
        <x:f>IF($A622="","",IF(OR(ISNUMBER(SEARCH("계약만료",대장!H310&amp;"")),ISNUMBER(SEARCH("기간만료",대장!H310&amp;""))),"계약기간 만료로 퇴직",IF(ISNUMBER(SEARCH("의원면직",대장!H310&amp;"")),"의원면직",IF(ISNUMBER(SEARCH("정년퇴직",대장!H310&amp;"")),"정년퇴직",대장!H310))))</x:f>
        <x:v>#NAME?</x:v>
      </x:c>
      <x:c r="F622" s="27" t="e">
        <x:f>IF($A622="","",IF(발령대장_설정!$B$5="","",발령대장_설정!$B$5))</x:f>
        <x:v>#NAME?</x:v>
      </x:c>
      <x:c r="G622" s="27" t="e">
        <x:f>IF($A622="","",IF(발령대장_설정!$B$6="","",발령대장_설정!$B$6))</x:f>
        <x:v>#NAME?</x:v>
      </x:c>
      <x:c r="H622" s="27" t="e">
        <x:f>IF($A622="","",IF(발령대장_설정!$B$7="","",발령대장_설정!$B$7))</x:f>
        <x:v>#NAME?</x:v>
      </x:c>
      <x:c r="I622" s="27" t="e">
        <x:f>IF($A622="","",IF(발령대장_설정!$B$8="","",발령대장_설정!$B$8))</x:f>
        <x:v>#NAME?</x:v>
      </x:c>
      <x:c r="J622" s="27" t="str">
        <x:f>""</x:f>
      </x:c>
    </x:row>
    <x:row r="623" ht="42" customHeight="1">
      <x:c r="A623" s="47" t="e">
        <x:f>IF(AND(대장!A311&lt;&gt;"",ISNUMBER(대장!F311),OR(대장!G311="",AND(ISNUMBER(대장!G311),대장!G311&gt;=대장!F311))),대장!F311,"")</x:f>
        <x:v>#NAME?</x:v>
      </x:c>
      <x:c r="B623" s="27" t="e">
        <x:f>IF($A623="","",IF(발령대장_설정!$B$4="","",발령대장_설정!$B$4))</x:f>
        <x:v>#NAME?</x:v>
      </x:c>
      <x:c r="C623" s="27" t="e">
        <x:f>IF($A623="","",대장!D311)</x:f>
        <x:v>#NAME?</x:v>
      </x:c>
      <x:c r="D623" s="27" t="e">
        <x:f>IF($A623="","",대장!A311)</x:f>
        <x:v>#NAME?</x:v>
      </x:c>
      <x:c r="E623" s="27" t="e">
        <x:f>IF($A623="","",IF(대장!J311&lt;&gt;"",대장!J311,대장!D311&amp;"에 임함"&amp;IF(대장!E311="","",CHAR(10)&amp;"고용형태: "&amp;대장!E311)&amp;IF(대장!I311="","",CHAR(10)&amp;"소정근로시간: "&amp;대장!I311)&amp;CHAR(10)&amp;"근로기간: "&amp;YEAR(대장!F311)&amp;"."&amp;MONTH(대장!F311)&amp;"."&amp;DAY(대장!F311)&amp;"."&amp;" ~ "&amp;IF(ISNUMBER(대장!G311),YEAR(대장!G311)&amp;"."&amp;MONTH(대장!G311)&amp;"."&amp;DAY(대장!G311)&amp;".","재직 중")))</x:f>
        <x:v>#NAME?</x:v>
      </x:c>
      <x:c r="F623" s="27" t="e">
        <x:f>IF($A623="","",IF(발령대장_설정!$B$5="","",발령대장_설정!$B$5))</x:f>
        <x:v>#NAME?</x:v>
      </x:c>
      <x:c r="G623" s="27" t="e">
        <x:f>IF($A623="","",IF(발령대장_설정!$B$6="","",발령대장_설정!$B$6))</x:f>
        <x:v>#NAME?</x:v>
      </x:c>
      <x:c r="H623" s="27" t="e">
        <x:f>IF($A623="","",IF(발령대장_설정!$B$7="","",발령대장_설정!$B$7))</x:f>
        <x:v>#NAME?</x:v>
      </x:c>
      <x:c r="I623" s="27" t="e">
        <x:f>IF($A623="","",IF(발령대장_설정!$B$8="","",발령대장_설정!$B$8))</x:f>
        <x:v>#NAME?</x:v>
      </x:c>
      <x:c r="J623" s="27" t="e">
        <x:f>IF($A623="","",IF(대장!K311="","",대장!K311))</x:f>
        <x:v>#NAME?</x:v>
      </x:c>
    </x:row>
    <x:row r="624" ht="42" customHeight="1">
      <x:c r="A624" s="47" t="e">
        <x:f>IF(AND(대장!A311&lt;&gt;"",ISNUMBER(대장!F311),ISNUMBER(대장!G311),대장!G311&gt;=대장!F311,대장!H311&lt;&gt;""),대장!G311,"")</x:f>
        <x:v>#NAME?</x:v>
      </x:c>
      <x:c r="B624" s="27" t="e">
        <x:f>IF($A624="","",IF(발령대장_설정!$B$4="","",발령대장_설정!$B$4))</x:f>
        <x:v>#NAME?</x:v>
      </x:c>
      <x:c r="C624" s="27" t="e">
        <x:f>IF($A624="","",대장!D311)</x:f>
        <x:v>#NAME?</x:v>
      </x:c>
      <x:c r="D624" s="27" t="e">
        <x:f>IF($A624="","",대장!A311)</x:f>
        <x:v>#NAME?</x:v>
      </x:c>
      <x:c r="E624" s="27" t="e">
        <x:f>IF($A624="","",IF(OR(ISNUMBER(SEARCH("계약만료",대장!H311&amp;"")),ISNUMBER(SEARCH("기간만료",대장!H311&amp;""))),"계약기간 만료로 퇴직",IF(ISNUMBER(SEARCH("의원면직",대장!H311&amp;"")),"의원면직",IF(ISNUMBER(SEARCH("정년퇴직",대장!H311&amp;"")),"정년퇴직",대장!H311))))</x:f>
        <x:v>#NAME?</x:v>
      </x:c>
      <x:c r="F624" s="27" t="e">
        <x:f>IF($A624="","",IF(발령대장_설정!$B$5="","",발령대장_설정!$B$5))</x:f>
        <x:v>#NAME?</x:v>
      </x:c>
      <x:c r="G624" s="27" t="e">
        <x:f>IF($A624="","",IF(발령대장_설정!$B$6="","",발령대장_설정!$B$6))</x:f>
        <x:v>#NAME?</x:v>
      </x:c>
      <x:c r="H624" s="27" t="e">
        <x:f>IF($A624="","",IF(발령대장_설정!$B$7="","",발령대장_설정!$B$7))</x:f>
        <x:v>#NAME?</x:v>
      </x:c>
      <x:c r="I624" s="27" t="e">
        <x:f>IF($A624="","",IF(발령대장_설정!$B$8="","",발령대장_설정!$B$8))</x:f>
        <x:v>#NAME?</x:v>
      </x:c>
      <x:c r="J624" s="27" t="str">
        <x:f>""</x:f>
      </x:c>
    </x:row>
    <x:row r="625" ht="42" customHeight="1">
      <x:c r="A625" s="47" t="e">
        <x:f>IF(AND(대장!A312&lt;&gt;"",ISNUMBER(대장!F312),OR(대장!G312="",AND(ISNUMBER(대장!G312),대장!G312&gt;=대장!F312))),대장!F312,"")</x:f>
        <x:v>#NAME?</x:v>
      </x:c>
      <x:c r="B625" s="27" t="e">
        <x:f>IF($A625="","",IF(발령대장_설정!$B$4="","",발령대장_설정!$B$4))</x:f>
        <x:v>#NAME?</x:v>
      </x:c>
      <x:c r="C625" s="27" t="e">
        <x:f>IF($A625="","",대장!D312)</x:f>
        <x:v>#NAME?</x:v>
      </x:c>
      <x:c r="D625" s="27" t="e">
        <x:f>IF($A625="","",대장!A312)</x:f>
        <x:v>#NAME?</x:v>
      </x:c>
      <x:c r="E625" s="27" t="e">
        <x:f>IF($A625="","",IF(대장!J312&lt;&gt;"",대장!J312,대장!D312&amp;"에 임함"&amp;IF(대장!E312="","",CHAR(10)&amp;"고용형태: "&amp;대장!E312)&amp;IF(대장!I312="","",CHAR(10)&amp;"소정근로시간: "&amp;대장!I312)&amp;CHAR(10)&amp;"근로기간: "&amp;YEAR(대장!F312)&amp;"."&amp;MONTH(대장!F312)&amp;"."&amp;DAY(대장!F312)&amp;"."&amp;" ~ "&amp;IF(ISNUMBER(대장!G312),YEAR(대장!G312)&amp;"."&amp;MONTH(대장!G312)&amp;"."&amp;DAY(대장!G312)&amp;".","재직 중")))</x:f>
        <x:v>#NAME?</x:v>
      </x:c>
      <x:c r="F625" s="27" t="e">
        <x:f>IF($A625="","",IF(발령대장_설정!$B$5="","",발령대장_설정!$B$5))</x:f>
        <x:v>#NAME?</x:v>
      </x:c>
      <x:c r="G625" s="27" t="e">
        <x:f>IF($A625="","",IF(발령대장_설정!$B$6="","",발령대장_설정!$B$6))</x:f>
        <x:v>#NAME?</x:v>
      </x:c>
      <x:c r="H625" s="27" t="e">
        <x:f>IF($A625="","",IF(발령대장_설정!$B$7="","",발령대장_설정!$B$7))</x:f>
        <x:v>#NAME?</x:v>
      </x:c>
      <x:c r="I625" s="27" t="e">
        <x:f>IF($A625="","",IF(발령대장_설정!$B$8="","",발령대장_설정!$B$8))</x:f>
        <x:v>#NAME?</x:v>
      </x:c>
      <x:c r="J625" s="27" t="e">
        <x:f>IF($A625="","",IF(대장!K312="","",대장!K312))</x:f>
        <x:v>#NAME?</x:v>
      </x:c>
    </x:row>
    <x:row r="626" ht="42" customHeight="1">
      <x:c r="A626" s="47" t="e">
        <x:f>IF(AND(대장!A312&lt;&gt;"",ISNUMBER(대장!F312),ISNUMBER(대장!G312),대장!G312&gt;=대장!F312,대장!H312&lt;&gt;""),대장!G312,"")</x:f>
        <x:v>#NAME?</x:v>
      </x:c>
      <x:c r="B626" s="27" t="e">
        <x:f>IF($A626="","",IF(발령대장_설정!$B$4="","",발령대장_설정!$B$4))</x:f>
        <x:v>#NAME?</x:v>
      </x:c>
      <x:c r="C626" s="27" t="e">
        <x:f>IF($A626="","",대장!D312)</x:f>
        <x:v>#NAME?</x:v>
      </x:c>
      <x:c r="D626" s="27" t="e">
        <x:f>IF($A626="","",대장!A312)</x:f>
        <x:v>#NAME?</x:v>
      </x:c>
      <x:c r="E626" s="27" t="e">
        <x:f>IF($A626="","",IF(OR(ISNUMBER(SEARCH("계약만료",대장!H312&amp;"")),ISNUMBER(SEARCH("기간만료",대장!H312&amp;""))),"계약기간 만료로 퇴직",IF(ISNUMBER(SEARCH("의원면직",대장!H312&amp;"")),"의원면직",IF(ISNUMBER(SEARCH("정년퇴직",대장!H312&amp;"")),"정년퇴직",대장!H312))))</x:f>
        <x:v>#NAME?</x:v>
      </x:c>
      <x:c r="F626" s="27" t="e">
        <x:f>IF($A626="","",IF(발령대장_설정!$B$5="","",발령대장_설정!$B$5))</x:f>
        <x:v>#NAME?</x:v>
      </x:c>
      <x:c r="G626" s="27" t="e">
        <x:f>IF($A626="","",IF(발령대장_설정!$B$6="","",발령대장_설정!$B$6))</x:f>
        <x:v>#NAME?</x:v>
      </x:c>
      <x:c r="H626" s="27" t="e">
        <x:f>IF($A626="","",IF(발령대장_설정!$B$7="","",발령대장_설정!$B$7))</x:f>
        <x:v>#NAME?</x:v>
      </x:c>
      <x:c r="I626" s="27" t="e">
        <x:f>IF($A626="","",IF(발령대장_설정!$B$8="","",발령대장_설정!$B$8))</x:f>
        <x:v>#NAME?</x:v>
      </x:c>
      <x:c r="J626" s="27" t="str">
        <x:f>""</x:f>
      </x:c>
    </x:row>
    <x:row r="627" ht="42" customHeight="1">
      <x:c r="A627" s="47" t="e">
        <x:f>IF(AND(대장!A313&lt;&gt;"",ISNUMBER(대장!F313),OR(대장!G313="",AND(ISNUMBER(대장!G313),대장!G313&gt;=대장!F313))),대장!F313,"")</x:f>
        <x:v>#NAME?</x:v>
      </x:c>
      <x:c r="B627" s="27" t="e">
        <x:f>IF($A627="","",IF(발령대장_설정!$B$4="","",발령대장_설정!$B$4))</x:f>
        <x:v>#NAME?</x:v>
      </x:c>
      <x:c r="C627" s="27" t="e">
        <x:f>IF($A627="","",대장!D313)</x:f>
        <x:v>#NAME?</x:v>
      </x:c>
      <x:c r="D627" s="27" t="e">
        <x:f>IF($A627="","",대장!A313)</x:f>
        <x:v>#NAME?</x:v>
      </x:c>
      <x:c r="E627" s="27" t="e">
        <x:f>IF($A627="","",IF(대장!J313&lt;&gt;"",대장!J313,대장!D313&amp;"에 임함"&amp;IF(대장!E313="","",CHAR(10)&amp;"고용형태: "&amp;대장!E313)&amp;IF(대장!I313="","",CHAR(10)&amp;"소정근로시간: "&amp;대장!I313)&amp;CHAR(10)&amp;"근로기간: "&amp;YEAR(대장!F313)&amp;"."&amp;MONTH(대장!F313)&amp;"."&amp;DAY(대장!F313)&amp;"."&amp;" ~ "&amp;IF(ISNUMBER(대장!G313),YEAR(대장!G313)&amp;"."&amp;MONTH(대장!G313)&amp;"."&amp;DAY(대장!G313)&amp;".","재직 중")))</x:f>
        <x:v>#NAME?</x:v>
      </x:c>
      <x:c r="F627" s="27" t="e">
        <x:f>IF($A627="","",IF(발령대장_설정!$B$5="","",발령대장_설정!$B$5))</x:f>
        <x:v>#NAME?</x:v>
      </x:c>
      <x:c r="G627" s="27" t="e">
        <x:f>IF($A627="","",IF(발령대장_설정!$B$6="","",발령대장_설정!$B$6))</x:f>
        <x:v>#NAME?</x:v>
      </x:c>
      <x:c r="H627" s="27" t="e">
        <x:f>IF($A627="","",IF(발령대장_설정!$B$7="","",발령대장_설정!$B$7))</x:f>
        <x:v>#NAME?</x:v>
      </x:c>
      <x:c r="I627" s="27" t="e">
        <x:f>IF($A627="","",IF(발령대장_설정!$B$8="","",발령대장_설정!$B$8))</x:f>
        <x:v>#NAME?</x:v>
      </x:c>
      <x:c r="J627" s="27" t="e">
        <x:f>IF($A627="","",IF(대장!K313="","",대장!K313))</x:f>
        <x:v>#NAME?</x:v>
      </x:c>
    </x:row>
    <x:row r="628" ht="42" customHeight="1">
      <x:c r="A628" s="47" t="e">
        <x:f>IF(AND(대장!A313&lt;&gt;"",ISNUMBER(대장!F313),ISNUMBER(대장!G313),대장!G313&gt;=대장!F313,대장!H313&lt;&gt;""),대장!G313,"")</x:f>
        <x:v>#NAME?</x:v>
      </x:c>
      <x:c r="B628" s="27" t="e">
        <x:f>IF($A628="","",IF(발령대장_설정!$B$4="","",발령대장_설정!$B$4))</x:f>
        <x:v>#NAME?</x:v>
      </x:c>
      <x:c r="C628" s="27" t="e">
        <x:f>IF($A628="","",대장!D313)</x:f>
        <x:v>#NAME?</x:v>
      </x:c>
      <x:c r="D628" s="27" t="e">
        <x:f>IF($A628="","",대장!A313)</x:f>
        <x:v>#NAME?</x:v>
      </x:c>
      <x:c r="E628" s="27" t="e">
        <x:f>IF($A628="","",IF(OR(ISNUMBER(SEARCH("계약만료",대장!H313&amp;"")),ISNUMBER(SEARCH("기간만료",대장!H313&amp;""))),"계약기간 만료로 퇴직",IF(ISNUMBER(SEARCH("의원면직",대장!H313&amp;"")),"의원면직",IF(ISNUMBER(SEARCH("정년퇴직",대장!H313&amp;"")),"정년퇴직",대장!H313))))</x:f>
        <x:v>#NAME?</x:v>
      </x:c>
      <x:c r="F628" s="27" t="e">
        <x:f>IF($A628="","",IF(발령대장_설정!$B$5="","",발령대장_설정!$B$5))</x:f>
        <x:v>#NAME?</x:v>
      </x:c>
      <x:c r="G628" s="27" t="e">
        <x:f>IF($A628="","",IF(발령대장_설정!$B$6="","",발령대장_설정!$B$6))</x:f>
        <x:v>#NAME?</x:v>
      </x:c>
      <x:c r="H628" s="27" t="e">
        <x:f>IF($A628="","",IF(발령대장_설정!$B$7="","",발령대장_설정!$B$7))</x:f>
        <x:v>#NAME?</x:v>
      </x:c>
      <x:c r="I628" s="27" t="e">
        <x:f>IF($A628="","",IF(발령대장_설정!$B$8="","",발령대장_설정!$B$8))</x:f>
        <x:v>#NAME?</x:v>
      </x:c>
      <x:c r="J628" s="27" t="str">
        <x:f>""</x:f>
      </x:c>
    </x:row>
    <x:row r="629" ht="42" customHeight="1">
      <x:c r="A629" s="47" t="e">
        <x:f>IF(AND(대장!A314&lt;&gt;"",ISNUMBER(대장!F314),OR(대장!G314="",AND(ISNUMBER(대장!G314),대장!G314&gt;=대장!F314))),대장!F314,"")</x:f>
        <x:v>#NAME?</x:v>
      </x:c>
      <x:c r="B629" s="27" t="e">
        <x:f>IF($A629="","",IF(발령대장_설정!$B$4="","",발령대장_설정!$B$4))</x:f>
        <x:v>#NAME?</x:v>
      </x:c>
      <x:c r="C629" s="27" t="e">
        <x:f>IF($A629="","",대장!D314)</x:f>
        <x:v>#NAME?</x:v>
      </x:c>
      <x:c r="D629" s="27" t="e">
        <x:f>IF($A629="","",대장!A314)</x:f>
        <x:v>#NAME?</x:v>
      </x:c>
      <x:c r="E629" s="27" t="e">
        <x:f>IF($A629="","",IF(대장!J314&lt;&gt;"",대장!J314,대장!D314&amp;"에 임함"&amp;IF(대장!E314="","",CHAR(10)&amp;"고용형태: "&amp;대장!E314)&amp;IF(대장!I314="","",CHAR(10)&amp;"소정근로시간: "&amp;대장!I314)&amp;CHAR(10)&amp;"근로기간: "&amp;YEAR(대장!F314)&amp;"."&amp;MONTH(대장!F314)&amp;"."&amp;DAY(대장!F314)&amp;"."&amp;" ~ "&amp;IF(ISNUMBER(대장!G314),YEAR(대장!G314)&amp;"."&amp;MONTH(대장!G314)&amp;"."&amp;DAY(대장!G314)&amp;".","재직 중")))</x:f>
        <x:v>#NAME?</x:v>
      </x:c>
      <x:c r="F629" s="27" t="e">
        <x:f>IF($A629="","",IF(발령대장_설정!$B$5="","",발령대장_설정!$B$5))</x:f>
        <x:v>#NAME?</x:v>
      </x:c>
      <x:c r="G629" s="27" t="e">
        <x:f>IF($A629="","",IF(발령대장_설정!$B$6="","",발령대장_설정!$B$6))</x:f>
        <x:v>#NAME?</x:v>
      </x:c>
      <x:c r="H629" s="27" t="e">
        <x:f>IF($A629="","",IF(발령대장_설정!$B$7="","",발령대장_설정!$B$7))</x:f>
        <x:v>#NAME?</x:v>
      </x:c>
      <x:c r="I629" s="27" t="e">
        <x:f>IF($A629="","",IF(발령대장_설정!$B$8="","",발령대장_설정!$B$8))</x:f>
        <x:v>#NAME?</x:v>
      </x:c>
      <x:c r="J629" s="27" t="e">
        <x:f>IF($A629="","",IF(대장!K314="","",대장!K314))</x:f>
        <x:v>#NAME?</x:v>
      </x:c>
    </x:row>
    <x:row r="630" ht="42" customHeight="1">
      <x:c r="A630" s="47" t="e">
        <x:f>IF(AND(대장!A314&lt;&gt;"",ISNUMBER(대장!F314),ISNUMBER(대장!G314),대장!G314&gt;=대장!F314,대장!H314&lt;&gt;""),대장!G314,"")</x:f>
        <x:v>#NAME?</x:v>
      </x:c>
      <x:c r="B630" s="27" t="e">
        <x:f>IF($A630="","",IF(발령대장_설정!$B$4="","",발령대장_설정!$B$4))</x:f>
        <x:v>#NAME?</x:v>
      </x:c>
      <x:c r="C630" s="27" t="e">
        <x:f>IF($A630="","",대장!D314)</x:f>
        <x:v>#NAME?</x:v>
      </x:c>
      <x:c r="D630" s="27" t="e">
        <x:f>IF($A630="","",대장!A314)</x:f>
        <x:v>#NAME?</x:v>
      </x:c>
      <x:c r="E630" s="27" t="e">
        <x:f>IF($A630="","",IF(OR(ISNUMBER(SEARCH("계약만료",대장!H314&amp;"")),ISNUMBER(SEARCH("기간만료",대장!H314&amp;""))),"계약기간 만료로 퇴직",IF(ISNUMBER(SEARCH("의원면직",대장!H314&amp;"")),"의원면직",IF(ISNUMBER(SEARCH("정년퇴직",대장!H314&amp;"")),"정년퇴직",대장!H314))))</x:f>
        <x:v>#NAME?</x:v>
      </x:c>
      <x:c r="F630" s="27" t="e">
        <x:f>IF($A630="","",IF(발령대장_설정!$B$5="","",발령대장_설정!$B$5))</x:f>
        <x:v>#NAME?</x:v>
      </x:c>
      <x:c r="G630" s="27" t="e">
        <x:f>IF($A630="","",IF(발령대장_설정!$B$6="","",발령대장_설정!$B$6))</x:f>
        <x:v>#NAME?</x:v>
      </x:c>
      <x:c r="H630" s="27" t="e">
        <x:f>IF($A630="","",IF(발령대장_설정!$B$7="","",발령대장_설정!$B$7))</x:f>
        <x:v>#NAME?</x:v>
      </x:c>
      <x:c r="I630" s="27" t="e">
        <x:f>IF($A630="","",IF(발령대장_설정!$B$8="","",발령대장_설정!$B$8))</x:f>
        <x:v>#NAME?</x:v>
      </x:c>
      <x:c r="J630" s="27" t="str">
        <x:f>""</x:f>
      </x:c>
    </x:row>
    <x:row r="631" ht="42" customHeight="1">
      <x:c r="A631" s="47" t="e">
        <x:f>IF(AND(대장!A315&lt;&gt;"",ISNUMBER(대장!F315),OR(대장!G315="",AND(ISNUMBER(대장!G315),대장!G315&gt;=대장!F315))),대장!F315,"")</x:f>
        <x:v>#NAME?</x:v>
      </x:c>
      <x:c r="B631" s="27" t="e">
        <x:f>IF($A631="","",IF(발령대장_설정!$B$4="","",발령대장_설정!$B$4))</x:f>
        <x:v>#NAME?</x:v>
      </x:c>
      <x:c r="C631" s="27" t="e">
        <x:f>IF($A631="","",대장!D315)</x:f>
        <x:v>#NAME?</x:v>
      </x:c>
      <x:c r="D631" s="27" t="e">
        <x:f>IF($A631="","",대장!A315)</x:f>
        <x:v>#NAME?</x:v>
      </x:c>
      <x:c r="E631" s="27" t="e">
        <x:f>IF($A631="","",IF(대장!J315&lt;&gt;"",대장!J315,대장!D315&amp;"에 임함"&amp;IF(대장!E315="","",CHAR(10)&amp;"고용형태: "&amp;대장!E315)&amp;IF(대장!I315="","",CHAR(10)&amp;"소정근로시간: "&amp;대장!I315)&amp;CHAR(10)&amp;"근로기간: "&amp;YEAR(대장!F315)&amp;"."&amp;MONTH(대장!F315)&amp;"."&amp;DAY(대장!F315)&amp;"."&amp;" ~ "&amp;IF(ISNUMBER(대장!G315),YEAR(대장!G315)&amp;"."&amp;MONTH(대장!G315)&amp;"."&amp;DAY(대장!G315)&amp;".","재직 중")))</x:f>
        <x:v>#NAME?</x:v>
      </x:c>
      <x:c r="F631" s="27" t="e">
        <x:f>IF($A631="","",IF(발령대장_설정!$B$5="","",발령대장_설정!$B$5))</x:f>
        <x:v>#NAME?</x:v>
      </x:c>
      <x:c r="G631" s="27" t="e">
        <x:f>IF($A631="","",IF(발령대장_설정!$B$6="","",발령대장_설정!$B$6))</x:f>
        <x:v>#NAME?</x:v>
      </x:c>
      <x:c r="H631" s="27" t="e">
        <x:f>IF($A631="","",IF(발령대장_설정!$B$7="","",발령대장_설정!$B$7))</x:f>
        <x:v>#NAME?</x:v>
      </x:c>
      <x:c r="I631" s="27" t="e">
        <x:f>IF($A631="","",IF(발령대장_설정!$B$8="","",발령대장_설정!$B$8))</x:f>
        <x:v>#NAME?</x:v>
      </x:c>
      <x:c r="J631" s="27" t="e">
        <x:f>IF($A631="","",IF(대장!K315="","",대장!K315))</x:f>
        <x:v>#NAME?</x:v>
      </x:c>
    </x:row>
    <x:row r="632" ht="42" customHeight="1">
      <x:c r="A632" s="47" t="e">
        <x:f>IF(AND(대장!A315&lt;&gt;"",ISNUMBER(대장!F315),ISNUMBER(대장!G315),대장!G315&gt;=대장!F315,대장!H315&lt;&gt;""),대장!G315,"")</x:f>
        <x:v>#NAME?</x:v>
      </x:c>
      <x:c r="B632" s="27" t="e">
        <x:f>IF($A632="","",IF(발령대장_설정!$B$4="","",발령대장_설정!$B$4))</x:f>
        <x:v>#NAME?</x:v>
      </x:c>
      <x:c r="C632" s="27" t="e">
        <x:f>IF($A632="","",대장!D315)</x:f>
        <x:v>#NAME?</x:v>
      </x:c>
      <x:c r="D632" s="27" t="e">
        <x:f>IF($A632="","",대장!A315)</x:f>
        <x:v>#NAME?</x:v>
      </x:c>
      <x:c r="E632" s="27" t="e">
        <x:f>IF($A632="","",IF(OR(ISNUMBER(SEARCH("계약만료",대장!H315&amp;"")),ISNUMBER(SEARCH("기간만료",대장!H315&amp;""))),"계약기간 만료로 퇴직",IF(ISNUMBER(SEARCH("의원면직",대장!H315&amp;"")),"의원면직",IF(ISNUMBER(SEARCH("정년퇴직",대장!H315&amp;"")),"정년퇴직",대장!H315))))</x:f>
        <x:v>#NAME?</x:v>
      </x:c>
      <x:c r="F632" s="27" t="e">
        <x:f>IF($A632="","",IF(발령대장_설정!$B$5="","",발령대장_설정!$B$5))</x:f>
        <x:v>#NAME?</x:v>
      </x:c>
      <x:c r="G632" s="27" t="e">
        <x:f>IF($A632="","",IF(발령대장_설정!$B$6="","",발령대장_설정!$B$6))</x:f>
        <x:v>#NAME?</x:v>
      </x:c>
      <x:c r="H632" s="27" t="e">
        <x:f>IF($A632="","",IF(발령대장_설정!$B$7="","",발령대장_설정!$B$7))</x:f>
        <x:v>#NAME?</x:v>
      </x:c>
      <x:c r="I632" s="27" t="e">
        <x:f>IF($A632="","",IF(발령대장_설정!$B$8="","",발령대장_설정!$B$8))</x:f>
        <x:v>#NAME?</x:v>
      </x:c>
      <x:c r="J632" s="27" t="str">
        <x:f>""</x:f>
      </x:c>
    </x:row>
    <x:row r="633" ht="42" customHeight="1">
      <x:c r="A633" s="47" t="e">
        <x:f>IF(AND(대장!A316&lt;&gt;"",ISNUMBER(대장!F316),OR(대장!G316="",AND(ISNUMBER(대장!G316),대장!G316&gt;=대장!F316))),대장!F316,"")</x:f>
        <x:v>#NAME?</x:v>
      </x:c>
      <x:c r="B633" s="27" t="e">
        <x:f>IF($A633="","",IF(발령대장_설정!$B$4="","",발령대장_설정!$B$4))</x:f>
        <x:v>#NAME?</x:v>
      </x:c>
      <x:c r="C633" s="27" t="e">
        <x:f>IF($A633="","",대장!D316)</x:f>
        <x:v>#NAME?</x:v>
      </x:c>
      <x:c r="D633" s="27" t="e">
        <x:f>IF($A633="","",대장!A316)</x:f>
        <x:v>#NAME?</x:v>
      </x:c>
      <x:c r="E633" s="27" t="e">
        <x:f>IF($A633="","",IF(대장!J316&lt;&gt;"",대장!J316,대장!D316&amp;"에 임함"&amp;IF(대장!E316="","",CHAR(10)&amp;"고용형태: "&amp;대장!E316)&amp;IF(대장!I316="","",CHAR(10)&amp;"소정근로시간: "&amp;대장!I316)&amp;CHAR(10)&amp;"근로기간: "&amp;YEAR(대장!F316)&amp;"."&amp;MONTH(대장!F316)&amp;"."&amp;DAY(대장!F316)&amp;"."&amp;" ~ "&amp;IF(ISNUMBER(대장!G316),YEAR(대장!G316)&amp;"."&amp;MONTH(대장!G316)&amp;"."&amp;DAY(대장!G316)&amp;".","재직 중")))</x:f>
        <x:v>#NAME?</x:v>
      </x:c>
      <x:c r="F633" s="27" t="e">
        <x:f>IF($A633="","",IF(발령대장_설정!$B$5="","",발령대장_설정!$B$5))</x:f>
        <x:v>#NAME?</x:v>
      </x:c>
      <x:c r="G633" s="27" t="e">
        <x:f>IF($A633="","",IF(발령대장_설정!$B$6="","",발령대장_설정!$B$6))</x:f>
        <x:v>#NAME?</x:v>
      </x:c>
      <x:c r="H633" s="27" t="e">
        <x:f>IF($A633="","",IF(발령대장_설정!$B$7="","",발령대장_설정!$B$7))</x:f>
        <x:v>#NAME?</x:v>
      </x:c>
      <x:c r="I633" s="27" t="e">
        <x:f>IF($A633="","",IF(발령대장_설정!$B$8="","",발령대장_설정!$B$8))</x:f>
        <x:v>#NAME?</x:v>
      </x:c>
      <x:c r="J633" s="27" t="e">
        <x:f>IF($A633="","",IF(대장!K316="","",대장!K316))</x:f>
        <x:v>#NAME?</x:v>
      </x:c>
    </x:row>
    <x:row r="634" ht="42" customHeight="1">
      <x:c r="A634" s="47" t="e">
        <x:f>IF(AND(대장!A316&lt;&gt;"",ISNUMBER(대장!F316),ISNUMBER(대장!G316),대장!G316&gt;=대장!F316,대장!H316&lt;&gt;""),대장!G316,"")</x:f>
        <x:v>#NAME?</x:v>
      </x:c>
      <x:c r="B634" s="27" t="e">
        <x:f>IF($A634="","",IF(발령대장_설정!$B$4="","",발령대장_설정!$B$4))</x:f>
        <x:v>#NAME?</x:v>
      </x:c>
      <x:c r="C634" s="27" t="e">
        <x:f>IF($A634="","",대장!D316)</x:f>
        <x:v>#NAME?</x:v>
      </x:c>
      <x:c r="D634" s="27" t="e">
        <x:f>IF($A634="","",대장!A316)</x:f>
        <x:v>#NAME?</x:v>
      </x:c>
      <x:c r="E634" s="27" t="e">
        <x:f>IF($A634="","",IF(OR(ISNUMBER(SEARCH("계약만료",대장!H316&amp;"")),ISNUMBER(SEARCH("기간만료",대장!H316&amp;""))),"계약기간 만료로 퇴직",IF(ISNUMBER(SEARCH("의원면직",대장!H316&amp;"")),"의원면직",IF(ISNUMBER(SEARCH("정년퇴직",대장!H316&amp;"")),"정년퇴직",대장!H316))))</x:f>
        <x:v>#NAME?</x:v>
      </x:c>
      <x:c r="F634" s="27" t="e">
        <x:f>IF($A634="","",IF(발령대장_설정!$B$5="","",발령대장_설정!$B$5))</x:f>
        <x:v>#NAME?</x:v>
      </x:c>
      <x:c r="G634" s="27" t="e">
        <x:f>IF($A634="","",IF(발령대장_설정!$B$6="","",발령대장_설정!$B$6))</x:f>
        <x:v>#NAME?</x:v>
      </x:c>
      <x:c r="H634" s="27" t="e">
        <x:f>IF($A634="","",IF(발령대장_설정!$B$7="","",발령대장_설정!$B$7))</x:f>
        <x:v>#NAME?</x:v>
      </x:c>
      <x:c r="I634" s="27" t="e">
        <x:f>IF($A634="","",IF(발령대장_설정!$B$8="","",발령대장_설정!$B$8))</x:f>
        <x:v>#NAME?</x:v>
      </x:c>
      <x:c r="J634" s="27" t="str">
        <x:f>""</x:f>
      </x:c>
    </x:row>
    <x:row r="635" ht="42" customHeight="1">
      <x:c r="A635" s="47" t="e">
        <x:f>IF(AND(대장!A317&lt;&gt;"",ISNUMBER(대장!F317),OR(대장!G317="",AND(ISNUMBER(대장!G317),대장!G317&gt;=대장!F317))),대장!F317,"")</x:f>
        <x:v>#NAME?</x:v>
      </x:c>
      <x:c r="B635" s="27" t="e">
        <x:f>IF($A635="","",IF(발령대장_설정!$B$4="","",발령대장_설정!$B$4))</x:f>
        <x:v>#NAME?</x:v>
      </x:c>
      <x:c r="C635" s="27" t="e">
        <x:f>IF($A635="","",대장!D317)</x:f>
        <x:v>#NAME?</x:v>
      </x:c>
      <x:c r="D635" s="27" t="e">
        <x:f>IF($A635="","",대장!A317)</x:f>
        <x:v>#NAME?</x:v>
      </x:c>
      <x:c r="E635" s="27" t="e">
        <x:f>IF($A635="","",IF(대장!J317&lt;&gt;"",대장!J317,대장!D317&amp;"에 임함"&amp;IF(대장!E317="","",CHAR(10)&amp;"고용형태: "&amp;대장!E317)&amp;IF(대장!I317="","",CHAR(10)&amp;"소정근로시간: "&amp;대장!I317)&amp;CHAR(10)&amp;"근로기간: "&amp;YEAR(대장!F317)&amp;"."&amp;MONTH(대장!F317)&amp;"."&amp;DAY(대장!F317)&amp;"."&amp;" ~ "&amp;IF(ISNUMBER(대장!G317),YEAR(대장!G317)&amp;"."&amp;MONTH(대장!G317)&amp;"."&amp;DAY(대장!G317)&amp;".","재직 중")))</x:f>
        <x:v>#NAME?</x:v>
      </x:c>
      <x:c r="F635" s="27" t="e">
        <x:f>IF($A635="","",IF(발령대장_설정!$B$5="","",발령대장_설정!$B$5))</x:f>
        <x:v>#NAME?</x:v>
      </x:c>
      <x:c r="G635" s="27" t="e">
        <x:f>IF($A635="","",IF(발령대장_설정!$B$6="","",발령대장_설정!$B$6))</x:f>
        <x:v>#NAME?</x:v>
      </x:c>
      <x:c r="H635" s="27" t="e">
        <x:f>IF($A635="","",IF(발령대장_설정!$B$7="","",발령대장_설정!$B$7))</x:f>
        <x:v>#NAME?</x:v>
      </x:c>
      <x:c r="I635" s="27" t="e">
        <x:f>IF($A635="","",IF(발령대장_설정!$B$8="","",발령대장_설정!$B$8))</x:f>
        <x:v>#NAME?</x:v>
      </x:c>
      <x:c r="J635" s="27" t="e">
        <x:f>IF($A635="","",IF(대장!K317="","",대장!K317))</x:f>
        <x:v>#NAME?</x:v>
      </x:c>
    </x:row>
    <x:row r="636" ht="42" customHeight="1">
      <x:c r="A636" s="47" t="e">
        <x:f>IF(AND(대장!A317&lt;&gt;"",ISNUMBER(대장!F317),ISNUMBER(대장!G317),대장!G317&gt;=대장!F317,대장!H317&lt;&gt;""),대장!G317,"")</x:f>
        <x:v>#NAME?</x:v>
      </x:c>
      <x:c r="B636" s="27" t="e">
        <x:f>IF($A636="","",IF(발령대장_설정!$B$4="","",발령대장_설정!$B$4))</x:f>
        <x:v>#NAME?</x:v>
      </x:c>
      <x:c r="C636" s="27" t="e">
        <x:f>IF($A636="","",대장!D317)</x:f>
        <x:v>#NAME?</x:v>
      </x:c>
      <x:c r="D636" s="27" t="e">
        <x:f>IF($A636="","",대장!A317)</x:f>
        <x:v>#NAME?</x:v>
      </x:c>
      <x:c r="E636" s="27" t="e">
        <x:f>IF($A636="","",IF(OR(ISNUMBER(SEARCH("계약만료",대장!H317&amp;"")),ISNUMBER(SEARCH("기간만료",대장!H317&amp;""))),"계약기간 만료로 퇴직",IF(ISNUMBER(SEARCH("의원면직",대장!H317&amp;"")),"의원면직",IF(ISNUMBER(SEARCH("정년퇴직",대장!H317&amp;"")),"정년퇴직",대장!H317))))</x:f>
        <x:v>#NAME?</x:v>
      </x:c>
      <x:c r="F636" s="27" t="e">
        <x:f>IF($A636="","",IF(발령대장_설정!$B$5="","",발령대장_설정!$B$5))</x:f>
        <x:v>#NAME?</x:v>
      </x:c>
      <x:c r="G636" s="27" t="e">
        <x:f>IF($A636="","",IF(발령대장_설정!$B$6="","",발령대장_설정!$B$6))</x:f>
        <x:v>#NAME?</x:v>
      </x:c>
      <x:c r="H636" s="27" t="e">
        <x:f>IF($A636="","",IF(발령대장_설정!$B$7="","",발령대장_설정!$B$7))</x:f>
        <x:v>#NAME?</x:v>
      </x:c>
      <x:c r="I636" s="27" t="e">
        <x:f>IF($A636="","",IF(발령대장_설정!$B$8="","",발령대장_설정!$B$8))</x:f>
        <x:v>#NAME?</x:v>
      </x:c>
      <x:c r="J636" s="27" t="str">
        <x:f>""</x:f>
      </x:c>
    </x:row>
    <x:row r="637" ht="42" customHeight="1">
      <x:c r="A637" s="47" t="e">
        <x:f>IF(AND(대장!A318&lt;&gt;"",ISNUMBER(대장!F318),OR(대장!G318="",AND(ISNUMBER(대장!G318),대장!G318&gt;=대장!F318))),대장!F318,"")</x:f>
        <x:v>#NAME?</x:v>
      </x:c>
      <x:c r="B637" s="27" t="e">
        <x:f>IF($A637="","",IF(발령대장_설정!$B$4="","",발령대장_설정!$B$4))</x:f>
        <x:v>#NAME?</x:v>
      </x:c>
      <x:c r="C637" s="27" t="e">
        <x:f>IF($A637="","",대장!D318)</x:f>
        <x:v>#NAME?</x:v>
      </x:c>
      <x:c r="D637" s="27" t="e">
        <x:f>IF($A637="","",대장!A318)</x:f>
        <x:v>#NAME?</x:v>
      </x:c>
      <x:c r="E637" s="27" t="e">
        <x:f>IF($A637="","",IF(대장!J318&lt;&gt;"",대장!J318,대장!D318&amp;"에 임함"&amp;IF(대장!E318="","",CHAR(10)&amp;"고용형태: "&amp;대장!E318)&amp;IF(대장!I318="","",CHAR(10)&amp;"소정근로시간: "&amp;대장!I318)&amp;CHAR(10)&amp;"근로기간: "&amp;YEAR(대장!F318)&amp;"."&amp;MONTH(대장!F318)&amp;"."&amp;DAY(대장!F318)&amp;"."&amp;" ~ "&amp;IF(ISNUMBER(대장!G318),YEAR(대장!G318)&amp;"."&amp;MONTH(대장!G318)&amp;"."&amp;DAY(대장!G318)&amp;".","재직 중")))</x:f>
        <x:v>#NAME?</x:v>
      </x:c>
      <x:c r="F637" s="27" t="e">
        <x:f>IF($A637="","",IF(발령대장_설정!$B$5="","",발령대장_설정!$B$5))</x:f>
        <x:v>#NAME?</x:v>
      </x:c>
      <x:c r="G637" s="27" t="e">
        <x:f>IF($A637="","",IF(발령대장_설정!$B$6="","",발령대장_설정!$B$6))</x:f>
        <x:v>#NAME?</x:v>
      </x:c>
      <x:c r="H637" s="27" t="e">
        <x:f>IF($A637="","",IF(발령대장_설정!$B$7="","",발령대장_설정!$B$7))</x:f>
        <x:v>#NAME?</x:v>
      </x:c>
      <x:c r="I637" s="27" t="e">
        <x:f>IF($A637="","",IF(발령대장_설정!$B$8="","",발령대장_설정!$B$8))</x:f>
        <x:v>#NAME?</x:v>
      </x:c>
      <x:c r="J637" s="27" t="e">
        <x:f>IF($A637="","",IF(대장!K318="","",대장!K318))</x:f>
        <x:v>#NAME?</x:v>
      </x:c>
    </x:row>
    <x:row r="638" ht="42" customHeight="1">
      <x:c r="A638" s="47" t="e">
        <x:f>IF(AND(대장!A318&lt;&gt;"",ISNUMBER(대장!F318),ISNUMBER(대장!G318),대장!G318&gt;=대장!F318,대장!H318&lt;&gt;""),대장!G318,"")</x:f>
        <x:v>#NAME?</x:v>
      </x:c>
      <x:c r="B638" s="27" t="e">
        <x:f>IF($A638="","",IF(발령대장_설정!$B$4="","",발령대장_설정!$B$4))</x:f>
        <x:v>#NAME?</x:v>
      </x:c>
      <x:c r="C638" s="27" t="e">
        <x:f>IF($A638="","",대장!D318)</x:f>
        <x:v>#NAME?</x:v>
      </x:c>
      <x:c r="D638" s="27" t="e">
        <x:f>IF($A638="","",대장!A318)</x:f>
        <x:v>#NAME?</x:v>
      </x:c>
      <x:c r="E638" s="27" t="e">
        <x:f>IF($A638="","",IF(OR(ISNUMBER(SEARCH("계약만료",대장!H318&amp;"")),ISNUMBER(SEARCH("기간만료",대장!H318&amp;""))),"계약기간 만료로 퇴직",IF(ISNUMBER(SEARCH("의원면직",대장!H318&amp;"")),"의원면직",IF(ISNUMBER(SEARCH("정년퇴직",대장!H318&amp;"")),"정년퇴직",대장!H318))))</x:f>
        <x:v>#NAME?</x:v>
      </x:c>
      <x:c r="F638" s="27" t="e">
        <x:f>IF($A638="","",IF(발령대장_설정!$B$5="","",발령대장_설정!$B$5))</x:f>
        <x:v>#NAME?</x:v>
      </x:c>
      <x:c r="G638" s="27" t="e">
        <x:f>IF($A638="","",IF(발령대장_설정!$B$6="","",발령대장_설정!$B$6))</x:f>
        <x:v>#NAME?</x:v>
      </x:c>
      <x:c r="H638" s="27" t="e">
        <x:f>IF($A638="","",IF(발령대장_설정!$B$7="","",발령대장_설정!$B$7))</x:f>
        <x:v>#NAME?</x:v>
      </x:c>
      <x:c r="I638" s="27" t="e">
        <x:f>IF($A638="","",IF(발령대장_설정!$B$8="","",발령대장_설정!$B$8))</x:f>
        <x:v>#NAME?</x:v>
      </x:c>
      <x:c r="J638" s="27" t="str">
        <x:f>""</x:f>
      </x:c>
    </x:row>
    <x:row r="639" ht="42" customHeight="1">
      <x:c r="A639" s="47" t="e">
        <x:f>IF(AND(대장!A319&lt;&gt;"",ISNUMBER(대장!F319),OR(대장!G319="",AND(ISNUMBER(대장!G319),대장!G319&gt;=대장!F319))),대장!F319,"")</x:f>
        <x:v>#NAME?</x:v>
      </x:c>
      <x:c r="B639" s="27" t="e">
        <x:f>IF($A639="","",IF(발령대장_설정!$B$4="","",발령대장_설정!$B$4))</x:f>
        <x:v>#NAME?</x:v>
      </x:c>
      <x:c r="C639" s="27" t="e">
        <x:f>IF($A639="","",대장!D319)</x:f>
        <x:v>#NAME?</x:v>
      </x:c>
      <x:c r="D639" s="27" t="e">
        <x:f>IF($A639="","",대장!A319)</x:f>
        <x:v>#NAME?</x:v>
      </x:c>
      <x:c r="E639" s="27" t="e">
        <x:f>IF($A639="","",IF(대장!J319&lt;&gt;"",대장!J319,대장!D319&amp;"에 임함"&amp;IF(대장!E319="","",CHAR(10)&amp;"고용형태: "&amp;대장!E319)&amp;IF(대장!I319="","",CHAR(10)&amp;"소정근로시간: "&amp;대장!I319)&amp;CHAR(10)&amp;"근로기간: "&amp;YEAR(대장!F319)&amp;"."&amp;MONTH(대장!F319)&amp;"."&amp;DAY(대장!F319)&amp;"."&amp;" ~ "&amp;IF(ISNUMBER(대장!G319),YEAR(대장!G319)&amp;"."&amp;MONTH(대장!G319)&amp;"."&amp;DAY(대장!G319)&amp;".","재직 중")))</x:f>
        <x:v>#NAME?</x:v>
      </x:c>
      <x:c r="F639" s="27" t="e">
        <x:f>IF($A639="","",IF(발령대장_설정!$B$5="","",발령대장_설정!$B$5))</x:f>
        <x:v>#NAME?</x:v>
      </x:c>
      <x:c r="G639" s="27" t="e">
        <x:f>IF($A639="","",IF(발령대장_설정!$B$6="","",발령대장_설정!$B$6))</x:f>
        <x:v>#NAME?</x:v>
      </x:c>
      <x:c r="H639" s="27" t="e">
        <x:f>IF($A639="","",IF(발령대장_설정!$B$7="","",발령대장_설정!$B$7))</x:f>
        <x:v>#NAME?</x:v>
      </x:c>
      <x:c r="I639" s="27" t="e">
        <x:f>IF($A639="","",IF(발령대장_설정!$B$8="","",발령대장_설정!$B$8))</x:f>
        <x:v>#NAME?</x:v>
      </x:c>
      <x:c r="J639" s="27" t="e">
        <x:f>IF($A639="","",IF(대장!K319="","",대장!K319))</x:f>
        <x:v>#NAME?</x:v>
      </x:c>
    </x:row>
    <x:row r="640" ht="42" customHeight="1">
      <x:c r="A640" s="47" t="e">
        <x:f>IF(AND(대장!A319&lt;&gt;"",ISNUMBER(대장!F319),ISNUMBER(대장!G319),대장!G319&gt;=대장!F319,대장!H319&lt;&gt;""),대장!G319,"")</x:f>
        <x:v>#NAME?</x:v>
      </x:c>
      <x:c r="B640" s="27" t="e">
        <x:f>IF($A640="","",IF(발령대장_설정!$B$4="","",발령대장_설정!$B$4))</x:f>
        <x:v>#NAME?</x:v>
      </x:c>
      <x:c r="C640" s="27" t="e">
        <x:f>IF($A640="","",대장!D319)</x:f>
        <x:v>#NAME?</x:v>
      </x:c>
      <x:c r="D640" s="27" t="e">
        <x:f>IF($A640="","",대장!A319)</x:f>
        <x:v>#NAME?</x:v>
      </x:c>
      <x:c r="E640" s="27" t="e">
        <x:f>IF($A640="","",IF(OR(ISNUMBER(SEARCH("계약만료",대장!H319&amp;"")),ISNUMBER(SEARCH("기간만료",대장!H319&amp;""))),"계약기간 만료로 퇴직",IF(ISNUMBER(SEARCH("의원면직",대장!H319&amp;"")),"의원면직",IF(ISNUMBER(SEARCH("정년퇴직",대장!H319&amp;"")),"정년퇴직",대장!H319))))</x:f>
        <x:v>#NAME?</x:v>
      </x:c>
      <x:c r="F640" s="27" t="e">
        <x:f>IF($A640="","",IF(발령대장_설정!$B$5="","",발령대장_설정!$B$5))</x:f>
        <x:v>#NAME?</x:v>
      </x:c>
      <x:c r="G640" s="27" t="e">
        <x:f>IF($A640="","",IF(발령대장_설정!$B$6="","",발령대장_설정!$B$6))</x:f>
        <x:v>#NAME?</x:v>
      </x:c>
      <x:c r="H640" s="27" t="e">
        <x:f>IF($A640="","",IF(발령대장_설정!$B$7="","",발령대장_설정!$B$7))</x:f>
        <x:v>#NAME?</x:v>
      </x:c>
      <x:c r="I640" s="27" t="e">
        <x:f>IF($A640="","",IF(발령대장_설정!$B$8="","",발령대장_설정!$B$8))</x:f>
        <x:v>#NAME?</x:v>
      </x:c>
      <x:c r="J640" s="27" t="str">
        <x:f>""</x:f>
      </x:c>
    </x:row>
    <x:row r="641" ht="42" customHeight="1">
      <x:c r="A641" s="47" t="e">
        <x:f>IF(AND(대장!A320&lt;&gt;"",ISNUMBER(대장!F320),OR(대장!G320="",AND(ISNUMBER(대장!G320),대장!G320&gt;=대장!F320))),대장!F320,"")</x:f>
        <x:v>#NAME?</x:v>
      </x:c>
      <x:c r="B641" s="27" t="e">
        <x:f>IF($A641="","",IF(발령대장_설정!$B$4="","",발령대장_설정!$B$4))</x:f>
        <x:v>#NAME?</x:v>
      </x:c>
      <x:c r="C641" s="27" t="e">
        <x:f>IF($A641="","",대장!D320)</x:f>
        <x:v>#NAME?</x:v>
      </x:c>
      <x:c r="D641" s="27" t="e">
        <x:f>IF($A641="","",대장!A320)</x:f>
        <x:v>#NAME?</x:v>
      </x:c>
      <x:c r="E641" s="27" t="e">
        <x:f>IF($A641="","",IF(대장!J320&lt;&gt;"",대장!J320,대장!D320&amp;"에 임함"&amp;IF(대장!E320="","",CHAR(10)&amp;"고용형태: "&amp;대장!E320)&amp;IF(대장!I320="","",CHAR(10)&amp;"소정근로시간: "&amp;대장!I320)&amp;CHAR(10)&amp;"근로기간: "&amp;YEAR(대장!F320)&amp;"."&amp;MONTH(대장!F320)&amp;"."&amp;DAY(대장!F320)&amp;"."&amp;" ~ "&amp;IF(ISNUMBER(대장!G320),YEAR(대장!G320)&amp;"."&amp;MONTH(대장!G320)&amp;"."&amp;DAY(대장!G320)&amp;".","재직 중")))</x:f>
        <x:v>#NAME?</x:v>
      </x:c>
      <x:c r="F641" s="27" t="e">
        <x:f>IF($A641="","",IF(발령대장_설정!$B$5="","",발령대장_설정!$B$5))</x:f>
        <x:v>#NAME?</x:v>
      </x:c>
      <x:c r="G641" s="27" t="e">
        <x:f>IF($A641="","",IF(발령대장_설정!$B$6="","",발령대장_설정!$B$6))</x:f>
        <x:v>#NAME?</x:v>
      </x:c>
      <x:c r="H641" s="27" t="e">
        <x:f>IF($A641="","",IF(발령대장_설정!$B$7="","",발령대장_설정!$B$7))</x:f>
        <x:v>#NAME?</x:v>
      </x:c>
      <x:c r="I641" s="27" t="e">
        <x:f>IF($A641="","",IF(발령대장_설정!$B$8="","",발령대장_설정!$B$8))</x:f>
        <x:v>#NAME?</x:v>
      </x:c>
      <x:c r="J641" s="27" t="e">
        <x:f>IF($A641="","",IF(대장!K320="","",대장!K320))</x:f>
        <x:v>#NAME?</x:v>
      </x:c>
    </x:row>
    <x:row r="642" ht="42" customHeight="1">
      <x:c r="A642" s="47" t="e">
        <x:f>IF(AND(대장!A320&lt;&gt;"",ISNUMBER(대장!F320),ISNUMBER(대장!G320),대장!G320&gt;=대장!F320,대장!H320&lt;&gt;""),대장!G320,"")</x:f>
        <x:v>#NAME?</x:v>
      </x:c>
      <x:c r="B642" s="27" t="e">
        <x:f>IF($A642="","",IF(발령대장_설정!$B$4="","",발령대장_설정!$B$4))</x:f>
        <x:v>#NAME?</x:v>
      </x:c>
      <x:c r="C642" s="27" t="e">
        <x:f>IF($A642="","",대장!D320)</x:f>
        <x:v>#NAME?</x:v>
      </x:c>
      <x:c r="D642" s="27" t="e">
        <x:f>IF($A642="","",대장!A320)</x:f>
        <x:v>#NAME?</x:v>
      </x:c>
      <x:c r="E642" s="27" t="e">
        <x:f>IF($A642="","",IF(OR(ISNUMBER(SEARCH("계약만료",대장!H320&amp;"")),ISNUMBER(SEARCH("기간만료",대장!H320&amp;""))),"계약기간 만료로 퇴직",IF(ISNUMBER(SEARCH("의원면직",대장!H320&amp;"")),"의원면직",IF(ISNUMBER(SEARCH("정년퇴직",대장!H320&amp;"")),"정년퇴직",대장!H320))))</x:f>
        <x:v>#NAME?</x:v>
      </x:c>
      <x:c r="F642" s="27" t="e">
        <x:f>IF($A642="","",IF(발령대장_설정!$B$5="","",발령대장_설정!$B$5))</x:f>
        <x:v>#NAME?</x:v>
      </x:c>
      <x:c r="G642" s="27" t="e">
        <x:f>IF($A642="","",IF(발령대장_설정!$B$6="","",발령대장_설정!$B$6))</x:f>
        <x:v>#NAME?</x:v>
      </x:c>
      <x:c r="H642" s="27" t="e">
        <x:f>IF($A642="","",IF(발령대장_설정!$B$7="","",발령대장_설정!$B$7))</x:f>
        <x:v>#NAME?</x:v>
      </x:c>
      <x:c r="I642" s="27" t="e">
        <x:f>IF($A642="","",IF(발령대장_설정!$B$8="","",발령대장_설정!$B$8))</x:f>
        <x:v>#NAME?</x:v>
      </x:c>
      <x:c r="J642" s="27" t="str">
        <x:f>""</x:f>
      </x:c>
    </x:row>
    <x:row r="643" ht="42" customHeight="1">
      <x:c r="A643" s="47" t="e">
        <x:f>IF(AND(대장!A321&lt;&gt;"",ISNUMBER(대장!F321),OR(대장!G321="",AND(ISNUMBER(대장!G321),대장!G321&gt;=대장!F321))),대장!F321,"")</x:f>
        <x:v>#NAME?</x:v>
      </x:c>
      <x:c r="B643" s="27" t="e">
        <x:f>IF($A643="","",IF(발령대장_설정!$B$4="","",발령대장_설정!$B$4))</x:f>
        <x:v>#NAME?</x:v>
      </x:c>
      <x:c r="C643" s="27" t="e">
        <x:f>IF($A643="","",대장!D321)</x:f>
        <x:v>#NAME?</x:v>
      </x:c>
      <x:c r="D643" s="27" t="e">
        <x:f>IF($A643="","",대장!A321)</x:f>
        <x:v>#NAME?</x:v>
      </x:c>
      <x:c r="E643" s="27" t="e">
        <x:f>IF($A643="","",IF(대장!J321&lt;&gt;"",대장!J321,대장!D321&amp;"에 임함"&amp;IF(대장!E321="","",CHAR(10)&amp;"고용형태: "&amp;대장!E321)&amp;IF(대장!I321="","",CHAR(10)&amp;"소정근로시간: "&amp;대장!I321)&amp;CHAR(10)&amp;"근로기간: "&amp;YEAR(대장!F321)&amp;"."&amp;MONTH(대장!F321)&amp;"."&amp;DAY(대장!F321)&amp;"."&amp;" ~ "&amp;IF(ISNUMBER(대장!G321),YEAR(대장!G321)&amp;"."&amp;MONTH(대장!G321)&amp;"."&amp;DAY(대장!G321)&amp;".","재직 중")))</x:f>
        <x:v>#NAME?</x:v>
      </x:c>
      <x:c r="F643" s="27" t="e">
        <x:f>IF($A643="","",IF(발령대장_설정!$B$5="","",발령대장_설정!$B$5))</x:f>
        <x:v>#NAME?</x:v>
      </x:c>
      <x:c r="G643" s="27" t="e">
        <x:f>IF($A643="","",IF(발령대장_설정!$B$6="","",발령대장_설정!$B$6))</x:f>
        <x:v>#NAME?</x:v>
      </x:c>
      <x:c r="H643" s="27" t="e">
        <x:f>IF($A643="","",IF(발령대장_설정!$B$7="","",발령대장_설정!$B$7))</x:f>
        <x:v>#NAME?</x:v>
      </x:c>
      <x:c r="I643" s="27" t="e">
        <x:f>IF($A643="","",IF(발령대장_설정!$B$8="","",발령대장_설정!$B$8))</x:f>
        <x:v>#NAME?</x:v>
      </x:c>
      <x:c r="J643" s="27" t="e">
        <x:f>IF($A643="","",IF(대장!K321="","",대장!K321))</x:f>
        <x:v>#NAME?</x:v>
      </x:c>
    </x:row>
    <x:row r="644" ht="42" customHeight="1">
      <x:c r="A644" s="47" t="e">
        <x:f>IF(AND(대장!A321&lt;&gt;"",ISNUMBER(대장!F321),ISNUMBER(대장!G321),대장!G321&gt;=대장!F321,대장!H321&lt;&gt;""),대장!G321,"")</x:f>
        <x:v>#NAME?</x:v>
      </x:c>
      <x:c r="B644" s="27" t="e">
        <x:f>IF($A644="","",IF(발령대장_설정!$B$4="","",발령대장_설정!$B$4))</x:f>
        <x:v>#NAME?</x:v>
      </x:c>
      <x:c r="C644" s="27" t="e">
        <x:f>IF($A644="","",대장!D321)</x:f>
        <x:v>#NAME?</x:v>
      </x:c>
      <x:c r="D644" s="27" t="e">
        <x:f>IF($A644="","",대장!A321)</x:f>
        <x:v>#NAME?</x:v>
      </x:c>
      <x:c r="E644" s="27" t="e">
        <x:f>IF($A644="","",IF(OR(ISNUMBER(SEARCH("계약만료",대장!H321&amp;"")),ISNUMBER(SEARCH("기간만료",대장!H321&amp;""))),"계약기간 만료로 퇴직",IF(ISNUMBER(SEARCH("의원면직",대장!H321&amp;"")),"의원면직",IF(ISNUMBER(SEARCH("정년퇴직",대장!H321&amp;"")),"정년퇴직",대장!H321))))</x:f>
        <x:v>#NAME?</x:v>
      </x:c>
      <x:c r="F644" s="27" t="e">
        <x:f>IF($A644="","",IF(발령대장_설정!$B$5="","",발령대장_설정!$B$5))</x:f>
        <x:v>#NAME?</x:v>
      </x:c>
      <x:c r="G644" s="27" t="e">
        <x:f>IF($A644="","",IF(발령대장_설정!$B$6="","",발령대장_설정!$B$6))</x:f>
        <x:v>#NAME?</x:v>
      </x:c>
      <x:c r="H644" s="27" t="e">
        <x:f>IF($A644="","",IF(발령대장_설정!$B$7="","",발령대장_설정!$B$7))</x:f>
        <x:v>#NAME?</x:v>
      </x:c>
      <x:c r="I644" s="27" t="e">
        <x:f>IF($A644="","",IF(발령대장_설정!$B$8="","",발령대장_설정!$B$8))</x:f>
        <x:v>#NAME?</x:v>
      </x:c>
      <x:c r="J644" s="27" t="str">
        <x:f>""</x:f>
      </x:c>
    </x:row>
    <x:row r="645" ht="42" customHeight="1">
      <x:c r="A645" s="47" t="e">
        <x:f>IF(AND(대장!A322&lt;&gt;"",ISNUMBER(대장!F322),OR(대장!G322="",AND(ISNUMBER(대장!G322),대장!G322&gt;=대장!F322))),대장!F322,"")</x:f>
        <x:v>#NAME?</x:v>
      </x:c>
      <x:c r="B645" s="27" t="e">
        <x:f>IF($A645="","",IF(발령대장_설정!$B$4="","",발령대장_설정!$B$4))</x:f>
        <x:v>#NAME?</x:v>
      </x:c>
      <x:c r="C645" s="27" t="e">
        <x:f>IF($A645="","",대장!D322)</x:f>
        <x:v>#NAME?</x:v>
      </x:c>
      <x:c r="D645" s="27" t="e">
        <x:f>IF($A645="","",대장!A322)</x:f>
        <x:v>#NAME?</x:v>
      </x:c>
      <x:c r="E645" s="27" t="e">
        <x:f>IF($A645="","",IF(대장!J322&lt;&gt;"",대장!J322,대장!D322&amp;"에 임함"&amp;IF(대장!E322="","",CHAR(10)&amp;"고용형태: "&amp;대장!E322)&amp;IF(대장!I322="","",CHAR(10)&amp;"소정근로시간: "&amp;대장!I322)&amp;CHAR(10)&amp;"근로기간: "&amp;YEAR(대장!F322)&amp;"."&amp;MONTH(대장!F322)&amp;"."&amp;DAY(대장!F322)&amp;"."&amp;" ~ "&amp;IF(ISNUMBER(대장!G322),YEAR(대장!G322)&amp;"."&amp;MONTH(대장!G322)&amp;"."&amp;DAY(대장!G322)&amp;".","재직 중")))</x:f>
        <x:v>#NAME?</x:v>
      </x:c>
      <x:c r="F645" s="27" t="e">
        <x:f>IF($A645="","",IF(발령대장_설정!$B$5="","",발령대장_설정!$B$5))</x:f>
        <x:v>#NAME?</x:v>
      </x:c>
      <x:c r="G645" s="27" t="e">
        <x:f>IF($A645="","",IF(발령대장_설정!$B$6="","",발령대장_설정!$B$6))</x:f>
        <x:v>#NAME?</x:v>
      </x:c>
      <x:c r="H645" s="27" t="e">
        <x:f>IF($A645="","",IF(발령대장_설정!$B$7="","",발령대장_설정!$B$7))</x:f>
        <x:v>#NAME?</x:v>
      </x:c>
      <x:c r="I645" s="27" t="e">
        <x:f>IF($A645="","",IF(발령대장_설정!$B$8="","",발령대장_설정!$B$8))</x:f>
        <x:v>#NAME?</x:v>
      </x:c>
      <x:c r="J645" s="27" t="e">
        <x:f>IF($A645="","",IF(대장!K322="","",대장!K322))</x:f>
        <x:v>#NAME?</x:v>
      </x:c>
    </x:row>
    <x:row r="646" ht="42" customHeight="1">
      <x:c r="A646" s="47" t="e">
        <x:f>IF(AND(대장!A322&lt;&gt;"",ISNUMBER(대장!F322),ISNUMBER(대장!G322),대장!G322&gt;=대장!F322,대장!H322&lt;&gt;""),대장!G322,"")</x:f>
        <x:v>#NAME?</x:v>
      </x:c>
      <x:c r="B646" s="27" t="e">
        <x:f>IF($A646="","",IF(발령대장_설정!$B$4="","",발령대장_설정!$B$4))</x:f>
        <x:v>#NAME?</x:v>
      </x:c>
      <x:c r="C646" s="27" t="e">
        <x:f>IF($A646="","",대장!D322)</x:f>
        <x:v>#NAME?</x:v>
      </x:c>
      <x:c r="D646" s="27" t="e">
        <x:f>IF($A646="","",대장!A322)</x:f>
        <x:v>#NAME?</x:v>
      </x:c>
      <x:c r="E646" s="27" t="e">
        <x:f>IF($A646="","",IF(OR(ISNUMBER(SEARCH("계약만료",대장!H322&amp;"")),ISNUMBER(SEARCH("기간만료",대장!H322&amp;""))),"계약기간 만료로 퇴직",IF(ISNUMBER(SEARCH("의원면직",대장!H322&amp;"")),"의원면직",IF(ISNUMBER(SEARCH("정년퇴직",대장!H322&amp;"")),"정년퇴직",대장!H322))))</x:f>
        <x:v>#NAME?</x:v>
      </x:c>
      <x:c r="F646" s="27" t="e">
        <x:f>IF($A646="","",IF(발령대장_설정!$B$5="","",발령대장_설정!$B$5))</x:f>
        <x:v>#NAME?</x:v>
      </x:c>
      <x:c r="G646" s="27" t="e">
        <x:f>IF($A646="","",IF(발령대장_설정!$B$6="","",발령대장_설정!$B$6))</x:f>
        <x:v>#NAME?</x:v>
      </x:c>
      <x:c r="H646" s="27" t="e">
        <x:f>IF($A646="","",IF(발령대장_설정!$B$7="","",발령대장_설정!$B$7))</x:f>
        <x:v>#NAME?</x:v>
      </x:c>
      <x:c r="I646" s="27" t="e">
        <x:f>IF($A646="","",IF(발령대장_설정!$B$8="","",발령대장_설정!$B$8))</x:f>
        <x:v>#NAME?</x:v>
      </x:c>
      <x:c r="J646" s="27" t="str">
        <x:f>""</x:f>
      </x:c>
    </x:row>
    <x:row r="647" ht="42" customHeight="1">
      <x:c r="A647" s="47" t="e">
        <x:f>IF(AND(대장!A323&lt;&gt;"",ISNUMBER(대장!F323),OR(대장!G323="",AND(ISNUMBER(대장!G323),대장!G323&gt;=대장!F323))),대장!F323,"")</x:f>
        <x:v>#NAME?</x:v>
      </x:c>
      <x:c r="B647" s="27" t="e">
        <x:f>IF($A647="","",IF(발령대장_설정!$B$4="","",발령대장_설정!$B$4))</x:f>
        <x:v>#NAME?</x:v>
      </x:c>
      <x:c r="C647" s="27" t="e">
        <x:f>IF($A647="","",대장!D323)</x:f>
        <x:v>#NAME?</x:v>
      </x:c>
      <x:c r="D647" s="27" t="e">
        <x:f>IF($A647="","",대장!A323)</x:f>
        <x:v>#NAME?</x:v>
      </x:c>
      <x:c r="E647" s="27" t="e">
        <x:f>IF($A647="","",IF(대장!J323&lt;&gt;"",대장!J323,대장!D323&amp;"에 임함"&amp;IF(대장!E323="","",CHAR(10)&amp;"고용형태: "&amp;대장!E323)&amp;IF(대장!I323="","",CHAR(10)&amp;"소정근로시간: "&amp;대장!I323)&amp;CHAR(10)&amp;"근로기간: "&amp;YEAR(대장!F323)&amp;"."&amp;MONTH(대장!F323)&amp;"."&amp;DAY(대장!F323)&amp;"."&amp;" ~ "&amp;IF(ISNUMBER(대장!G323),YEAR(대장!G323)&amp;"."&amp;MONTH(대장!G323)&amp;"."&amp;DAY(대장!G323)&amp;".","재직 중")))</x:f>
        <x:v>#NAME?</x:v>
      </x:c>
      <x:c r="F647" s="27" t="e">
        <x:f>IF($A647="","",IF(발령대장_설정!$B$5="","",발령대장_설정!$B$5))</x:f>
        <x:v>#NAME?</x:v>
      </x:c>
      <x:c r="G647" s="27" t="e">
        <x:f>IF($A647="","",IF(발령대장_설정!$B$6="","",발령대장_설정!$B$6))</x:f>
        <x:v>#NAME?</x:v>
      </x:c>
      <x:c r="H647" s="27" t="e">
        <x:f>IF($A647="","",IF(발령대장_설정!$B$7="","",발령대장_설정!$B$7))</x:f>
        <x:v>#NAME?</x:v>
      </x:c>
      <x:c r="I647" s="27" t="e">
        <x:f>IF($A647="","",IF(발령대장_설정!$B$8="","",발령대장_설정!$B$8))</x:f>
        <x:v>#NAME?</x:v>
      </x:c>
      <x:c r="J647" s="27" t="e">
        <x:f>IF($A647="","",IF(대장!K323="","",대장!K323))</x:f>
        <x:v>#NAME?</x:v>
      </x:c>
    </x:row>
    <x:row r="648" ht="42" customHeight="1">
      <x:c r="A648" s="47" t="e">
        <x:f>IF(AND(대장!A323&lt;&gt;"",ISNUMBER(대장!F323),ISNUMBER(대장!G323),대장!G323&gt;=대장!F323,대장!H323&lt;&gt;""),대장!G323,"")</x:f>
        <x:v>#NAME?</x:v>
      </x:c>
      <x:c r="B648" s="27" t="e">
        <x:f>IF($A648="","",IF(발령대장_설정!$B$4="","",발령대장_설정!$B$4))</x:f>
        <x:v>#NAME?</x:v>
      </x:c>
      <x:c r="C648" s="27" t="e">
        <x:f>IF($A648="","",대장!D323)</x:f>
        <x:v>#NAME?</x:v>
      </x:c>
      <x:c r="D648" s="27" t="e">
        <x:f>IF($A648="","",대장!A323)</x:f>
        <x:v>#NAME?</x:v>
      </x:c>
      <x:c r="E648" s="27" t="e">
        <x:f>IF($A648="","",IF(OR(ISNUMBER(SEARCH("계약만료",대장!H323&amp;"")),ISNUMBER(SEARCH("기간만료",대장!H323&amp;""))),"계약기간 만료로 퇴직",IF(ISNUMBER(SEARCH("의원면직",대장!H323&amp;"")),"의원면직",IF(ISNUMBER(SEARCH("정년퇴직",대장!H323&amp;"")),"정년퇴직",대장!H323))))</x:f>
        <x:v>#NAME?</x:v>
      </x:c>
      <x:c r="F648" s="27" t="e">
        <x:f>IF($A648="","",IF(발령대장_설정!$B$5="","",발령대장_설정!$B$5))</x:f>
        <x:v>#NAME?</x:v>
      </x:c>
      <x:c r="G648" s="27" t="e">
        <x:f>IF($A648="","",IF(발령대장_설정!$B$6="","",발령대장_설정!$B$6))</x:f>
        <x:v>#NAME?</x:v>
      </x:c>
      <x:c r="H648" s="27" t="e">
        <x:f>IF($A648="","",IF(발령대장_설정!$B$7="","",발령대장_설정!$B$7))</x:f>
        <x:v>#NAME?</x:v>
      </x:c>
      <x:c r="I648" s="27" t="e">
        <x:f>IF($A648="","",IF(발령대장_설정!$B$8="","",발령대장_설정!$B$8))</x:f>
        <x:v>#NAME?</x:v>
      </x:c>
      <x:c r="J648" s="27" t="str">
        <x:f>""</x:f>
      </x:c>
    </x:row>
    <x:row r="649" ht="42" customHeight="1">
      <x:c r="A649" s="47" t="e">
        <x:f>IF(AND(대장!A324&lt;&gt;"",ISNUMBER(대장!F324),OR(대장!G324="",AND(ISNUMBER(대장!G324),대장!G324&gt;=대장!F324))),대장!F324,"")</x:f>
        <x:v>#NAME?</x:v>
      </x:c>
      <x:c r="B649" s="27" t="e">
        <x:f>IF($A649="","",IF(발령대장_설정!$B$4="","",발령대장_설정!$B$4))</x:f>
        <x:v>#NAME?</x:v>
      </x:c>
      <x:c r="C649" s="27" t="e">
        <x:f>IF($A649="","",대장!D324)</x:f>
        <x:v>#NAME?</x:v>
      </x:c>
      <x:c r="D649" s="27" t="e">
        <x:f>IF($A649="","",대장!A324)</x:f>
        <x:v>#NAME?</x:v>
      </x:c>
      <x:c r="E649" s="27" t="e">
        <x:f>IF($A649="","",IF(대장!J324&lt;&gt;"",대장!J324,대장!D324&amp;"에 임함"&amp;IF(대장!E324="","",CHAR(10)&amp;"고용형태: "&amp;대장!E324)&amp;IF(대장!I324="","",CHAR(10)&amp;"소정근로시간: "&amp;대장!I324)&amp;CHAR(10)&amp;"근로기간: "&amp;YEAR(대장!F324)&amp;"."&amp;MONTH(대장!F324)&amp;"."&amp;DAY(대장!F324)&amp;"."&amp;" ~ "&amp;IF(ISNUMBER(대장!G324),YEAR(대장!G324)&amp;"."&amp;MONTH(대장!G324)&amp;"."&amp;DAY(대장!G324)&amp;".","재직 중")))</x:f>
        <x:v>#NAME?</x:v>
      </x:c>
      <x:c r="F649" s="27" t="e">
        <x:f>IF($A649="","",IF(발령대장_설정!$B$5="","",발령대장_설정!$B$5))</x:f>
        <x:v>#NAME?</x:v>
      </x:c>
      <x:c r="G649" s="27" t="e">
        <x:f>IF($A649="","",IF(발령대장_설정!$B$6="","",발령대장_설정!$B$6))</x:f>
        <x:v>#NAME?</x:v>
      </x:c>
      <x:c r="H649" s="27" t="e">
        <x:f>IF($A649="","",IF(발령대장_설정!$B$7="","",발령대장_설정!$B$7))</x:f>
        <x:v>#NAME?</x:v>
      </x:c>
      <x:c r="I649" s="27" t="e">
        <x:f>IF($A649="","",IF(발령대장_설정!$B$8="","",발령대장_설정!$B$8))</x:f>
        <x:v>#NAME?</x:v>
      </x:c>
      <x:c r="J649" s="27" t="e">
        <x:f>IF($A649="","",IF(대장!K324="","",대장!K324))</x:f>
        <x:v>#NAME?</x:v>
      </x:c>
    </x:row>
    <x:row r="650" ht="42" customHeight="1">
      <x:c r="A650" s="47" t="e">
        <x:f>IF(AND(대장!A324&lt;&gt;"",ISNUMBER(대장!F324),ISNUMBER(대장!G324),대장!G324&gt;=대장!F324,대장!H324&lt;&gt;""),대장!G324,"")</x:f>
        <x:v>#NAME?</x:v>
      </x:c>
      <x:c r="B650" s="27" t="e">
        <x:f>IF($A650="","",IF(발령대장_설정!$B$4="","",발령대장_설정!$B$4))</x:f>
        <x:v>#NAME?</x:v>
      </x:c>
      <x:c r="C650" s="27" t="e">
        <x:f>IF($A650="","",대장!D324)</x:f>
        <x:v>#NAME?</x:v>
      </x:c>
      <x:c r="D650" s="27" t="e">
        <x:f>IF($A650="","",대장!A324)</x:f>
        <x:v>#NAME?</x:v>
      </x:c>
      <x:c r="E650" s="27" t="e">
        <x:f>IF($A650="","",IF(OR(ISNUMBER(SEARCH("계약만료",대장!H324&amp;"")),ISNUMBER(SEARCH("기간만료",대장!H324&amp;""))),"계약기간 만료로 퇴직",IF(ISNUMBER(SEARCH("의원면직",대장!H324&amp;"")),"의원면직",IF(ISNUMBER(SEARCH("정년퇴직",대장!H324&amp;"")),"정년퇴직",대장!H324))))</x:f>
        <x:v>#NAME?</x:v>
      </x:c>
      <x:c r="F650" s="27" t="e">
        <x:f>IF($A650="","",IF(발령대장_설정!$B$5="","",발령대장_설정!$B$5))</x:f>
        <x:v>#NAME?</x:v>
      </x:c>
      <x:c r="G650" s="27" t="e">
        <x:f>IF($A650="","",IF(발령대장_설정!$B$6="","",발령대장_설정!$B$6))</x:f>
        <x:v>#NAME?</x:v>
      </x:c>
      <x:c r="H650" s="27" t="e">
        <x:f>IF($A650="","",IF(발령대장_설정!$B$7="","",발령대장_설정!$B$7))</x:f>
        <x:v>#NAME?</x:v>
      </x:c>
      <x:c r="I650" s="27" t="e">
        <x:f>IF($A650="","",IF(발령대장_설정!$B$8="","",발령대장_설정!$B$8))</x:f>
        <x:v>#NAME?</x:v>
      </x:c>
      <x:c r="J650" s="27" t="str">
        <x:f>""</x:f>
      </x:c>
    </x:row>
    <x:row r="651" ht="42" customHeight="1">
      <x:c r="A651" s="47" t="e">
        <x:f>IF(AND(대장!A325&lt;&gt;"",ISNUMBER(대장!F325),OR(대장!G325="",AND(ISNUMBER(대장!G325),대장!G325&gt;=대장!F325))),대장!F325,"")</x:f>
        <x:v>#NAME?</x:v>
      </x:c>
      <x:c r="B651" s="27" t="e">
        <x:f>IF($A651="","",IF(발령대장_설정!$B$4="","",발령대장_설정!$B$4))</x:f>
        <x:v>#NAME?</x:v>
      </x:c>
      <x:c r="C651" s="27" t="e">
        <x:f>IF($A651="","",대장!D325)</x:f>
        <x:v>#NAME?</x:v>
      </x:c>
      <x:c r="D651" s="27" t="e">
        <x:f>IF($A651="","",대장!A325)</x:f>
        <x:v>#NAME?</x:v>
      </x:c>
      <x:c r="E651" s="27" t="e">
        <x:f>IF($A651="","",IF(대장!J325&lt;&gt;"",대장!J325,대장!D325&amp;"에 임함"&amp;IF(대장!E325="","",CHAR(10)&amp;"고용형태: "&amp;대장!E325)&amp;IF(대장!I325="","",CHAR(10)&amp;"소정근로시간: "&amp;대장!I325)&amp;CHAR(10)&amp;"근로기간: "&amp;YEAR(대장!F325)&amp;"."&amp;MONTH(대장!F325)&amp;"."&amp;DAY(대장!F325)&amp;"."&amp;" ~ "&amp;IF(ISNUMBER(대장!G325),YEAR(대장!G325)&amp;"."&amp;MONTH(대장!G325)&amp;"."&amp;DAY(대장!G325)&amp;".","재직 중")))</x:f>
        <x:v>#NAME?</x:v>
      </x:c>
      <x:c r="F651" s="27" t="e">
        <x:f>IF($A651="","",IF(발령대장_설정!$B$5="","",발령대장_설정!$B$5))</x:f>
        <x:v>#NAME?</x:v>
      </x:c>
      <x:c r="G651" s="27" t="e">
        <x:f>IF($A651="","",IF(발령대장_설정!$B$6="","",발령대장_설정!$B$6))</x:f>
        <x:v>#NAME?</x:v>
      </x:c>
      <x:c r="H651" s="27" t="e">
        <x:f>IF($A651="","",IF(발령대장_설정!$B$7="","",발령대장_설정!$B$7))</x:f>
        <x:v>#NAME?</x:v>
      </x:c>
      <x:c r="I651" s="27" t="e">
        <x:f>IF($A651="","",IF(발령대장_설정!$B$8="","",발령대장_설정!$B$8))</x:f>
        <x:v>#NAME?</x:v>
      </x:c>
      <x:c r="J651" s="27" t="e">
        <x:f>IF($A651="","",IF(대장!K325="","",대장!K325))</x:f>
        <x:v>#NAME?</x:v>
      </x:c>
    </x:row>
    <x:row r="652" ht="42" customHeight="1">
      <x:c r="A652" s="47" t="e">
        <x:f>IF(AND(대장!A325&lt;&gt;"",ISNUMBER(대장!F325),ISNUMBER(대장!G325),대장!G325&gt;=대장!F325,대장!H325&lt;&gt;""),대장!G325,"")</x:f>
        <x:v>#NAME?</x:v>
      </x:c>
      <x:c r="B652" s="27" t="e">
        <x:f>IF($A652="","",IF(발령대장_설정!$B$4="","",발령대장_설정!$B$4))</x:f>
        <x:v>#NAME?</x:v>
      </x:c>
      <x:c r="C652" s="27" t="e">
        <x:f>IF($A652="","",대장!D325)</x:f>
        <x:v>#NAME?</x:v>
      </x:c>
      <x:c r="D652" s="27" t="e">
        <x:f>IF($A652="","",대장!A325)</x:f>
        <x:v>#NAME?</x:v>
      </x:c>
      <x:c r="E652" s="27" t="e">
        <x:f>IF($A652="","",IF(OR(ISNUMBER(SEARCH("계약만료",대장!H325&amp;"")),ISNUMBER(SEARCH("기간만료",대장!H325&amp;""))),"계약기간 만료로 퇴직",IF(ISNUMBER(SEARCH("의원면직",대장!H325&amp;"")),"의원면직",IF(ISNUMBER(SEARCH("정년퇴직",대장!H325&amp;"")),"정년퇴직",대장!H325))))</x:f>
        <x:v>#NAME?</x:v>
      </x:c>
      <x:c r="F652" s="27" t="e">
        <x:f>IF($A652="","",IF(발령대장_설정!$B$5="","",발령대장_설정!$B$5))</x:f>
        <x:v>#NAME?</x:v>
      </x:c>
      <x:c r="G652" s="27" t="e">
        <x:f>IF($A652="","",IF(발령대장_설정!$B$6="","",발령대장_설정!$B$6))</x:f>
        <x:v>#NAME?</x:v>
      </x:c>
      <x:c r="H652" s="27" t="e">
        <x:f>IF($A652="","",IF(발령대장_설정!$B$7="","",발령대장_설정!$B$7))</x:f>
        <x:v>#NAME?</x:v>
      </x:c>
      <x:c r="I652" s="27" t="e">
        <x:f>IF($A652="","",IF(발령대장_설정!$B$8="","",발령대장_설정!$B$8))</x:f>
        <x:v>#NAME?</x:v>
      </x:c>
      <x:c r="J652" s="27" t="str">
        <x:f>""</x:f>
      </x:c>
    </x:row>
    <x:row r="653" ht="42" customHeight="1">
      <x:c r="A653" s="47" t="e">
        <x:f>IF(AND(대장!A326&lt;&gt;"",ISNUMBER(대장!F326),OR(대장!G326="",AND(ISNUMBER(대장!G326),대장!G326&gt;=대장!F326))),대장!F326,"")</x:f>
        <x:v>#NAME?</x:v>
      </x:c>
      <x:c r="B653" s="27" t="e">
        <x:f>IF($A653="","",IF(발령대장_설정!$B$4="","",발령대장_설정!$B$4))</x:f>
        <x:v>#NAME?</x:v>
      </x:c>
      <x:c r="C653" s="27" t="e">
        <x:f>IF($A653="","",대장!D326)</x:f>
        <x:v>#NAME?</x:v>
      </x:c>
      <x:c r="D653" s="27" t="e">
        <x:f>IF($A653="","",대장!A326)</x:f>
        <x:v>#NAME?</x:v>
      </x:c>
      <x:c r="E653" s="27" t="e">
        <x:f>IF($A653="","",IF(대장!J326&lt;&gt;"",대장!J326,대장!D326&amp;"에 임함"&amp;IF(대장!E326="","",CHAR(10)&amp;"고용형태: "&amp;대장!E326)&amp;IF(대장!I326="","",CHAR(10)&amp;"소정근로시간: "&amp;대장!I326)&amp;CHAR(10)&amp;"근로기간: "&amp;YEAR(대장!F326)&amp;"."&amp;MONTH(대장!F326)&amp;"."&amp;DAY(대장!F326)&amp;"."&amp;" ~ "&amp;IF(ISNUMBER(대장!G326),YEAR(대장!G326)&amp;"."&amp;MONTH(대장!G326)&amp;"."&amp;DAY(대장!G326)&amp;".","재직 중")))</x:f>
        <x:v>#NAME?</x:v>
      </x:c>
      <x:c r="F653" s="27" t="e">
        <x:f>IF($A653="","",IF(발령대장_설정!$B$5="","",발령대장_설정!$B$5))</x:f>
        <x:v>#NAME?</x:v>
      </x:c>
      <x:c r="G653" s="27" t="e">
        <x:f>IF($A653="","",IF(발령대장_설정!$B$6="","",발령대장_설정!$B$6))</x:f>
        <x:v>#NAME?</x:v>
      </x:c>
      <x:c r="H653" s="27" t="e">
        <x:f>IF($A653="","",IF(발령대장_설정!$B$7="","",발령대장_설정!$B$7))</x:f>
        <x:v>#NAME?</x:v>
      </x:c>
      <x:c r="I653" s="27" t="e">
        <x:f>IF($A653="","",IF(발령대장_설정!$B$8="","",발령대장_설정!$B$8))</x:f>
        <x:v>#NAME?</x:v>
      </x:c>
      <x:c r="J653" s="27" t="e">
        <x:f>IF($A653="","",IF(대장!K326="","",대장!K326))</x:f>
        <x:v>#NAME?</x:v>
      </x:c>
    </x:row>
    <x:row r="654" ht="42" customHeight="1">
      <x:c r="A654" s="47" t="e">
        <x:f>IF(AND(대장!A326&lt;&gt;"",ISNUMBER(대장!F326),ISNUMBER(대장!G326),대장!G326&gt;=대장!F326,대장!H326&lt;&gt;""),대장!G326,"")</x:f>
        <x:v>#NAME?</x:v>
      </x:c>
      <x:c r="B654" s="27" t="e">
        <x:f>IF($A654="","",IF(발령대장_설정!$B$4="","",발령대장_설정!$B$4))</x:f>
        <x:v>#NAME?</x:v>
      </x:c>
      <x:c r="C654" s="27" t="e">
        <x:f>IF($A654="","",대장!D326)</x:f>
        <x:v>#NAME?</x:v>
      </x:c>
      <x:c r="D654" s="27" t="e">
        <x:f>IF($A654="","",대장!A326)</x:f>
        <x:v>#NAME?</x:v>
      </x:c>
      <x:c r="E654" s="27" t="e">
        <x:f>IF($A654="","",IF(OR(ISNUMBER(SEARCH("계약만료",대장!H326&amp;"")),ISNUMBER(SEARCH("기간만료",대장!H326&amp;""))),"계약기간 만료로 퇴직",IF(ISNUMBER(SEARCH("의원면직",대장!H326&amp;"")),"의원면직",IF(ISNUMBER(SEARCH("정년퇴직",대장!H326&amp;"")),"정년퇴직",대장!H326))))</x:f>
        <x:v>#NAME?</x:v>
      </x:c>
      <x:c r="F654" s="27" t="e">
        <x:f>IF($A654="","",IF(발령대장_설정!$B$5="","",발령대장_설정!$B$5))</x:f>
        <x:v>#NAME?</x:v>
      </x:c>
      <x:c r="G654" s="27" t="e">
        <x:f>IF($A654="","",IF(발령대장_설정!$B$6="","",발령대장_설정!$B$6))</x:f>
        <x:v>#NAME?</x:v>
      </x:c>
      <x:c r="H654" s="27" t="e">
        <x:f>IF($A654="","",IF(발령대장_설정!$B$7="","",발령대장_설정!$B$7))</x:f>
        <x:v>#NAME?</x:v>
      </x:c>
      <x:c r="I654" s="27" t="e">
        <x:f>IF($A654="","",IF(발령대장_설정!$B$8="","",발령대장_설정!$B$8))</x:f>
        <x:v>#NAME?</x:v>
      </x:c>
      <x:c r="J654" s="27" t="str">
        <x:f>""</x:f>
      </x:c>
    </x:row>
    <x:row r="655" ht="42" customHeight="1">
      <x:c r="A655" s="47" t="e">
        <x:f>IF(AND(대장!A327&lt;&gt;"",ISNUMBER(대장!F327),OR(대장!G327="",AND(ISNUMBER(대장!G327),대장!G327&gt;=대장!F327))),대장!F327,"")</x:f>
        <x:v>#NAME?</x:v>
      </x:c>
      <x:c r="B655" s="27" t="e">
        <x:f>IF($A655="","",IF(발령대장_설정!$B$4="","",발령대장_설정!$B$4))</x:f>
        <x:v>#NAME?</x:v>
      </x:c>
      <x:c r="C655" s="27" t="e">
        <x:f>IF($A655="","",대장!D327)</x:f>
        <x:v>#NAME?</x:v>
      </x:c>
      <x:c r="D655" s="27" t="e">
        <x:f>IF($A655="","",대장!A327)</x:f>
        <x:v>#NAME?</x:v>
      </x:c>
      <x:c r="E655" s="27" t="e">
        <x:f>IF($A655="","",IF(대장!J327&lt;&gt;"",대장!J327,대장!D327&amp;"에 임함"&amp;IF(대장!E327="","",CHAR(10)&amp;"고용형태: "&amp;대장!E327)&amp;IF(대장!I327="","",CHAR(10)&amp;"소정근로시간: "&amp;대장!I327)&amp;CHAR(10)&amp;"근로기간: "&amp;YEAR(대장!F327)&amp;"."&amp;MONTH(대장!F327)&amp;"."&amp;DAY(대장!F327)&amp;"."&amp;" ~ "&amp;IF(ISNUMBER(대장!G327),YEAR(대장!G327)&amp;"."&amp;MONTH(대장!G327)&amp;"."&amp;DAY(대장!G327)&amp;".","재직 중")))</x:f>
        <x:v>#NAME?</x:v>
      </x:c>
      <x:c r="F655" s="27" t="e">
        <x:f>IF($A655="","",IF(발령대장_설정!$B$5="","",발령대장_설정!$B$5))</x:f>
        <x:v>#NAME?</x:v>
      </x:c>
      <x:c r="G655" s="27" t="e">
        <x:f>IF($A655="","",IF(발령대장_설정!$B$6="","",발령대장_설정!$B$6))</x:f>
        <x:v>#NAME?</x:v>
      </x:c>
      <x:c r="H655" s="27" t="e">
        <x:f>IF($A655="","",IF(발령대장_설정!$B$7="","",발령대장_설정!$B$7))</x:f>
        <x:v>#NAME?</x:v>
      </x:c>
      <x:c r="I655" s="27" t="e">
        <x:f>IF($A655="","",IF(발령대장_설정!$B$8="","",발령대장_설정!$B$8))</x:f>
        <x:v>#NAME?</x:v>
      </x:c>
      <x:c r="J655" s="27" t="e">
        <x:f>IF($A655="","",IF(대장!K327="","",대장!K327))</x:f>
        <x:v>#NAME?</x:v>
      </x:c>
    </x:row>
    <x:row r="656" ht="42" customHeight="1">
      <x:c r="A656" s="47" t="e">
        <x:f>IF(AND(대장!A327&lt;&gt;"",ISNUMBER(대장!F327),ISNUMBER(대장!G327),대장!G327&gt;=대장!F327,대장!H327&lt;&gt;""),대장!G327,"")</x:f>
        <x:v>#NAME?</x:v>
      </x:c>
      <x:c r="B656" s="27" t="e">
        <x:f>IF($A656="","",IF(발령대장_설정!$B$4="","",발령대장_설정!$B$4))</x:f>
        <x:v>#NAME?</x:v>
      </x:c>
      <x:c r="C656" s="27" t="e">
        <x:f>IF($A656="","",대장!D327)</x:f>
        <x:v>#NAME?</x:v>
      </x:c>
      <x:c r="D656" s="27" t="e">
        <x:f>IF($A656="","",대장!A327)</x:f>
        <x:v>#NAME?</x:v>
      </x:c>
      <x:c r="E656" s="27" t="e">
        <x:f>IF($A656="","",IF(OR(ISNUMBER(SEARCH("계약만료",대장!H327&amp;"")),ISNUMBER(SEARCH("기간만료",대장!H327&amp;""))),"계약기간 만료로 퇴직",IF(ISNUMBER(SEARCH("의원면직",대장!H327&amp;"")),"의원면직",IF(ISNUMBER(SEARCH("정년퇴직",대장!H327&amp;"")),"정년퇴직",대장!H327))))</x:f>
        <x:v>#NAME?</x:v>
      </x:c>
      <x:c r="F656" s="27" t="e">
        <x:f>IF($A656="","",IF(발령대장_설정!$B$5="","",발령대장_설정!$B$5))</x:f>
        <x:v>#NAME?</x:v>
      </x:c>
      <x:c r="G656" s="27" t="e">
        <x:f>IF($A656="","",IF(발령대장_설정!$B$6="","",발령대장_설정!$B$6))</x:f>
        <x:v>#NAME?</x:v>
      </x:c>
      <x:c r="H656" s="27" t="e">
        <x:f>IF($A656="","",IF(발령대장_설정!$B$7="","",발령대장_설정!$B$7))</x:f>
        <x:v>#NAME?</x:v>
      </x:c>
      <x:c r="I656" s="27" t="e">
        <x:f>IF($A656="","",IF(발령대장_설정!$B$8="","",발령대장_설정!$B$8))</x:f>
        <x:v>#NAME?</x:v>
      </x:c>
      <x:c r="J656" s="27" t="str">
        <x:f>""</x:f>
      </x:c>
    </x:row>
    <x:row r="657" ht="42" customHeight="1">
      <x:c r="A657" s="47" t="e">
        <x:f>IF(AND(대장!A328&lt;&gt;"",ISNUMBER(대장!F328),OR(대장!G328="",AND(ISNUMBER(대장!G328),대장!G328&gt;=대장!F328))),대장!F328,"")</x:f>
        <x:v>#NAME?</x:v>
      </x:c>
      <x:c r="B657" s="27" t="e">
        <x:f>IF($A657="","",IF(발령대장_설정!$B$4="","",발령대장_설정!$B$4))</x:f>
        <x:v>#NAME?</x:v>
      </x:c>
      <x:c r="C657" s="27" t="e">
        <x:f>IF($A657="","",대장!D328)</x:f>
        <x:v>#NAME?</x:v>
      </x:c>
      <x:c r="D657" s="27" t="e">
        <x:f>IF($A657="","",대장!A328)</x:f>
        <x:v>#NAME?</x:v>
      </x:c>
      <x:c r="E657" s="27" t="e">
        <x:f>IF($A657="","",IF(대장!J328&lt;&gt;"",대장!J328,대장!D328&amp;"에 임함"&amp;IF(대장!E328="","",CHAR(10)&amp;"고용형태: "&amp;대장!E328)&amp;IF(대장!I328="","",CHAR(10)&amp;"소정근로시간: "&amp;대장!I328)&amp;CHAR(10)&amp;"근로기간: "&amp;YEAR(대장!F328)&amp;"."&amp;MONTH(대장!F328)&amp;"."&amp;DAY(대장!F328)&amp;"."&amp;" ~ "&amp;IF(ISNUMBER(대장!G328),YEAR(대장!G328)&amp;"."&amp;MONTH(대장!G328)&amp;"."&amp;DAY(대장!G328)&amp;".","재직 중")))</x:f>
        <x:v>#NAME?</x:v>
      </x:c>
      <x:c r="F657" s="27" t="e">
        <x:f>IF($A657="","",IF(발령대장_설정!$B$5="","",발령대장_설정!$B$5))</x:f>
        <x:v>#NAME?</x:v>
      </x:c>
      <x:c r="G657" s="27" t="e">
        <x:f>IF($A657="","",IF(발령대장_설정!$B$6="","",발령대장_설정!$B$6))</x:f>
        <x:v>#NAME?</x:v>
      </x:c>
      <x:c r="H657" s="27" t="e">
        <x:f>IF($A657="","",IF(발령대장_설정!$B$7="","",발령대장_설정!$B$7))</x:f>
        <x:v>#NAME?</x:v>
      </x:c>
      <x:c r="I657" s="27" t="e">
        <x:f>IF($A657="","",IF(발령대장_설정!$B$8="","",발령대장_설정!$B$8))</x:f>
        <x:v>#NAME?</x:v>
      </x:c>
      <x:c r="J657" s="27" t="e">
        <x:f>IF($A657="","",IF(대장!K328="","",대장!K328))</x:f>
        <x:v>#NAME?</x:v>
      </x:c>
    </x:row>
    <x:row r="658" ht="42" customHeight="1">
      <x:c r="A658" s="47" t="e">
        <x:f>IF(AND(대장!A328&lt;&gt;"",ISNUMBER(대장!F328),ISNUMBER(대장!G328),대장!G328&gt;=대장!F328,대장!H328&lt;&gt;""),대장!G328,"")</x:f>
        <x:v>#NAME?</x:v>
      </x:c>
      <x:c r="B658" s="27" t="e">
        <x:f>IF($A658="","",IF(발령대장_설정!$B$4="","",발령대장_설정!$B$4))</x:f>
        <x:v>#NAME?</x:v>
      </x:c>
      <x:c r="C658" s="27" t="e">
        <x:f>IF($A658="","",대장!D328)</x:f>
        <x:v>#NAME?</x:v>
      </x:c>
      <x:c r="D658" s="27" t="e">
        <x:f>IF($A658="","",대장!A328)</x:f>
        <x:v>#NAME?</x:v>
      </x:c>
      <x:c r="E658" s="27" t="e">
        <x:f>IF($A658="","",IF(OR(ISNUMBER(SEARCH("계약만료",대장!H328&amp;"")),ISNUMBER(SEARCH("기간만료",대장!H328&amp;""))),"계약기간 만료로 퇴직",IF(ISNUMBER(SEARCH("의원면직",대장!H328&amp;"")),"의원면직",IF(ISNUMBER(SEARCH("정년퇴직",대장!H328&amp;"")),"정년퇴직",대장!H328))))</x:f>
        <x:v>#NAME?</x:v>
      </x:c>
      <x:c r="F658" s="27" t="e">
        <x:f>IF($A658="","",IF(발령대장_설정!$B$5="","",발령대장_설정!$B$5))</x:f>
        <x:v>#NAME?</x:v>
      </x:c>
      <x:c r="G658" s="27" t="e">
        <x:f>IF($A658="","",IF(발령대장_설정!$B$6="","",발령대장_설정!$B$6))</x:f>
        <x:v>#NAME?</x:v>
      </x:c>
      <x:c r="H658" s="27" t="e">
        <x:f>IF($A658="","",IF(발령대장_설정!$B$7="","",발령대장_설정!$B$7))</x:f>
        <x:v>#NAME?</x:v>
      </x:c>
      <x:c r="I658" s="27" t="e">
        <x:f>IF($A658="","",IF(발령대장_설정!$B$8="","",발령대장_설정!$B$8))</x:f>
        <x:v>#NAME?</x:v>
      </x:c>
      <x:c r="J658" s="27" t="str">
        <x:f>""</x:f>
      </x:c>
    </x:row>
    <x:row r="659" ht="42" customHeight="1">
      <x:c r="A659" s="47" t="e">
        <x:f>IF(AND(대장!A329&lt;&gt;"",ISNUMBER(대장!F329),OR(대장!G329="",AND(ISNUMBER(대장!G329),대장!G329&gt;=대장!F329))),대장!F329,"")</x:f>
        <x:v>#NAME?</x:v>
      </x:c>
      <x:c r="B659" s="27" t="e">
        <x:f>IF($A659="","",IF(발령대장_설정!$B$4="","",발령대장_설정!$B$4))</x:f>
        <x:v>#NAME?</x:v>
      </x:c>
      <x:c r="C659" s="27" t="e">
        <x:f>IF($A659="","",대장!D329)</x:f>
        <x:v>#NAME?</x:v>
      </x:c>
      <x:c r="D659" s="27" t="e">
        <x:f>IF($A659="","",대장!A329)</x:f>
        <x:v>#NAME?</x:v>
      </x:c>
      <x:c r="E659" s="27" t="e">
        <x:f>IF($A659="","",IF(대장!J329&lt;&gt;"",대장!J329,대장!D329&amp;"에 임함"&amp;IF(대장!E329="","",CHAR(10)&amp;"고용형태: "&amp;대장!E329)&amp;IF(대장!I329="","",CHAR(10)&amp;"소정근로시간: "&amp;대장!I329)&amp;CHAR(10)&amp;"근로기간: "&amp;YEAR(대장!F329)&amp;"."&amp;MONTH(대장!F329)&amp;"."&amp;DAY(대장!F329)&amp;"."&amp;" ~ "&amp;IF(ISNUMBER(대장!G329),YEAR(대장!G329)&amp;"."&amp;MONTH(대장!G329)&amp;"."&amp;DAY(대장!G329)&amp;".","재직 중")))</x:f>
        <x:v>#NAME?</x:v>
      </x:c>
      <x:c r="F659" s="27" t="e">
        <x:f>IF($A659="","",IF(발령대장_설정!$B$5="","",발령대장_설정!$B$5))</x:f>
        <x:v>#NAME?</x:v>
      </x:c>
      <x:c r="G659" s="27" t="e">
        <x:f>IF($A659="","",IF(발령대장_설정!$B$6="","",발령대장_설정!$B$6))</x:f>
        <x:v>#NAME?</x:v>
      </x:c>
      <x:c r="H659" s="27" t="e">
        <x:f>IF($A659="","",IF(발령대장_설정!$B$7="","",발령대장_설정!$B$7))</x:f>
        <x:v>#NAME?</x:v>
      </x:c>
      <x:c r="I659" s="27" t="e">
        <x:f>IF($A659="","",IF(발령대장_설정!$B$8="","",발령대장_설정!$B$8))</x:f>
        <x:v>#NAME?</x:v>
      </x:c>
      <x:c r="J659" s="27" t="e">
        <x:f>IF($A659="","",IF(대장!K329="","",대장!K329))</x:f>
        <x:v>#NAME?</x:v>
      </x:c>
    </x:row>
    <x:row r="660" ht="42" customHeight="1">
      <x:c r="A660" s="47" t="e">
        <x:f>IF(AND(대장!A329&lt;&gt;"",ISNUMBER(대장!F329),ISNUMBER(대장!G329),대장!G329&gt;=대장!F329,대장!H329&lt;&gt;""),대장!G329,"")</x:f>
        <x:v>#NAME?</x:v>
      </x:c>
      <x:c r="B660" s="27" t="e">
        <x:f>IF($A660="","",IF(발령대장_설정!$B$4="","",발령대장_설정!$B$4))</x:f>
        <x:v>#NAME?</x:v>
      </x:c>
      <x:c r="C660" s="27" t="e">
        <x:f>IF($A660="","",대장!D329)</x:f>
        <x:v>#NAME?</x:v>
      </x:c>
      <x:c r="D660" s="27" t="e">
        <x:f>IF($A660="","",대장!A329)</x:f>
        <x:v>#NAME?</x:v>
      </x:c>
      <x:c r="E660" s="27" t="e">
        <x:f>IF($A660="","",IF(OR(ISNUMBER(SEARCH("계약만료",대장!H329&amp;"")),ISNUMBER(SEARCH("기간만료",대장!H329&amp;""))),"계약기간 만료로 퇴직",IF(ISNUMBER(SEARCH("의원면직",대장!H329&amp;"")),"의원면직",IF(ISNUMBER(SEARCH("정년퇴직",대장!H329&amp;"")),"정년퇴직",대장!H329))))</x:f>
        <x:v>#NAME?</x:v>
      </x:c>
      <x:c r="F660" s="27" t="e">
        <x:f>IF($A660="","",IF(발령대장_설정!$B$5="","",발령대장_설정!$B$5))</x:f>
        <x:v>#NAME?</x:v>
      </x:c>
      <x:c r="G660" s="27" t="e">
        <x:f>IF($A660="","",IF(발령대장_설정!$B$6="","",발령대장_설정!$B$6))</x:f>
        <x:v>#NAME?</x:v>
      </x:c>
      <x:c r="H660" s="27" t="e">
        <x:f>IF($A660="","",IF(발령대장_설정!$B$7="","",발령대장_설정!$B$7))</x:f>
        <x:v>#NAME?</x:v>
      </x:c>
      <x:c r="I660" s="27" t="e">
        <x:f>IF($A660="","",IF(발령대장_설정!$B$8="","",발령대장_설정!$B$8))</x:f>
        <x:v>#NAME?</x:v>
      </x:c>
      <x:c r="J660" s="27" t="str">
        <x:f>""</x:f>
      </x:c>
    </x:row>
    <x:row r="661" ht="42" customHeight="1">
      <x:c r="A661" s="47" t="e">
        <x:f>IF(AND(대장!A330&lt;&gt;"",ISNUMBER(대장!F330),OR(대장!G330="",AND(ISNUMBER(대장!G330),대장!G330&gt;=대장!F330))),대장!F330,"")</x:f>
        <x:v>#NAME?</x:v>
      </x:c>
      <x:c r="B661" s="27" t="e">
        <x:f>IF($A661="","",IF(발령대장_설정!$B$4="","",발령대장_설정!$B$4))</x:f>
        <x:v>#NAME?</x:v>
      </x:c>
      <x:c r="C661" s="27" t="e">
        <x:f>IF($A661="","",대장!D330)</x:f>
        <x:v>#NAME?</x:v>
      </x:c>
      <x:c r="D661" s="27" t="e">
        <x:f>IF($A661="","",대장!A330)</x:f>
        <x:v>#NAME?</x:v>
      </x:c>
      <x:c r="E661" s="27" t="e">
        <x:f>IF($A661="","",IF(대장!J330&lt;&gt;"",대장!J330,대장!D330&amp;"에 임함"&amp;IF(대장!E330="","",CHAR(10)&amp;"고용형태: "&amp;대장!E330)&amp;IF(대장!I330="","",CHAR(10)&amp;"소정근로시간: "&amp;대장!I330)&amp;CHAR(10)&amp;"근로기간: "&amp;YEAR(대장!F330)&amp;"."&amp;MONTH(대장!F330)&amp;"."&amp;DAY(대장!F330)&amp;"."&amp;" ~ "&amp;IF(ISNUMBER(대장!G330),YEAR(대장!G330)&amp;"."&amp;MONTH(대장!G330)&amp;"."&amp;DAY(대장!G330)&amp;".","재직 중")))</x:f>
        <x:v>#NAME?</x:v>
      </x:c>
      <x:c r="F661" s="27" t="e">
        <x:f>IF($A661="","",IF(발령대장_설정!$B$5="","",발령대장_설정!$B$5))</x:f>
        <x:v>#NAME?</x:v>
      </x:c>
      <x:c r="G661" s="27" t="e">
        <x:f>IF($A661="","",IF(발령대장_설정!$B$6="","",발령대장_설정!$B$6))</x:f>
        <x:v>#NAME?</x:v>
      </x:c>
      <x:c r="H661" s="27" t="e">
        <x:f>IF($A661="","",IF(발령대장_설정!$B$7="","",발령대장_설정!$B$7))</x:f>
        <x:v>#NAME?</x:v>
      </x:c>
      <x:c r="I661" s="27" t="e">
        <x:f>IF($A661="","",IF(발령대장_설정!$B$8="","",발령대장_설정!$B$8))</x:f>
        <x:v>#NAME?</x:v>
      </x:c>
      <x:c r="J661" s="27" t="e">
        <x:f>IF($A661="","",IF(대장!K330="","",대장!K330))</x:f>
        <x:v>#NAME?</x:v>
      </x:c>
    </x:row>
    <x:row r="662" ht="42" customHeight="1">
      <x:c r="A662" s="47" t="e">
        <x:f>IF(AND(대장!A330&lt;&gt;"",ISNUMBER(대장!F330),ISNUMBER(대장!G330),대장!G330&gt;=대장!F330,대장!H330&lt;&gt;""),대장!G330,"")</x:f>
        <x:v>#NAME?</x:v>
      </x:c>
      <x:c r="B662" s="27" t="e">
        <x:f>IF($A662="","",IF(발령대장_설정!$B$4="","",발령대장_설정!$B$4))</x:f>
        <x:v>#NAME?</x:v>
      </x:c>
      <x:c r="C662" s="27" t="e">
        <x:f>IF($A662="","",대장!D330)</x:f>
        <x:v>#NAME?</x:v>
      </x:c>
      <x:c r="D662" s="27" t="e">
        <x:f>IF($A662="","",대장!A330)</x:f>
        <x:v>#NAME?</x:v>
      </x:c>
      <x:c r="E662" s="27" t="e">
        <x:f>IF($A662="","",IF(OR(ISNUMBER(SEARCH("계약만료",대장!H330&amp;"")),ISNUMBER(SEARCH("기간만료",대장!H330&amp;""))),"계약기간 만료로 퇴직",IF(ISNUMBER(SEARCH("의원면직",대장!H330&amp;"")),"의원면직",IF(ISNUMBER(SEARCH("정년퇴직",대장!H330&amp;"")),"정년퇴직",대장!H330))))</x:f>
        <x:v>#NAME?</x:v>
      </x:c>
      <x:c r="F662" s="27" t="e">
        <x:f>IF($A662="","",IF(발령대장_설정!$B$5="","",발령대장_설정!$B$5))</x:f>
        <x:v>#NAME?</x:v>
      </x:c>
      <x:c r="G662" s="27" t="e">
        <x:f>IF($A662="","",IF(발령대장_설정!$B$6="","",발령대장_설정!$B$6))</x:f>
        <x:v>#NAME?</x:v>
      </x:c>
      <x:c r="H662" s="27" t="e">
        <x:f>IF($A662="","",IF(발령대장_설정!$B$7="","",발령대장_설정!$B$7))</x:f>
        <x:v>#NAME?</x:v>
      </x:c>
      <x:c r="I662" s="27" t="e">
        <x:f>IF($A662="","",IF(발령대장_설정!$B$8="","",발령대장_설정!$B$8))</x:f>
        <x:v>#NAME?</x:v>
      </x:c>
      <x:c r="J662" s="27" t="str">
        <x:f>""</x:f>
      </x:c>
    </x:row>
    <x:row r="663" ht="42" customHeight="1">
      <x:c r="A663" s="47" t="e">
        <x:f>IF(AND(대장!A331&lt;&gt;"",ISNUMBER(대장!F331),OR(대장!G331="",AND(ISNUMBER(대장!G331),대장!G331&gt;=대장!F331))),대장!F331,"")</x:f>
        <x:v>#NAME?</x:v>
      </x:c>
      <x:c r="B663" s="27" t="e">
        <x:f>IF($A663="","",IF(발령대장_설정!$B$4="","",발령대장_설정!$B$4))</x:f>
        <x:v>#NAME?</x:v>
      </x:c>
      <x:c r="C663" s="27" t="e">
        <x:f>IF($A663="","",대장!D331)</x:f>
        <x:v>#NAME?</x:v>
      </x:c>
      <x:c r="D663" s="27" t="e">
        <x:f>IF($A663="","",대장!A331)</x:f>
        <x:v>#NAME?</x:v>
      </x:c>
      <x:c r="E663" s="27" t="e">
        <x:f>IF($A663="","",IF(대장!J331&lt;&gt;"",대장!J331,대장!D331&amp;"에 임함"&amp;IF(대장!E331="","",CHAR(10)&amp;"고용형태: "&amp;대장!E331)&amp;IF(대장!I331="","",CHAR(10)&amp;"소정근로시간: "&amp;대장!I331)&amp;CHAR(10)&amp;"근로기간: "&amp;YEAR(대장!F331)&amp;"."&amp;MONTH(대장!F331)&amp;"."&amp;DAY(대장!F331)&amp;"."&amp;" ~ "&amp;IF(ISNUMBER(대장!G331),YEAR(대장!G331)&amp;"."&amp;MONTH(대장!G331)&amp;"."&amp;DAY(대장!G331)&amp;".","재직 중")))</x:f>
        <x:v>#NAME?</x:v>
      </x:c>
      <x:c r="F663" s="27" t="e">
        <x:f>IF($A663="","",IF(발령대장_설정!$B$5="","",발령대장_설정!$B$5))</x:f>
        <x:v>#NAME?</x:v>
      </x:c>
      <x:c r="G663" s="27" t="e">
        <x:f>IF($A663="","",IF(발령대장_설정!$B$6="","",발령대장_설정!$B$6))</x:f>
        <x:v>#NAME?</x:v>
      </x:c>
      <x:c r="H663" s="27" t="e">
        <x:f>IF($A663="","",IF(발령대장_설정!$B$7="","",발령대장_설정!$B$7))</x:f>
        <x:v>#NAME?</x:v>
      </x:c>
      <x:c r="I663" s="27" t="e">
        <x:f>IF($A663="","",IF(발령대장_설정!$B$8="","",발령대장_설정!$B$8))</x:f>
        <x:v>#NAME?</x:v>
      </x:c>
      <x:c r="J663" s="27" t="e">
        <x:f>IF($A663="","",IF(대장!K331="","",대장!K331))</x:f>
        <x:v>#NAME?</x:v>
      </x:c>
    </x:row>
    <x:row r="664" ht="42" customHeight="1">
      <x:c r="A664" s="47" t="e">
        <x:f>IF(AND(대장!A331&lt;&gt;"",ISNUMBER(대장!F331),ISNUMBER(대장!G331),대장!G331&gt;=대장!F331,대장!H331&lt;&gt;""),대장!G331,"")</x:f>
        <x:v>#NAME?</x:v>
      </x:c>
      <x:c r="B664" s="27" t="e">
        <x:f>IF($A664="","",IF(발령대장_설정!$B$4="","",발령대장_설정!$B$4))</x:f>
        <x:v>#NAME?</x:v>
      </x:c>
      <x:c r="C664" s="27" t="e">
        <x:f>IF($A664="","",대장!D331)</x:f>
        <x:v>#NAME?</x:v>
      </x:c>
      <x:c r="D664" s="27" t="e">
        <x:f>IF($A664="","",대장!A331)</x:f>
        <x:v>#NAME?</x:v>
      </x:c>
      <x:c r="E664" s="27" t="e">
        <x:f>IF($A664="","",IF(OR(ISNUMBER(SEARCH("계약만료",대장!H331&amp;"")),ISNUMBER(SEARCH("기간만료",대장!H331&amp;""))),"계약기간 만료로 퇴직",IF(ISNUMBER(SEARCH("의원면직",대장!H331&amp;"")),"의원면직",IF(ISNUMBER(SEARCH("정년퇴직",대장!H331&amp;"")),"정년퇴직",대장!H331))))</x:f>
        <x:v>#NAME?</x:v>
      </x:c>
      <x:c r="F664" s="27" t="e">
        <x:f>IF($A664="","",IF(발령대장_설정!$B$5="","",발령대장_설정!$B$5))</x:f>
        <x:v>#NAME?</x:v>
      </x:c>
      <x:c r="G664" s="27" t="e">
        <x:f>IF($A664="","",IF(발령대장_설정!$B$6="","",발령대장_설정!$B$6))</x:f>
        <x:v>#NAME?</x:v>
      </x:c>
      <x:c r="H664" s="27" t="e">
        <x:f>IF($A664="","",IF(발령대장_설정!$B$7="","",발령대장_설정!$B$7))</x:f>
        <x:v>#NAME?</x:v>
      </x:c>
      <x:c r="I664" s="27" t="e">
        <x:f>IF($A664="","",IF(발령대장_설정!$B$8="","",발령대장_설정!$B$8))</x:f>
        <x:v>#NAME?</x:v>
      </x:c>
      <x:c r="J664" s="27" t="str">
        <x:f>""</x:f>
      </x:c>
    </x:row>
    <x:row r="665" ht="42" customHeight="1">
      <x:c r="A665" s="47" t="e">
        <x:f>IF(AND(대장!A332&lt;&gt;"",ISNUMBER(대장!F332),OR(대장!G332="",AND(ISNUMBER(대장!G332),대장!G332&gt;=대장!F332))),대장!F332,"")</x:f>
        <x:v>#NAME?</x:v>
      </x:c>
      <x:c r="B665" s="27" t="e">
        <x:f>IF($A665="","",IF(발령대장_설정!$B$4="","",발령대장_설정!$B$4))</x:f>
        <x:v>#NAME?</x:v>
      </x:c>
      <x:c r="C665" s="27" t="e">
        <x:f>IF($A665="","",대장!D332)</x:f>
        <x:v>#NAME?</x:v>
      </x:c>
      <x:c r="D665" s="27" t="e">
        <x:f>IF($A665="","",대장!A332)</x:f>
        <x:v>#NAME?</x:v>
      </x:c>
      <x:c r="E665" s="27" t="e">
        <x:f>IF($A665="","",IF(대장!J332&lt;&gt;"",대장!J332,대장!D332&amp;"에 임함"&amp;IF(대장!E332="","",CHAR(10)&amp;"고용형태: "&amp;대장!E332)&amp;IF(대장!I332="","",CHAR(10)&amp;"소정근로시간: "&amp;대장!I332)&amp;CHAR(10)&amp;"근로기간: "&amp;YEAR(대장!F332)&amp;"."&amp;MONTH(대장!F332)&amp;"."&amp;DAY(대장!F332)&amp;"."&amp;" ~ "&amp;IF(ISNUMBER(대장!G332),YEAR(대장!G332)&amp;"."&amp;MONTH(대장!G332)&amp;"."&amp;DAY(대장!G332)&amp;".","재직 중")))</x:f>
        <x:v>#NAME?</x:v>
      </x:c>
      <x:c r="F665" s="27" t="e">
        <x:f>IF($A665="","",IF(발령대장_설정!$B$5="","",발령대장_설정!$B$5))</x:f>
        <x:v>#NAME?</x:v>
      </x:c>
      <x:c r="G665" s="27" t="e">
        <x:f>IF($A665="","",IF(발령대장_설정!$B$6="","",발령대장_설정!$B$6))</x:f>
        <x:v>#NAME?</x:v>
      </x:c>
      <x:c r="H665" s="27" t="e">
        <x:f>IF($A665="","",IF(발령대장_설정!$B$7="","",발령대장_설정!$B$7))</x:f>
        <x:v>#NAME?</x:v>
      </x:c>
      <x:c r="I665" s="27" t="e">
        <x:f>IF($A665="","",IF(발령대장_설정!$B$8="","",발령대장_설정!$B$8))</x:f>
        <x:v>#NAME?</x:v>
      </x:c>
      <x:c r="J665" s="27" t="e">
        <x:f>IF($A665="","",IF(대장!K332="","",대장!K332))</x:f>
        <x:v>#NAME?</x:v>
      </x:c>
    </x:row>
    <x:row r="666" ht="42" customHeight="1">
      <x:c r="A666" s="47" t="e">
        <x:f>IF(AND(대장!A332&lt;&gt;"",ISNUMBER(대장!F332),ISNUMBER(대장!G332),대장!G332&gt;=대장!F332,대장!H332&lt;&gt;""),대장!G332,"")</x:f>
        <x:v>#NAME?</x:v>
      </x:c>
      <x:c r="B666" s="27" t="e">
        <x:f>IF($A666="","",IF(발령대장_설정!$B$4="","",발령대장_설정!$B$4))</x:f>
        <x:v>#NAME?</x:v>
      </x:c>
      <x:c r="C666" s="27" t="e">
        <x:f>IF($A666="","",대장!D332)</x:f>
        <x:v>#NAME?</x:v>
      </x:c>
      <x:c r="D666" s="27" t="e">
        <x:f>IF($A666="","",대장!A332)</x:f>
        <x:v>#NAME?</x:v>
      </x:c>
      <x:c r="E666" s="27" t="e">
        <x:f>IF($A666="","",IF(OR(ISNUMBER(SEARCH("계약만료",대장!H332&amp;"")),ISNUMBER(SEARCH("기간만료",대장!H332&amp;""))),"계약기간 만료로 퇴직",IF(ISNUMBER(SEARCH("의원면직",대장!H332&amp;"")),"의원면직",IF(ISNUMBER(SEARCH("정년퇴직",대장!H332&amp;"")),"정년퇴직",대장!H332))))</x:f>
        <x:v>#NAME?</x:v>
      </x:c>
      <x:c r="F666" s="27" t="e">
        <x:f>IF($A666="","",IF(발령대장_설정!$B$5="","",발령대장_설정!$B$5))</x:f>
        <x:v>#NAME?</x:v>
      </x:c>
      <x:c r="G666" s="27" t="e">
        <x:f>IF($A666="","",IF(발령대장_설정!$B$6="","",발령대장_설정!$B$6))</x:f>
        <x:v>#NAME?</x:v>
      </x:c>
      <x:c r="H666" s="27" t="e">
        <x:f>IF($A666="","",IF(발령대장_설정!$B$7="","",발령대장_설정!$B$7))</x:f>
        <x:v>#NAME?</x:v>
      </x:c>
      <x:c r="I666" s="27" t="e">
        <x:f>IF($A666="","",IF(발령대장_설정!$B$8="","",발령대장_설정!$B$8))</x:f>
        <x:v>#NAME?</x:v>
      </x:c>
      <x:c r="J666" s="27" t="str">
        <x:f>""</x:f>
      </x:c>
    </x:row>
    <x:row r="667" ht="42" customHeight="1">
      <x:c r="A667" s="47" t="e">
        <x:f>IF(AND(대장!A333&lt;&gt;"",ISNUMBER(대장!F333),OR(대장!G333="",AND(ISNUMBER(대장!G333),대장!G333&gt;=대장!F333))),대장!F333,"")</x:f>
        <x:v>#NAME?</x:v>
      </x:c>
      <x:c r="B667" s="27" t="e">
        <x:f>IF($A667="","",IF(발령대장_설정!$B$4="","",발령대장_설정!$B$4))</x:f>
        <x:v>#NAME?</x:v>
      </x:c>
      <x:c r="C667" s="27" t="e">
        <x:f>IF($A667="","",대장!D333)</x:f>
        <x:v>#NAME?</x:v>
      </x:c>
      <x:c r="D667" s="27" t="e">
        <x:f>IF($A667="","",대장!A333)</x:f>
        <x:v>#NAME?</x:v>
      </x:c>
      <x:c r="E667" s="27" t="e">
        <x:f>IF($A667="","",IF(대장!J333&lt;&gt;"",대장!J333,대장!D333&amp;"에 임함"&amp;IF(대장!E333="","",CHAR(10)&amp;"고용형태: "&amp;대장!E333)&amp;IF(대장!I333="","",CHAR(10)&amp;"소정근로시간: "&amp;대장!I333)&amp;CHAR(10)&amp;"근로기간: "&amp;YEAR(대장!F333)&amp;"."&amp;MONTH(대장!F333)&amp;"."&amp;DAY(대장!F333)&amp;"."&amp;" ~ "&amp;IF(ISNUMBER(대장!G333),YEAR(대장!G333)&amp;"."&amp;MONTH(대장!G333)&amp;"."&amp;DAY(대장!G333)&amp;".","재직 중")))</x:f>
        <x:v>#NAME?</x:v>
      </x:c>
      <x:c r="F667" s="27" t="e">
        <x:f>IF($A667="","",IF(발령대장_설정!$B$5="","",발령대장_설정!$B$5))</x:f>
        <x:v>#NAME?</x:v>
      </x:c>
      <x:c r="G667" s="27" t="e">
        <x:f>IF($A667="","",IF(발령대장_설정!$B$6="","",발령대장_설정!$B$6))</x:f>
        <x:v>#NAME?</x:v>
      </x:c>
      <x:c r="H667" s="27" t="e">
        <x:f>IF($A667="","",IF(발령대장_설정!$B$7="","",발령대장_설정!$B$7))</x:f>
        <x:v>#NAME?</x:v>
      </x:c>
      <x:c r="I667" s="27" t="e">
        <x:f>IF($A667="","",IF(발령대장_설정!$B$8="","",발령대장_설정!$B$8))</x:f>
        <x:v>#NAME?</x:v>
      </x:c>
      <x:c r="J667" s="27" t="e">
        <x:f>IF($A667="","",IF(대장!K333="","",대장!K333))</x:f>
        <x:v>#NAME?</x:v>
      </x:c>
    </x:row>
    <x:row r="668" ht="42" customHeight="1">
      <x:c r="A668" s="47" t="e">
        <x:f>IF(AND(대장!A333&lt;&gt;"",ISNUMBER(대장!F333),ISNUMBER(대장!G333),대장!G333&gt;=대장!F333,대장!H333&lt;&gt;""),대장!G333,"")</x:f>
        <x:v>#NAME?</x:v>
      </x:c>
      <x:c r="B668" s="27" t="e">
        <x:f>IF($A668="","",IF(발령대장_설정!$B$4="","",발령대장_설정!$B$4))</x:f>
        <x:v>#NAME?</x:v>
      </x:c>
      <x:c r="C668" s="27" t="e">
        <x:f>IF($A668="","",대장!D333)</x:f>
        <x:v>#NAME?</x:v>
      </x:c>
      <x:c r="D668" s="27" t="e">
        <x:f>IF($A668="","",대장!A333)</x:f>
        <x:v>#NAME?</x:v>
      </x:c>
      <x:c r="E668" s="27" t="e">
        <x:f>IF($A668="","",IF(OR(ISNUMBER(SEARCH("계약만료",대장!H333&amp;"")),ISNUMBER(SEARCH("기간만료",대장!H333&amp;""))),"계약기간 만료로 퇴직",IF(ISNUMBER(SEARCH("의원면직",대장!H333&amp;"")),"의원면직",IF(ISNUMBER(SEARCH("정년퇴직",대장!H333&amp;"")),"정년퇴직",대장!H333))))</x:f>
        <x:v>#NAME?</x:v>
      </x:c>
      <x:c r="F668" s="27" t="e">
        <x:f>IF($A668="","",IF(발령대장_설정!$B$5="","",발령대장_설정!$B$5))</x:f>
        <x:v>#NAME?</x:v>
      </x:c>
      <x:c r="G668" s="27" t="e">
        <x:f>IF($A668="","",IF(발령대장_설정!$B$6="","",발령대장_설정!$B$6))</x:f>
        <x:v>#NAME?</x:v>
      </x:c>
      <x:c r="H668" s="27" t="e">
        <x:f>IF($A668="","",IF(발령대장_설정!$B$7="","",발령대장_설정!$B$7))</x:f>
        <x:v>#NAME?</x:v>
      </x:c>
      <x:c r="I668" s="27" t="e">
        <x:f>IF($A668="","",IF(발령대장_설정!$B$8="","",발령대장_설정!$B$8))</x:f>
        <x:v>#NAME?</x:v>
      </x:c>
      <x:c r="J668" s="27" t="str">
        <x:f>""</x:f>
      </x:c>
    </x:row>
    <x:row r="669" ht="42" customHeight="1">
      <x:c r="A669" s="47" t="e">
        <x:f>IF(AND(대장!A334&lt;&gt;"",ISNUMBER(대장!F334),OR(대장!G334="",AND(ISNUMBER(대장!G334),대장!G334&gt;=대장!F334))),대장!F334,"")</x:f>
        <x:v>#NAME?</x:v>
      </x:c>
      <x:c r="B669" s="27" t="e">
        <x:f>IF($A669="","",IF(발령대장_설정!$B$4="","",발령대장_설정!$B$4))</x:f>
        <x:v>#NAME?</x:v>
      </x:c>
      <x:c r="C669" s="27" t="e">
        <x:f>IF($A669="","",대장!D334)</x:f>
        <x:v>#NAME?</x:v>
      </x:c>
      <x:c r="D669" s="27" t="e">
        <x:f>IF($A669="","",대장!A334)</x:f>
        <x:v>#NAME?</x:v>
      </x:c>
      <x:c r="E669" s="27" t="e">
        <x:f>IF($A669="","",IF(대장!J334&lt;&gt;"",대장!J334,대장!D334&amp;"에 임함"&amp;IF(대장!E334="","",CHAR(10)&amp;"고용형태: "&amp;대장!E334)&amp;IF(대장!I334="","",CHAR(10)&amp;"소정근로시간: "&amp;대장!I334)&amp;CHAR(10)&amp;"근로기간: "&amp;YEAR(대장!F334)&amp;"."&amp;MONTH(대장!F334)&amp;"."&amp;DAY(대장!F334)&amp;"."&amp;" ~ "&amp;IF(ISNUMBER(대장!G334),YEAR(대장!G334)&amp;"."&amp;MONTH(대장!G334)&amp;"."&amp;DAY(대장!G334)&amp;".","재직 중")))</x:f>
        <x:v>#NAME?</x:v>
      </x:c>
      <x:c r="F669" s="27" t="e">
        <x:f>IF($A669="","",IF(발령대장_설정!$B$5="","",발령대장_설정!$B$5))</x:f>
        <x:v>#NAME?</x:v>
      </x:c>
      <x:c r="G669" s="27" t="e">
        <x:f>IF($A669="","",IF(발령대장_설정!$B$6="","",발령대장_설정!$B$6))</x:f>
        <x:v>#NAME?</x:v>
      </x:c>
      <x:c r="H669" s="27" t="e">
        <x:f>IF($A669="","",IF(발령대장_설정!$B$7="","",발령대장_설정!$B$7))</x:f>
        <x:v>#NAME?</x:v>
      </x:c>
      <x:c r="I669" s="27" t="e">
        <x:f>IF($A669="","",IF(발령대장_설정!$B$8="","",발령대장_설정!$B$8))</x:f>
        <x:v>#NAME?</x:v>
      </x:c>
      <x:c r="J669" s="27" t="e">
        <x:f>IF($A669="","",IF(대장!K334="","",대장!K334))</x:f>
        <x:v>#NAME?</x:v>
      </x:c>
    </x:row>
    <x:row r="670" ht="42" customHeight="1">
      <x:c r="A670" s="47" t="e">
        <x:f>IF(AND(대장!A334&lt;&gt;"",ISNUMBER(대장!F334),ISNUMBER(대장!G334),대장!G334&gt;=대장!F334,대장!H334&lt;&gt;""),대장!G334,"")</x:f>
        <x:v>#NAME?</x:v>
      </x:c>
      <x:c r="B670" s="27" t="e">
        <x:f>IF($A670="","",IF(발령대장_설정!$B$4="","",발령대장_설정!$B$4))</x:f>
        <x:v>#NAME?</x:v>
      </x:c>
      <x:c r="C670" s="27" t="e">
        <x:f>IF($A670="","",대장!D334)</x:f>
        <x:v>#NAME?</x:v>
      </x:c>
      <x:c r="D670" s="27" t="e">
        <x:f>IF($A670="","",대장!A334)</x:f>
        <x:v>#NAME?</x:v>
      </x:c>
      <x:c r="E670" s="27" t="e">
        <x:f>IF($A670="","",IF(OR(ISNUMBER(SEARCH("계약만료",대장!H334&amp;"")),ISNUMBER(SEARCH("기간만료",대장!H334&amp;""))),"계약기간 만료로 퇴직",IF(ISNUMBER(SEARCH("의원면직",대장!H334&amp;"")),"의원면직",IF(ISNUMBER(SEARCH("정년퇴직",대장!H334&amp;"")),"정년퇴직",대장!H334))))</x:f>
        <x:v>#NAME?</x:v>
      </x:c>
      <x:c r="F670" s="27" t="e">
        <x:f>IF($A670="","",IF(발령대장_설정!$B$5="","",발령대장_설정!$B$5))</x:f>
        <x:v>#NAME?</x:v>
      </x:c>
      <x:c r="G670" s="27" t="e">
        <x:f>IF($A670="","",IF(발령대장_설정!$B$6="","",발령대장_설정!$B$6))</x:f>
        <x:v>#NAME?</x:v>
      </x:c>
      <x:c r="H670" s="27" t="e">
        <x:f>IF($A670="","",IF(발령대장_설정!$B$7="","",발령대장_설정!$B$7))</x:f>
        <x:v>#NAME?</x:v>
      </x:c>
      <x:c r="I670" s="27" t="e">
        <x:f>IF($A670="","",IF(발령대장_설정!$B$8="","",발령대장_설정!$B$8))</x:f>
        <x:v>#NAME?</x:v>
      </x:c>
      <x:c r="J670" s="27" t="str">
        <x:f>""</x:f>
      </x:c>
    </x:row>
    <x:row r="671" ht="42" customHeight="1">
      <x:c r="A671" s="47" t="e">
        <x:f>IF(AND(대장!A335&lt;&gt;"",ISNUMBER(대장!F335),OR(대장!G335="",AND(ISNUMBER(대장!G335),대장!G335&gt;=대장!F335))),대장!F335,"")</x:f>
        <x:v>#NAME?</x:v>
      </x:c>
      <x:c r="B671" s="27" t="e">
        <x:f>IF($A671="","",IF(발령대장_설정!$B$4="","",발령대장_설정!$B$4))</x:f>
        <x:v>#NAME?</x:v>
      </x:c>
      <x:c r="C671" s="27" t="e">
        <x:f>IF($A671="","",대장!D335)</x:f>
        <x:v>#NAME?</x:v>
      </x:c>
      <x:c r="D671" s="27" t="e">
        <x:f>IF($A671="","",대장!A335)</x:f>
        <x:v>#NAME?</x:v>
      </x:c>
      <x:c r="E671" s="27" t="e">
        <x:f>IF($A671="","",IF(대장!J335&lt;&gt;"",대장!J335,대장!D335&amp;"에 임함"&amp;IF(대장!E335="","",CHAR(10)&amp;"고용형태: "&amp;대장!E335)&amp;IF(대장!I335="","",CHAR(10)&amp;"소정근로시간: "&amp;대장!I335)&amp;CHAR(10)&amp;"근로기간: "&amp;YEAR(대장!F335)&amp;"."&amp;MONTH(대장!F335)&amp;"."&amp;DAY(대장!F335)&amp;"."&amp;" ~ "&amp;IF(ISNUMBER(대장!G335),YEAR(대장!G335)&amp;"."&amp;MONTH(대장!G335)&amp;"."&amp;DAY(대장!G335)&amp;".","재직 중")))</x:f>
        <x:v>#NAME?</x:v>
      </x:c>
      <x:c r="F671" s="27" t="e">
        <x:f>IF($A671="","",IF(발령대장_설정!$B$5="","",발령대장_설정!$B$5))</x:f>
        <x:v>#NAME?</x:v>
      </x:c>
      <x:c r="G671" s="27" t="e">
        <x:f>IF($A671="","",IF(발령대장_설정!$B$6="","",발령대장_설정!$B$6))</x:f>
        <x:v>#NAME?</x:v>
      </x:c>
      <x:c r="H671" s="27" t="e">
        <x:f>IF($A671="","",IF(발령대장_설정!$B$7="","",발령대장_설정!$B$7))</x:f>
        <x:v>#NAME?</x:v>
      </x:c>
      <x:c r="I671" s="27" t="e">
        <x:f>IF($A671="","",IF(발령대장_설정!$B$8="","",발령대장_설정!$B$8))</x:f>
        <x:v>#NAME?</x:v>
      </x:c>
      <x:c r="J671" s="27" t="e">
        <x:f>IF($A671="","",IF(대장!K335="","",대장!K335))</x:f>
        <x:v>#NAME?</x:v>
      </x:c>
    </x:row>
    <x:row r="672" ht="42" customHeight="1">
      <x:c r="A672" s="47" t="e">
        <x:f>IF(AND(대장!A335&lt;&gt;"",ISNUMBER(대장!F335),ISNUMBER(대장!G335),대장!G335&gt;=대장!F335,대장!H335&lt;&gt;""),대장!G335,"")</x:f>
        <x:v>#NAME?</x:v>
      </x:c>
      <x:c r="B672" s="27" t="e">
        <x:f>IF($A672="","",IF(발령대장_설정!$B$4="","",발령대장_설정!$B$4))</x:f>
        <x:v>#NAME?</x:v>
      </x:c>
      <x:c r="C672" s="27" t="e">
        <x:f>IF($A672="","",대장!D335)</x:f>
        <x:v>#NAME?</x:v>
      </x:c>
      <x:c r="D672" s="27" t="e">
        <x:f>IF($A672="","",대장!A335)</x:f>
        <x:v>#NAME?</x:v>
      </x:c>
      <x:c r="E672" s="27" t="e">
        <x:f>IF($A672="","",IF(OR(ISNUMBER(SEARCH("계약만료",대장!H335&amp;"")),ISNUMBER(SEARCH("기간만료",대장!H335&amp;""))),"계약기간 만료로 퇴직",IF(ISNUMBER(SEARCH("의원면직",대장!H335&amp;"")),"의원면직",IF(ISNUMBER(SEARCH("정년퇴직",대장!H335&amp;"")),"정년퇴직",대장!H335))))</x:f>
        <x:v>#NAME?</x:v>
      </x:c>
      <x:c r="F672" s="27" t="e">
        <x:f>IF($A672="","",IF(발령대장_설정!$B$5="","",발령대장_설정!$B$5))</x:f>
        <x:v>#NAME?</x:v>
      </x:c>
      <x:c r="G672" s="27" t="e">
        <x:f>IF($A672="","",IF(발령대장_설정!$B$6="","",발령대장_설정!$B$6))</x:f>
        <x:v>#NAME?</x:v>
      </x:c>
      <x:c r="H672" s="27" t="e">
        <x:f>IF($A672="","",IF(발령대장_설정!$B$7="","",발령대장_설정!$B$7))</x:f>
        <x:v>#NAME?</x:v>
      </x:c>
      <x:c r="I672" s="27" t="e">
        <x:f>IF($A672="","",IF(발령대장_설정!$B$8="","",발령대장_설정!$B$8))</x:f>
        <x:v>#NAME?</x:v>
      </x:c>
      <x:c r="J672" s="27" t="str">
        <x:f>""</x:f>
      </x:c>
    </x:row>
    <x:row r="673" ht="42" customHeight="1">
      <x:c r="A673" s="47" t="e">
        <x:f>IF(AND(대장!A336&lt;&gt;"",ISNUMBER(대장!F336),OR(대장!G336="",AND(ISNUMBER(대장!G336),대장!G336&gt;=대장!F336))),대장!F336,"")</x:f>
        <x:v>#NAME?</x:v>
      </x:c>
      <x:c r="B673" s="27" t="e">
        <x:f>IF($A673="","",IF(발령대장_설정!$B$4="","",발령대장_설정!$B$4))</x:f>
        <x:v>#NAME?</x:v>
      </x:c>
      <x:c r="C673" s="27" t="e">
        <x:f>IF($A673="","",대장!D336)</x:f>
        <x:v>#NAME?</x:v>
      </x:c>
      <x:c r="D673" s="27" t="e">
        <x:f>IF($A673="","",대장!A336)</x:f>
        <x:v>#NAME?</x:v>
      </x:c>
      <x:c r="E673" s="27" t="e">
        <x:f>IF($A673="","",IF(대장!J336&lt;&gt;"",대장!J336,대장!D336&amp;"에 임함"&amp;IF(대장!E336="","",CHAR(10)&amp;"고용형태: "&amp;대장!E336)&amp;IF(대장!I336="","",CHAR(10)&amp;"소정근로시간: "&amp;대장!I336)&amp;CHAR(10)&amp;"근로기간: "&amp;YEAR(대장!F336)&amp;"."&amp;MONTH(대장!F336)&amp;"."&amp;DAY(대장!F336)&amp;"."&amp;" ~ "&amp;IF(ISNUMBER(대장!G336),YEAR(대장!G336)&amp;"."&amp;MONTH(대장!G336)&amp;"."&amp;DAY(대장!G336)&amp;".","재직 중")))</x:f>
        <x:v>#NAME?</x:v>
      </x:c>
      <x:c r="F673" s="27" t="e">
        <x:f>IF($A673="","",IF(발령대장_설정!$B$5="","",발령대장_설정!$B$5))</x:f>
        <x:v>#NAME?</x:v>
      </x:c>
      <x:c r="G673" s="27" t="e">
        <x:f>IF($A673="","",IF(발령대장_설정!$B$6="","",발령대장_설정!$B$6))</x:f>
        <x:v>#NAME?</x:v>
      </x:c>
      <x:c r="H673" s="27" t="e">
        <x:f>IF($A673="","",IF(발령대장_설정!$B$7="","",발령대장_설정!$B$7))</x:f>
        <x:v>#NAME?</x:v>
      </x:c>
      <x:c r="I673" s="27" t="e">
        <x:f>IF($A673="","",IF(발령대장_설정!$B$8="","",발령대장_설정!$B$8))</x:f>
        <x:v>#NAME?</x:v>
      </x:c>
      <x:c r="J673" s="27" t="e">
        <x:f>IF($A673="","",IF(대장!K336="","",대장!K336))</x:f>
        <x:v>#NAME?</x:v>
      </x:c>
    </x:row>
    <x:row r="674" ht="42" customHeight="1">
      <x:c r="A674" s="47" t="e">
        <x:f>IF(AND(대장!A336&lt;&gt;"",ISNUMBER(대장!F336),ISNUMBER(대장!G336),대장!G336&gt;=대장!F336,대장!H336&lt;&gt;""),대장!G336,"")</x:f>
        <x:v>#NAME?</x:v>
      </x:c>
      <x:c r="B674" s="27" t="e">
        <x:f>IF($A674="","",IF(발령대장_설정!$B$4="","",발령대장_설정!$B$4))</x:f>
        <x:v>#NAME?</x:v>
      </x:c>
      <x:c r="C674" s="27" t="e">
        <x:f>IF($A674="","",대장!D336)</x:f>
        <x:v>#NAME?</x:v>
      </x:c>
      <x:c r="D674" s="27" t="e">
        <x:f>IF($A674="","",대장!A336)</x:f>
        <x:v>#NAME?</x:v>
      </x:c>
      <x:c r="E674" s="27" t="e">
        <x:f>IF($A674="","",IF(OR(ISNUMBER(SEARCH("계약만료",대장!H336&amp;"")),ISNUMBER(SEARCH("기간만료",대장!H336&amp;""))),"계약기간 만료로 퇴직",IF(ISNUMBER(SEARCH("의원면직",대장!H336&amp;"")),"의원면직",IF(ISNUMBER(SEARCH("정년퇴직",대장!H336&amp;"")),"정년퇴직",대장!H336))))</x:f>
        <x:v>#NAME?</x:v>
      </x:c>
      <x:c r="F674" s="27" t="e">
        <x:f>IF($A674="","",IF(발령대장_설정!$B$5="","",발령대장_설정!$B$5))</x:f>
        <x:v>#NAME?</x:v>
      </x:c>
      <x:c r="G674" s="27" t="e">
        <x:f>IF($A674="","",IF(발령대장_설정!$B$6="","",발령대장_설정!$B$6))</x:f>
        <x:v>#NAME?</x:v>
      </x:c>
      <x:c r="H674" s="27" t="e">
        <x:f>IF($A674="","",IF(발령대장_설정!$B$7="","",발령대장_설정!$B$7))</x:f>
        <x:v>#NAME?</x:v>
      </x:c>
      <x:c r="I674" s="27" t="e">
        <x:f>IF($A674="","",IF(발령대장_설정!$B$8="","",발령대장_설정!$B$8))</x:f>
        <x:v>#NAME?</x:v>
      </x:c>
      <x:c r="J674" s="27" t="str">
        <x:f>""</x:f>
      </x:c>
    </x:row>
    <x:row r="675" ht="42" customHeight="1">
      <x:c r="A675" s="47" t="e">
        <x:f>IF(AND(대장!A337&lt;&gt;"",ISNUMBER(대장!F337),OR(대장!G337="",AND(ISNUMBER(대장!G337),대장!G337&gt;=대장!F337))),대장!F337,"")</x:f>
        <x:v>#NAME?</x:v>
      </x:c>
      <x:c r="B675" s="27" t="e">
        <x:f>IF($A675="","",IF(발령대장_설정!$B$4="","",발령대장_설정!$B$4))</x:f>
        <x:v>#NAME?</x:v>
      </x:c>
      <x:c r="C675" s="27" t="e">
        <x:f>IF($A675="","",대장!D337)</x:f>
        <x:v>#NAME?</x:v>
      </x:c>
      <x:c r="D675" s="27" t="e">
        <x:f>IF($A675="","",대장!A337)</x:f>
        <x:v>#NAME?</x:v>
      </x:c>
      <x:c r="E675" s="27" t="e">
        <x:f>IF($A675="","",IF(대장!J337&lt;&gt;"",대장!J337,대장!D337&amp;"에 임함"&amp;IF(대장!E337="","",CHAR(10)&amp;"고용형태: "&amp;대장!E337)&amp;IF(대장!I337="","",CHAR(10)&amp;"소정근로시간: "&amp;대장!I337)&amp;CHAR(10)&amp;"근로기간: "&amp;YEAR(대장!F337)&amp;"."&amp;MONTH(대장!F337)&amp;"."&amp;DAY(대장!F337)&amp;"."&amp;" ~ "&amp;IF(ISNUMBER(대장!G337),YEAR(대장!G337)&amp;"."&amp;MONTH(대장!G337)&amp;"."&amp;DAY(대장!G337)&amp;".","재직 중")))</x:f>
        <x:v>#NAME?</x:v>
      </x:c>
      <x:c r="F675" s="27" t="e">
        <x:f>IF($A675="","",IF(발령대장_설정!$B$5="","",발령대장_설정!$B$5))</x:f>
        <x:v>#NAME?</x:v>
      </x:c>
      <x:c r="G675" s="27" t="e">
        <x:f>IF($A675="","",IF(발령대장_설정!$B$6="","",발령대장_설정!$B$6))</x:f>
        <x:v>#NAME?</x:v>
      </x:c>
      <x:c r="H675" s="27" t="e">
        <x:f>IF($A675="","",IF(발령대장_설정!$B$7="","",발령대장_설정!$B$7))</x:f>
        <x:v>#NAME?</x:v>
      </x:c>
      <x:c r="I675" s="27" t="e">
        <x:f>IF($A675="","",IF(발령대장_설정!$B$8="","",발령대장_설정!$B$8))</x:f>
        <x:v>#NAME?</x:v>
      </x:c>
      <x:c r="J675" s="27" t="e">
        <x:f>IF($A675="","",IF(대장!K337="","",대장!K337))</x:f>
        <x:v>#NAME?</x:v>
      </x:c>
    </x:row>
    <x:row r="676" ht="42" customHeight="1">
      <x:c r="A676" s="47" t="e">
        <x:f>IF(AND(대장!A337&lt;&gt;"",ISNUMBER(대장!F337),ISNUMBER(대장!G337),대장!G337&gt;=대장!F337,대장!H337&lt;&gt;""),대장!G337,"")</x:f>
        <x:v>#NAME?</x:v>
      </x:c>
      <x:c r="B676" s="27" t="e">
        <x:f>IF($A676="","",IF(발령대장_설정!$B$4="","",발령대장_설정!$B$4))</x:f>
        <x:v>#NAME?</x:v>
      </x:c>
      <x:c r="C676" s="27" t="e">
        <x:f>IF($A676="","",대장!D337)</x:f>
        <x:v>#NAME?</x:v>
      </x:c>
      <x:c r="D676" s="27" t="e">
        <x:f>IF($A676="","",대장!A337)</x:f>
        <x:v>#NAME?</x:v>
      </x:c>
      <x:c r="E676" s="27" t="e">
        <x:f>IF($A676="","",IF(OR(ISNUMBER(SEARCH("계약만료",대장!H337&amp;"")),ISNUMBER(SEARCH("기간만료",대장!H337&amp;""))),"계약기간 만료로 퇴직",IF(ISNUMBER(SEARCH("의원면직",대장!H337&amp;"")),"의원면직",IF(ISNUMBER(SEARCH("정년퇴직",대장!H337&amp;"")),"정년퇴직",대장!H337))))</x:f>
        <x:v>#NAME?</x:v>
      </x:c>
      <x:c r="F676" s="27" t="e">
        <x:f>IF($A676="","",IF(발령대장_설정!$B$5="","",발령대장_설정!$B$5))</x:f>
        <x:v>#NAME?</x:v>
      </x:c>
      <x:c r="G676" s="27" t="e">
        <x:f>IF($A676="","",IF(발령대장_설정!$B$6="","",발령대장_설정!$B$6))</x:f>
        <x:v>#NAME?</x:v>
      </x:c>
      <x:c r="H676" s="27" t="e">
        <x:f>IF($A676="","",IF(발령대장_설정!$B$7="","",발령대장_설정!$B$7))</x:f>
        <x:v>#NAME?</x:v>
      </x:c>
      <x:c r="I676" s="27" t="e">
        <x:f>IF($A676="","",IF(발령대장_설정!$B$8="","",발령대장_설정!$B$8))</x:f>
        <x:v>#NAME?</x:v>
      </x:c>
      <x:c r="J676" s="27" t="str">
        <x:f>""</x:f>
      </x:c>
    </x:row>
    <x:row r="677" ht="42" customHeight="1">
      <x:c r="A677" s="47" t="e">
        <x:f>IF(AND(대장!A338&lt;&gt;"",ISNUMBER(대장!F338),OR(대장!G338="",AND(ISNUMBER(대장!G338),대장!G338&gt;=대장!F338))),대장!F338,"")</x:f>
        <x:v>#NAME?</x:v>
      </x:c>
      <x:c r="B677" s="27" t="e">
        <x:f>IF($A677="","",IF(발령대장_설정!$B$4="","",발령대장_설정!$B$4))</x:f>
        <x:v>#NAME?</x:v>
      </x:c>
      <x:c r="C677" s="27" t="e">
        <x:f>IF($A677="","",대장!D338)</x:f>
        <x:v>#NAME?</x:v>
      </x:c>
      <x:c r="D677" s="27" t="e">
        <x:f>IF($A677="","",대장!A338)</x:f>
        <x:v>#NAME?</x:v>
      </x:c>
      <x:c r="E677" s="27" t="e">
        <x:f>IF($A677="","",IF(대장!J338&lt;&gt;"",대장!J338,대장!D338&amp;"에 임함"&amp;IF(대장!E338="","",CHAR(10)&amp;"고용형태: "&amp;대장!E338)&amp;IF(대장!I338="","",CHAR(10)&amp;"소정근로시간: "&amp;대장!I338)&amp;CHAR(10)&amp;"근로기간: "&amp;YEAR(대장!F338)&amp;"."&amp;MONTH(대장!F338)&amp;"."&amp;DAY(대장!F338)&amp;"."&amp;" ~ "&amp;IF(ISNUMBER(대장!G338),YEAR(대장!G338)&amp;"."&amp;MONTH(대장!G338)&amp;"."&amp;DAY(대장!G338)&amp;".","재직 중")))</x:f>
        <x:v>#NAME?</x:v>
      </x:c>
      <x:c r="F677" s="27" t="e">
        <x:f>IF($A677="","",IF(발령대장_설정!$B$5="","",발령대장_설정!$B$5))</x:f>
        <x:v>#NAME?</x:v>
      </x:c>
      <x:c r="G677" s="27" t="e">
        <x:f>IF($A677="","",IF(발령대장_설정!$B$6="","",발령대장_설정!$B$6))</x:f>
        <x:v>#NAME?</x:v>
      </x:c>
      <x:c r="H677" s="27" t="e">
        <x:f>IF($A677="","",IF(발령대장_설정!$B$7="","",발령대장_설정!$B$7))</x:f>
        <x:v>#NAME?</x:v>
      </x:c>
      <x:c r="I677" s="27" t="e">
        <x:f>IF($A677="","",IF(발령대장_설정!$B$8="","",발령대장_설정!$B$8))</x:f>
        <x:v>#NAME?</x:v>
      </x:c>
      <x:c r="J677" s="27" t="e">
        <x:f>IF($A677="","",IF(대장!K338="","",대장!K338))</x:f>
        <x:v>#NAME?</x:v>
      </x:c>
    </x:row>
    <x:row r="678" ht="42" customHeight="1">
      <x:c r="A678" s="47" t="e">
        <x:f>IF(AND(대장!A338&lt;&gt;"",ISNUMBER(대장!F338),ISNUMBER(대장!G338),대장!G338&gt;=대장!F338,대장!H338&lt;&gt;""),대장!G338,"")</x:f>
        <x:v>#NAME?</x:v>
      </x:c>
      <x:c r="B678" s="27" t="e">
        <x:f>IF($A678="","",IF(발령대장_설정!$B$4="","",발령대장_설정!$B$4))</x:f>
        <x:v>#NAME?</x:v>
      </x:c>
      <x:c r="C678" s="27" t="e">
        <x:f>IF($A678="","",대장!D338)</x:f>
        <x:v>#NAME?</x:v>
      </x:c>
      <x:c r="D678" s="27" t="e">
        <x:f>IF($A678="","",대장!A338)</x:f>
        <x:v>#NAME?</x:v>
      </x:c>
      <x:c r="E678" s="27" t="e">
        <x:f>IF($A678="","",IF(OR(ISNUMBER(SEARCH("계약만료",대장!H338&amp;"")),ISNUMBER(SEARCH("기간만료",대장!H338&amp;""))),"계약기간 만료로 퇴직",IF(ISNUMBER(SEARCH("의원면직",대장!H338&amp;"")),"의원면직",IF(ISNUMBER(SEARCH("정년퇴직",대장!H338&amp;"")),"정년퇴직",대장!H338))))</x:f>
        <x:v>#NAME?</x:v>
      </x:c>
      <x:c r="F678" s="27" t="e">
        <x:f>IF($A678="","",IF(발령대장_설정!$B$5="","",발령대장_설정!$B$5))</x:f>
        <x:v>#NAME?</x:v>
      </x:c>
      <x:c r="G678" s="27" t="e">
        <x:f>IF($A678="","",IF(발령대장_설정!$B$6="","",발령대장_설정!$B$6))</x:f>
        <x:v>#NAME?</x:v>
      </x:c>
      <x:c r="H678" s="27" t="e">
        <x:f>IF($A678="","",IF(발령대장_설정!$B$7="","",발령대장_설정!$B$7))</x:f>
        <x:v>#NAME?</x:v>
      </x:c>
      <x:c r="I678" s="27" t="e">
        <x:f>IF($A678="","",IF(발령대장_설정!$B$8="","",발령대장_설정!$B$8))</x:f>
        <x:v>#NAME?</x:v>
      </x:c>
      <x:c r="J678" s="27" t="str">
        <x:f>""</x:f>
      </x:c>
    </x:row>
    <x:row r="679" ht="42" customHeight="1">
      <x:c r="A679" s="47" t="e">
        <x:f>IF(AND(대장!A339&lt;&gt;"",ISNUMBER(대장!F339),OR(대장!G339="",AND(ISNUMBER(대장!G339),대장!G339&gt;=대장!F339))),대장!F339,"")</x:f>
        <x:v>#NAME?</x:v>
      </x:c>
      <x:c r="B679" s="27" t="e">
        <x:f>IF($A679="","",IF(발령대장_설정!$B$4="","",발령대장_설정!$B$4))</x:f>
        <x:v>#NAME?</x:v>
      </x:c>
      <x:c r="C679" s="27" t="e">
        <x:f>IF($A679="","",대장!D339)</x:f>
        <x:v>#NAME?</x:v>
      </x:c>
      <x:c r="D679" s="27" t="e">
        <x:f>IF($A679="","",대장!A339)</x:f>
        <x:v>#NAME?</x:v>
      </x:c>
      <x:c r="E679" s="27" t="e">
        <x:f>IF($A679="","",IF(대장!J339&lt;&gt;"",대장!J339,대장!D339&amp;"에 임함"&amp;IF(대장!E339="","",CHAR(10)&amp;"고용형태: "&amp;대장!E339)&amp;IF(대장!I339="","",CHAR(10)&amp;"소정근로시간: "&amp;대장!I339)&amp;CHAR(10)&amp;"근로기간: "&amp;YEAR(대장!F339)&amp;"."&amp;MONTH(대장!F339)&amp;"."&amp;DAY(대장!F339)&amp;"."&amp;" ~ "&amp;IF(ISNUMBER(대장!G339),YEAR(대장!G339)&amp;"."&amp;MONTH(대장!G339)&amp;"."&amp;DAY(대장!G339)&amp;".","재직 중")))</x:f>
        <x:v>#NAME?</x:v>
      </x:c>
      <x:c r="F679" s="27" t="e">
        <x:f>IF($A679="","",IF(발령대장_설정!$B$5="","",발령대장_설정!$B$5))</x:f>
        <x:v>#NAME?</x:v>
      </x:c>
      <x:c r="G679" s="27" t="e">
        <x:f>IF($A679="","",IF(발령대장_설정!$B$6="","",발령대장_설정!$B$6))</x:f>
        <x:v>#NAME?</x:v>
      </x:c>
      <x:c r="H679" s="27" t="e">
        <x:f>IF($A679="","",IF(발령대장_설정!$B$7="","",발령대장_설정!$B$7))</x:f>
        <x:v>#NAME?</x:v>
      </x:c>
      <x:c r="I679" s="27" t="e">
        <x:f>IF($A679="","",IF(발령대장_설정!$B$8="","",발령대장_설정!$B$8))</x:f>
        <x:v>#NAME?</x:v>
      </x:c>
      <x:c r="J679" s="27" t="e">
        <x:f>IF($A679="","",IF(대장!K339="","",대장!K339))</x:f>
        <x:v>#NAME?</x:v>
      </x:c>
    </x:row>
    <x:row r="680" ht="42" customHeight="1">
      <x:c r="A680" s="47" t="e">
        <x:f>IF(AND(대장!A339&lt;&gt;"",ISNUMBER(대장!F339),ISNUMBER(대장!G339),대장!G339&gt;=대장!F339,대장!H339&lt;&gt;""),대장!G339,"")</x:f>
        <x:v>#NAME?</x:v>
      </x:c>
      <x:c r="B680" s="27" t="e">
        <x:f>IF($A680="","",IF(발령대장_설정!$B$4="","",발령대장_설정!$B$4))</x:f>
        <x:v>#NAME?</x:v>
      </x:c>
      <x:c r="C680" s="27" t="e">
        <x:f>IF($A680="","",대장!D339)</x:f>
        <x:v>#NAME?</x:v>
      </x:c>
      <x:c r="D680" s="27" t="e">
        <x:f>IF($A680="","",대장!A339)</x:f>
        <x:v>#NAME?</x:v>
      </x:c>
      <x:c r="E680" s="27" t="e">
        <x:f>IF($A680="","",IF(OR(ISNUMBER(SEARCH("계약만료",대장!H339&amp;"")),ISNUMBER(SEARCH("기간만료",대장!H339&amp;""))),"계약기간 만료로 퇴직",IF(ISNUMBER(SEARCH("의원면직",대장!H339&amp;"")),"의원면직",IF(ISNUMBER(SEARCH("정년퇴직",대장!H339&amp;"")),"정년퇴직",대장!H339))))</x:f>
        <x:v>#NAME?</x:v>
      </x:c>
      <x:c r="F680" s="27" t="e">
        <x:f>IF($A680="","",IF(발령대장_설정!$B$5="","",발령대장_설정!$B$5))</x:f>
        <x:v>#NAME?</x:v>
      </x:c>
      <x:c r="G680" s="27" t="e">
        <x:f>IF($A680="","",IF(발령대장_설정!$B$6="","",발령대장_설정!$B$6))</x:f>
        <x:v>#NAME?</x:v>
      </x:c>
      <x:c r="H680" s="27" t="e">
        <x:f>IF($A680="","",IF(발령대장_설정!$B$7="","",발령대장_설정!$B$7))</x:f>
        <x:v>#NAME?</x:v>
      </x:c>
      <x:c r="I680" s="27" t="e">
        <x:f>IF($A680="","",IF(발령대장_설정!$B$8="","",발령대장_설정!$B$8))</x:f>
        <x:v>#NAME?</x:v>
      </x:c>
      <x:c r="J680" s="27" t="str">
        <x:f>""</x:f>
      </x:c>
    </x:row>
    <x:row r="681" ht="42" customHeight="1">
      <x:c r="A681" s="47" t="e">
        <x:f>IF(AND(대장!A340&lt;&gt;"",ISNUMBER(대장!F340),OR(대장!G340="",AND(ISNUMBER(대장!G340),대장!G340&gt;=대장!F340))),대장!F340,"")</x:f>
        <x:v>#NAME?</x:v>
      </x:c>
      <x:c r="B681" s="27" t="e">
        <x:f>IF($A681="","",IF(발령대장_설정!$B$4="","",발령대장_설정!$B$4))</x:f>
        <x:v>#NAME?</x:v>
      </x:c>
      <x:c r="C681" s="27" t="e">
        <x:f>IF($A681="","",대장!D340)</x:f>
        <x:v>#NAME?</x:v>
      </x:c>
      <x:c r="D681" s="27" t="e">
        <x:f>IF($A681="","",대장!A340)</x:f>
        <x:v>#NAME?</x:v>
      </x:c>
      <x:c r="E681" s="27" t="e">
        <x:f>IF($A681="","",IF(대장!J340&lt;&gt;"",대장!J340,대장!D340&amp;"에 임함"&amp;IF(대장!E340="","",CHAR(10)&amp;"고용형태: "&amp;대장!E340)&amp;IF(대장!I340="","",CHAR(10)&amp;"소정근로시간: "&amp;대장!I340)&amp;CHAR(10)&amp;"근로기간: "&amp;YEAR(대장!F340)&amp;"."&amp;MONTH(대장!F340)&amp;"."&amp;DAY(대장!F340)&amp;"."&amp;" ~ "&amp;IF(ISNUMBER(대장!G340),YEAR(대장!G340)&amp;"."&amp;MONTH(대장!G340)&amp;"."&amp;DAY(대장!G340)&amp;".","재직 중")))</x:f>
        <x:v>#NAME?</x:v>
      </x:c>
      <x:c r="F681" s="27" t="e">
        <x:f>IF($A681="","",IF(발령대장_설정!$B$5="","",발령대장_설정!$B$5))</x:f>
        <x:v>#NAME?</x:v>
      </x:c>
      <x:c r="G681" s="27" t="e">
        <x:f>IF($A681="","",IF(발령대장_설정!$B$6="","",발령대장_설정!$B$6))</x:f>
        <x:v>#NAME?</x:v>
      </x:c>
      <x:c r="H681" s="27" t="e">
        <x:f>IF($A681="","",IF(발령대장_설정!$B$7="","",발령대장_설정!$B$7))</x:f>
        <x:v>#NAME?</x:v>
      </x:c>
      <x:c r="I681" s="27" t="e">
        <x:f>IF($A681="","",IF(발령대장_설정!$B$8="","",발령대장_설정!$B$8))</x:f>
        <x:v>#NAME?</x:v>
      </x:c>
      <x:c r="J681" s="27" t="e">
        <x:f>IF($A681="","",IF(대장!K340="","",대장!K340))</x:f>
        <x:v>#NAME?</x:v>
      </x:c>
    </x:row>
    <x:row r="682" ht="42" customHeight="1">
      <x:c r="A682" s="47" t="e">
        <x:f>IF(AND(대장!A340&lt;&gt;"",ISNUMBER(대장!F340),ISNUMBER(대장!G340),대장!G340&gt;=대장!F340,대장!H340&lt;&gt;""),대장!G340,"")</x:f>
        <x:v>#NAME?</x:v>
      </x:c>
      <x:c r="B682" s="27" t="e">
        <x:f>IF($A682="","",IF(발령대장_설정!$B$4="","",발령대장_설정!$B$4))</x:f>
        <x:v>#NAME?</x:v>
      </x:c>
      <x:c r="C682" s="27" t="e">
        <x:f>IF($A682="","",대장!D340)</x:f>
        <x:v>#NAME?</x:v>
      </x:c>
      <x:c r="D682" s="27" t="e">
        <x:f>IF($A682="","",대장!A340)</x:f>
        <x:v>#NAME?</x:v>
      </x:c>
      <x:c r="E682" s="27" t="e">
        <x:f>IF($A682="","",IF(OR(ISNUMBER(SEARCH("계약만료",대장!H340&amp;"")),ISNUMBER(SEARCH("기간만료",대장!H340&amp;""))),"계약기간 만료로 퇴직",IF(ISNUMBER(SEARCH("의원면직",대장!H340&amp;"")),"의원면직",IF(ISNUMBER(SEARCH("정년퇴직",대장!H340&amp;"")),"정년퇴직",대장!H340))))</x:f>
        <x:v>#NAME?</x:v>
      </x:c>
      <x:c r="F682" s="27" t="e">
        <x:f>IF($A682="","",IF(발령대장_설정!$B$5="","",발령대장_설정!$B$5))</x:f>
        <x:v>#NAME?</x:v>
      </x:c>
      <x:c r="G682" s="27" t="e">
        <x:f>IF($A682="","",IF(발령대장_설정!$B$6="","",발령대장_설정!$B$6))</x:f>
        <x:v>#NAME?</x:v>
      </x:c>
      <x:c r="H682" s="27" t="e">
        <x:f>IF($A682="","",IF(발령대장_설정!$B$7="","",발령대장_설정!$B$7))</x:f>
        <x:v>#NAME?</x:v>
      </x:c>
      <x:c r="I682" s="27" t="e">
        <x:f>IF($A682="","",IF(발령대장_설정!$B$8="","",발령대장_설정!$B$8))</x:f>
        <x:v>#NAME?</x:v>
      </x:c>
      <x:c r="J682" s="27" t="str">
        <x:f>""</x:f>
      </x:c>
    </x:row>
    <x:row r="683" ht="42" customHeight="1">
      <x:c r="A683" s="47" t="e">
        <x:f>IF(AND(대장!A341&lt;&gt;"",ISNUMBER(대장!F341),OR(대장!G341="",AND(ISNUMBER(대장!G341),대장!G341&gt;=대장!F341))),대장!F341,"")</x:f>
        <x:v>#NAME?</x:v>
      </x:c>
      <x:c r="B683" s="27" t="e">
        <x:f>IF($A683="","",IF(발령대장_설정!$B$4="","",발령대장_설정!$B$4))</x:f>
        <x:v>#NAME?</x:v>
      </x:c>
      <x:c r="C683" s="27" t="e">
        <x:f>IF($A683="","",대장!D341)</x:f>
        <x:v>#NAME?</x:v>
      </x:c>
      <x:c r="D683" s="27" t="e">
        <x:f>IF($A683="","",대장!A341)</x:f>
        <x:v>#NAME?</x:v>
      </x:c>
      <x:c r="E683" s="27" t="e">
        <x:f>IF($A683="","",IF(대장!J341&lt;&gt;"",대장!J341,대장!D341&amp;"에 임함"&amp;IF(대장!E341="","",CHAR(10)&amp;"고용형태: "&amp;대장!E341)&amp;IF(대장!I341="","",CHAR(10)&amp;"소정근로시간: "&amp;대장!I341)&amp;CHAR(10)&amp;"근로기간: "&amp;YEAR(대장!F341)&amp;"."&amp;MONTH(대장!F341)&amp;"."&amp;DAY(대장!F341)&amp;"."&amp;" ~ "&amp;IF(ISNUMBER(대장!G341),YEAR(대장!G341)&amp;"."&amp;MONTH(대장!G341)&amp;"."&amp;DAY(대장!G341)&amp;".","재직 중")))</x:f>
        <x:v>#NAME?</x:v>
      </x:c>
      <x:c r="F683" s="27" t="e">
        <x:f>IF($A683="","",IF(발령대장_설정!$B$5="","",발령대장_설정!$B$5))</x:f>
        <x:v>#NAME?</x:v>
      </x:c>
      <x:c r="G683" s="27" t="e">
        <x:f>IF($A683="","",IF(발령대장_설정!$B$6="","",발령대장_설정!$B$6))</x:f>
        <x:v>#NAME?</x:v>
      </x:c>
      <x:c r="H683" s="27" t="e">
        <x:f>IF($A683="","",IF(발령대장_설정!$B$7="","",발령대장_설정!$B$7))</x:f>
        <x:v>#NAME?</x:v>
      </x:c>
      <x:c r="I683" s="27" t="e">
        <x:f>IF($A683="","",IF(발령대장_설정!$B$8="","",발령대장_설정!$B$8))</x:f>
        <x:v>#NAME?</x:v>
      </x:c>
      <x:c r="J683" s="27" t="e">
        <x:f>IF($A683="","",IF(대장!K341="","",대장!K341))</x:f>
        <x:v>#NAME?</x:v>
      </x:c>
    </x:row>
    <x:row r="684" ht="42" customHeight="1">
      <x:c r="A684" s="47" t="e">
        <x:f>IF(AND(대장!A341&lt;&gt;"",ISNUMBER(대장!F341),ISNUMBER(대장!G341),대장!G341&gt;=대장!F341,대장!H341&lt;&gt;""),대장!G341,"")</x:f>
        <x:v>#NAME?</x:v>
      </x:c>
      <x:c r="B684" s="27" t="e">
        <x:f>IF($A684="","",IF(발령대장_설정!$B$4="","",발령대장_설정!$B$4))</x:f>
        <x:v>#NAME?</x:v>
      </x:c>
      <x:c r="C684" s="27" t="e">
        <x:f>IF($A684="","",대장!D341)</x:f>
        <x:v>#NAME?</x:v>
      </x:c>
      <x:c r="D684" s="27" t="e">
        <x:f>IF($A684="","",대장!A341)</x:f>
        <x:v>#NAME?</x:v>
      </x:c>
      <x:c r="E684" s="27" t="e">
        <x:f>IF($A684="","",IF(OR(ISNUMBER(SEARCH("계약만료",대장!H341&amp;"")),ISNUMBER(SEARCH("기간만료",대장!H341&amp;""))),"계약기간 만료로 퇴직",IF(ISNUMBER(SEARCH("의원면직",대장!H341&amp;"")),"의원면직",IF(ISNUMBER(SEARCH("정년퇴직",대장!H341&amp;"")),"정년퇴직",대장!H341))))</x:f>
        <x:v>#NAME?</x:v>
      </x:c>
      <x:c r="F684" s="27" t="e">
        <x:f>IF($A684="","",IF(발령대장_설정!$B$5="","",발령대장_설정!$B$5))</x:f>
        <x:v>#NAME?</x:v>
      </x:c>
      <x:c r="G684" s="27" t="e">
        <x:f>IF($A684="","",IF(발령대장_설정!$B$6="","",발령대장_설정!$B$6))</x:f>
        <x:v>#NAME?</x:v>
      </x:c>
      <x:c r="H684" s="27" t="e">
        <x:f>IF($A684="","",IF(발령대장_설정!$B$7="","",발령대장_설정!$B$7))</x:f>
        <x:v>#NAME?</x:v>
      </x:c>
      <x:c r="I684" s="27" t="e">
        <x:f>IF($A684="","",IF(발령대장_설정!$B$8="","",발령대장_설정!$B$8))</x:f>
        <x:v>#NAME?</x:v>
      </x:c>
      <x:c r="J684" s="27" t="str">
        <x:f>""</x:f>
      </x:c>
    </x:row>
    <x:row r="685" ht="42" customHeight="1">
      <x:c r="A685" s="47" t="e">
        <x:f>IF(AND(대장!A342&lt;&gt;"",ISNUMBER(대장!F342),OR(대장!G342="",AND(ISNUMBER(대장!G342),대장!G342&gt;=대장!F342))),대장!F342,"")</x:f>
        <x:v>#NAME?</x:v>
      </x:c>
      <x:c r="B685" s="27" t="e">
        <x:f>IF($A685="","",IF(발령대장_설정!$B$4="","",발령대장_설정!$B$4))</x:f>
        <x:v>#NAME?</x:v>
      </x:c>
      <x:c r="C685" s="27" t="e">
        <x:f>IF($A685="","",대장!D342)</x:f>
        <x:v>#NAME?</x:v>
      </x:c>
      <x:c r="D685" s="27" t="e">
        <x:f>IF($A685="","",대장!A342)</x:f>
        <x:v>#NAME?</x:v>
      </x:c>
      <x:c r="E685" s="27" t="e">
        <x:f>IF($A685="","",IF(대장!J342&lt;&gt;"",대장!J342,대장!D342&amp;"에 임함"&amp;IF(대장!E342="","",CHAR(10)&amp;"고용형태: "&amp;대장!E342)&amp;IF(대장!I342="","",CHAR(10)&amp;"소정근로시간: "&amp;대장!I342)&amp;CHAR(10)&amp;"근로기간: "&amp;YEAR(대장!F342)&amp;"."&amp;MONTH(대장!F342)&amp;"."&amp;DAY(대장!F342)&amp;"."&amp;" ~ "&amp;IF(ISNUMBER(대장!G342),YEAR(대장!G342)&amp;"."&amp;MONTH(대장!G342)&amp;"."&amp;DAY(대장!G342)&amp;".","재직 중")))</x:f>
        <x:v>#NAME?</x:v>
      </x:c>
      <x:c r="F685" s="27" t="e">
        <x:f>IF($A685="","",IF(발령대장_설정!$B$5="","",발령대장_설정!$B$5))</x:f>
        <x:v>#NAME?</x:v>
      </x:c>
      <x:c r="G685" s="27" t="e">
        <x:f>IF($A685="","",IF(발령대장_설정!$B$6="","",발령대장_설정!$B$6))</x:f>
        <x:v>#NAME?</x:v>
      </x:c>
      <x:c r="H685" s="27" t="e">
        <x:f>IF($A685="","",IF(발령대장_설정!$B$7="","",발령대장_설정!$B$7))</x:f>
        <x:v>#NAME?</x:v>
      </x:c>
      <x:c r="I685" s="27" t="e">
        <x:f>IF($A685="","",IF(발령대장_설정!$B$8="","",발령대장_설정!$B$8))</x:f>
        <x:v>#NAME?</x:v>
      </x:c>
      <x:c r="J685" s="27" t="e">
        <x:f>IF($A685="","",IF(대장!K342="","",대장!K342))</x:f>
        <x:v>#NAME?</x:v>
      </x:c>
    </x:row>
    <x:row r="686" ht="42" customHeight="1">
      <x:c r="A686" s="47" t="e">
        <x:f>IF(AND(대장!A342&lt;&gt;"",ISNUMBER(대장!F342),ISNUMBER(대장!G342),대장!G342&gt;=대장!F342,대장!H342&lt;&gt;""),대장!G342,"")</x:f>
        <x:v>#NAME?</x:v>
      </x:c>
      <x:c r="B686" s="27" t="e">
        <x:f>IF($A686="","",IF(발령대장_설정!$B$4="","",발령대장_설정!$B$4))</x:f>
        <x:v>#NAME?</x:v>
      </x:c>
      <x:c r="C686" s="27" t="e">
        <x:f>IF($A686="","",대장!D342)</x:f>
        <x:v>#NAME?</x:v>
      </x:c>
      <x:c r="D686" s="27" t="e">
        <x:f>IF($A686="","",대장!A342)</x:f>
        <x:v>#NAME?</x:v>
      </x:c>
      <x:c r="E686" s="27" t="e">
        <x:f>IF($A686="","",IF(OR(ISNUMBER(SEARCH("계약만료",대장!H342&amp;"")),ISNUMBER(SEARCH("기간만료",대장!H342&amp;""))),"계약기간 만료로 퇴직",IF(ISNUMBER(SEARCH("의원면직",대장!H342&amp;"")),"의원면직",IF(ISNUMBER(SEARCH("정년퇴직",대장!H342&amp;"")),"정년퇴직",대장!H342))))</x:f>
        <x:v>#NAME?</x:v>
      </x:c>
      <x:c r="F686" s="27" t="e">
        <x:f>IF($A686="","",IF(발령대장_설정!$B$5="","",발령대장_설정!$B$5))</x:f>
        <x:v>#NAME?</x:v>
      </x:c>
      <x:c r="G686" s="27" t="e">
        <x:f>IF($A686="","",IF(발령대장_설정!$B$6="","",발령대장_설정!$B$6))</x:f>
        <x:v>#NAME?</x:v>
      </x:c>
      <x:c r="H686" s="27" t="e">
        <x:f>IF($A686="","",IF(발령대장_설정!$B$7="","",발령대장_설정!$B$7))</x:f>
        <x:v>#NAME?</x:v>
      </x:c>
      <x:c r="I686" s="27" t="e">
        <x:f>IF($A686="","",IF(발령대장_설정!$B$8="","",발령대장_설정!$B$8))</x:f>
        <x:v>#NAME?</x:v>
      </x:c>
      <x:c r="J686" s="27" t="str">
        <x:f>""</x:f>
      </x:c>
    </x:row>
    <x:row r="687" ht="42" customHeight="1">
      <x:c r="A687" s="47" t="e">
        <x:f>IF(AND(대장!A343&lt;&gt;"",ISNUMBER(대장!F343),OR(대장!G343="",AND(ISNUMBER(대장!G343),대장!G343&gt;=대장!F343))),대장!F343,"")</x:f>
        <x:v>#NAME?</x:v>
      </x:c>
      <x:c r="B687" s="27" t="e">
        <x:f>IF($A687="","",IF(발령대장_설정!$B$4="","",발령대장_설정!$B$4))</x:f>
        <x:v>#NAME?</x:v>
      </x:c>
      <x:c r="C687" s="27" t="e">
        <x:f>IF($A687="","",대장!D343)</x:f>
        <x:v>#NAME?</x:v>
      </x:c>
      <x:c r="D687" s="27" t="e">
        <x:f>IF($A687="","",대장!A343)</x:f>
        <x:v>#NAME?</x:v>
      </x:c>
      <x:c r="E687" s="27" t="e">
        <x:f>IF($A687="","",IF(대장!J343&lt;&gt;"",대장!J343,대장!D343&amp;"에 임함"&amp;IF(대장!E343="","",CHAR(10)&amp;"고용형태: "&amp;대장!E343)&amp;IF(대장!I343="","",CHAR(10)&amp;"소정근로시간: "&amp;대장!I343)&amp;CHAR(10)&amp;"근로기간: "&amp;YEAR(대장!F343)&amp;"."&amp;MONTH(대장!F343)&amp;"."&amp;DAY(대장!F343)&amp;"."&amp;" ~ "&amp;IF(ISNUMBER(대장!G343),YEAR(대장!G343)&amp;"."&amp;MONTH(대장!G343)&amp;"."&amp;DAY(대장!G343)&amp;".","재직 중")))</x:f>
        <x:v>#NAME?</x:v>
      </x:c>
      <x:c r="F687" s="27" t="e">
        <x:f>IF($A687="","",IF(발령대장_설정!$B$5="","",발령대장_설정!$B$5))</x:f>
        <x:v>#NAME?</x:v>
      </x:c>
      <x:c r="G687" s="27" t="e">
        <x:f>IF($A687="","",IF(발령대장_설정!$B$6="","",발령대장_설정!$B$6))</x:f>
        <x:v>#NAME?</x:v>
      </x:c>
      <x:c r="H687" s="27" t="e">
        <x:f>IF($A687="","",IF(발령대장_설정!$B$7="","",발령대장_설정!$B$7))</x:f>
        <x:v>#NAME?</x:v>
      </x:c>
      <x:c r="I687" s="27" t="e">
        <x:f>IF($A687="","",IF(발령대장_설정!$B$8="","",발령대장_설정!$B$8))</x:f>
        <x:v>#NAME?</x:v>
      </x:c>
      <x:c r="J687" s="27" t="e">
        <x:f>IF($A687="","",IF(대장!K343="","",대장!K343))</x:f>
        <x:v>#NAME?</x:v>
      </x:c>
    </x:row>
    <x:row r="688" ht="42" customHeight="1">
      <x:c r="A688" s="47" t="e">
        <x:f>IF(AND(대장!A343&lt;&gt;"",ISNUMBER(대장!F343),ISNUMBER(대장!G343),대장!G343&gt;=대장!F343,대장!H343&lt;&gt;""),대장!G343,"")</x:f>
        <x:v>#NAME?</x:v>
      </x:c>
      <x:c r="B688" s="27" t="e">
        <x:f>IF($A688="","",IF(발령대장_설정!$B$4="","",발령대장_설정!$B$4))</x:f>
        <x:v>#NAME?</x:v>
      </x:c>
      <x:c r="C688" s="27" t="e">
        <x:f>IF($A688="","",대장!D343)</x:f>
        <x:v>#NAME?</x:v>
      </x:c>
      <x:c r="D688" s="27" t="e">
        <x:f>IF($A688="","",대장!A343)</x:f>
        <x:v>#NAME?</x:v>
      </x:c>
      <x:c r="E688" s="27" t="e">
        <x:f>IF($A688="","",IF(OR(ISNUMBER(SEARCH("계약만료",대장!H343&amp;"")),ISNUMBER(SEARCH("기간만료",대장!H343&amp;""))),"계약기간 만료로 퇴직",IF(ISNUMBER(SEARCH("의원면직",대장!H343&amp;"")),"의원면직",IF(ISNUMBER(SEARCH("정년퇴직",대장!H343&amp;"")),"정년퇴직",대장!H343))))</x:f>
        <x:v>#NAME?</x:v>
      </x:c>
      <x:c r="F688" s="27" t="e">
        <x:f>IF($A688="","",IF(발령대장_설정!$B$5="","",발령대장_설정!$B$5))</x:f>
        <x:v>#NAME?</x:v>
      </x:c>
      <x:c r="G688" s="27" t="e">
        <x:f>IF($A688="","",IF(발령대장_설정!$B$6="","",발령대장_설정!$B$6))</x:f>
        <x:v>#NAME?</x:v>
      </x:c>
      <x:c r="H688" s="27" t="e">
        <x:f>IF($A688="","",IF(발령대장_설정!$B$7="","",발령대장_설정!$B$7))</x:f>
        <x:v>#NAME?</x:v>
      </x:c>
      <x:c r="I688" s="27" t="e">
        <x:f>IF($A688="","",IF(발령대장_설정!$B$8="","",발령대장_설정!$B$8))</x:f>
        <x:v>#NAME?</x:v>
      </x:c>
      <x:c r="J688" s="27" t="str">
        <x:f>""</x:f>
      </x:c>
    </x:row>
    <x:row r="689" ht="42" customHeight="1">
      <x:c r="A689" s="47" t="e">
        <x:f>IF(AND(대장!A344&lt;&gt;"",ISNUMBER(대장!F344),OR(대장!G344="",AND(ISNUMBER(대장!G344),대장!G344&gt;=대장!F344))),대장!F344,"")</x:f>
        <x:v>#NAME?</x:v>
      </x:c>
      <x:c r="B689" s="27" t="e">
        <x:f>IF($A689="","",IF(발령대장_설정!$B$4="","",발령대장_설정!$B$4))</x:f>
        <x:v>#NAME?</x:v>
      </x:c>
      <x:c r="C689" s="27" t="e">
        <x:f>IF($A689="","",대장!D344)</x:f>
        <x:v>#NAME?</x:v>
      </x:c>
      <x:c r="D689" s="27" t="e">
        <x:f>IF($A689="","",대장!A344)</x:f>
        <x:v>#NAME?</x:v>
      </x:c>
      <x:c r="E689" s="27" t="e">
        <x:f>IF($A689="","",IF(대장!J344&lt;&gt;"",대장!J344,대장!D344&amp;"에 임함"&amp;IF(대장!E344="","",CHAR(10)&amp;"고용형태: "&amp;대장!E344)&amp;IF(대장!I344="","",CHAR(10)&amp;"소정근로시간: "&amp;대장!I344)&amp;CHAR(10)&amp;"근로기간: "&amp;YEAR(대장!F344)&amp;"."&amp;MONTH(대장!F344)&amp;"."&amp;DAY(대장!F344)&amp;"."&amp;" ~ "&amp;IF(ISNUMBER(대장!G344),YEAR(대장!G344)&amp;"."&amp;MONTH(대장!G344)&amp;"."&amp;DAY(대장!G344)&amp;".","재직 중")))</x:f>
        <x:v>#NAME?</x:v>
      </x:c>
      <x:c r="F689" s="27" t="e">
        <x:f>IF($A689="","",IF(발령대장_설정!$B$5="","",발령대장_설정!$B$5))</x:f>
        <x:v>#NAME?</x:v>
      </x:c>
      <x:c r="G689" s="27" t="e">
        <x:f>IF($A689="","",IF(발령대장_설정!$B$6="","",발령대장_설정!$B$6))</x:f>
        <x:v>#NAME?</x:v>
      </x:c>
      <x:c r="H689" s="27" t="e">
        <x:f>IF($A689="","",IF(발령대장_설정!$B$7="","",발령대장_설정!$B$7))</x:f>
        <x:v>#NAME?</x:v>
      </x:c>
      <x:c r="I689" s="27" t="e">
        <x:f>IF($A689="","",IF(발령대장_설정!$B$8="","",발령대장_설정!$B$8))</x:f>
        <x:v>#NAME?</x:v>
      </x:c>
      <x:c r="J689" s="27" t="e">
        <x:f>IF($A689="","",IF(대장!K344="","",대장!K344))</x:f>
        <x:v>#NAME?</x:v>
      </x:c>
    </x:row>
    <x:row r="690" ht="42" customHeight="1">
      <x:c r="A690" s="47" t="e">
        <x:f>IF(AND(대장!A344&lt;&gt;"",ISNUMBER(대장!F344),ISNUMBER(대장!G344),대장!G344&gt;=대장!F344,대장!H344&lt;&gt;""),대장!G344,"")</x:f>
        <x:v>#NAME?</x:v>
      </x:c>
      <x:c r="B690" s="27" t="e">
        <x:f>IF($A690="","",IF(발령대장_설정!$B$4="","",발령대장_설정!$B$4))</x:f>
        <x:v>#NAME?</x:v>
      </x:c>
      <x:c r="C690" s="27" t="e">
        <x:f>IF($A690="","",대장!D344)</x:f>
        <x:v>#NAME?</x:v>
      </x:c>
      <x:c r="D690" s="27" t="e">
        <x:f>IF($A690="","",대장!A344)</x:f>
        <x:v>#NAME?</x:v>
      </x:c>
      <x:c r="E690" s="27" t="e">
        <x:f>IF($A690="","",IF(OR(ISNUMBER(SEARCH("계약만료",대장!H344&amp;"")),ISNUMBER(SEARCH("기간만료",대장!H344&amp;""))),"계약기간 만료로 퇴직",IF(ISNUMBER(SEARCH("의원면직",대장!H344&amp;"")),"의원면직",IF(ISNUMBER(SEARCH("정년퇴직",대장!H344&amp;"")),"정년퇴직",대장!H344))))</x:f>
        <x:v>#NAME?</x:v>
      </x:c>
      <x:c r="F690" s="27" t="e">
        <x:f>IF($A690="","",IF(발령대장_설정!$B$5="","",발령대장_설정!$B$5))</x:f>
        <x:v>#NAME?</x:v>
      </x:c>
      <x:c r="G690" s="27" t="e">
        <x:f>IF($A690="","",IF(발령대장_설정!$B$6="","",발령대장_설정!$B$6))</x:f>
        <x:v>#NAME?</x:v>
      </x:c>
      <x:c r="H690" s="27" t="e">
        <x:f>IF($A690="","",IF(발령대장_설정!$B$7="","",발령대장_설정!$B$7))</x:f>
        <x:v>#NAME?</x:v>
      </x:c>
      <x:c r="I690" s="27" t="e">
        <x:f>IF($A690="","",IF(발령대장_설정!$B$8="","",발령대장_설정!$B$8))</x:f>
        <x:v>#NAME?</x:v>
      </x:c>
      <x:c r="J690" s="27" t="str">
        <x:f>""</x:f>
      </x:c>
    </x:row>
    <x:row r="691" ht="42" customHeight="1">
      <x:c r="A691" s="47" t="e">
        <x:f>IF(AND(대장!A345&lt;&gt;"",ISNUMBER(대장!F345),OR(대장!G345="",AND(ISNUMBER(대장!G345),대장!G345&gt;=대장!F345))),대장!F345,"")</x:f>
        <x:v>#NAME?</x:v>
      </x:c>
      <x:c r="B691" s="27" t="e">
        <x:f>IF($A691="","",IF(발령대장_설정!$B$4="","",발령대장_설정!$B$4))</x:f>
        <x:v>#NAME?</x:v>
      </x:c>
      <x:c r="C691" s="27" t="e">
        <x:f>IF($A691="","",대장!D345)</x:f>
        <x:v>#NAME?</x:v>
      </x:c>
      <x:c r="D691" s="27" t="e">
        <x:f>IF($A691="","",대장!A345)</x:f>
        <x:v>#NAME?</x:v>
      </x:c>
      <x:c r="E691" s="27" t="e">
        <x:f>IF($A691="","",IF(대장!J345&lt;&gt;"",대장!J345,대장!D345&amp;"에 임함"&amp;IF(대장!E345="","",CHAR(10)&amp;"고용형태: "&amp;대장!E345)&amp;IF(대장!I345="","",CHAR(10)&amp;"소정근로시간: "&amp;대장!I345)&amp;CHAR(10)&amp;"근로기간: "&amp;YEAR(대장!F345)&amp;"."&amp;MONTH(대장!F345)&amp;"."&amp;DAY(대장!F345)&amp;"."&amp;" ~ "&amp;IF(ISNUMBER(대장!G345),YEAR(대장!G345)&amp;"."&amp;MONTH(대장!G345)&amp;"."&amp;DAY(대장!G345)&amp;".","재직 중")))</x:f>
        <x:v>#NAME?</x:v>
      </x:c>
      <x:c r="F691" s="27" t="e">
        <x:f>IF($A691="","",IF(발령대장_설정!$B$5="","",발령대장_설정!$B$5))</x:f>
        <x:v>#NAME?</x:v>
      </x:c>
      <x:c r="G691" s="27" t="e">
        <x:f>IF($A691="","",IF(발령대장_설정!$B$6="","",발령대장_설정!$B$6))</x:f>
        <x:v>#NAME?</x:v>
      </x:c>
      <x:c r="H691" s="27" t="e">
        <x:f>IF($A691="","",IF(발령대장_설정!$B$7="","",발령대장_설정!$B$7))</x:f>
        <x:v>#NAME?</x:v>
      </x:c>
      <x:c r="I691" s="27" t="e">
        <x:f>IF($A691="","",IF(발령대장_설정!$B$8="","",발령대장_설정!$B$8))</x:f>
        <x:v>#NAME?</x:v>
      </x:c>
      <x:c r="J691" s="27" t="e">
        <x:f>IF($A691="","",IF(대장!K345="","",대장!K345))</x:f>
        <x:v>#NAME?</x:v>
      </x:c>
    </x:row>
    <x:row r="692" ht="42" customHeight="1">
      <x:c r="A692" s="47" t="e">
        <x:f>IF(AND(대장!A345&lt;&gt;"",ISNUMBER(대장!F345),ISNUMBER(대장!G345),대장!G345&gt;=대장!F345,대장!H345&lt;&gt;""),대장!G345,"")</x:f>
        <x:v>#NAME?</x:v>
      </x:c>
      <x:c r="B692" s="27" t="e">
        <x:f>IF($A692="","",IF(발령대장_설정!$B$4="","",발령대장_설정!$B$4))</x:f>
        <x:v>#NAME?</x:v>
      </x:c>
      <x:c r="C692" s="27" t="e">
        <x:f>IF($A692="","",대장!D345)</x:f>
        <x:v>#NAME?</x:v>
      </x:c>
      <x:c r="D692" s="27" t="e">
        <x:f>IF($A692="","",대장!A345)</x:f>
        <x:v>#NAME?</x:v>
      </x:c>
      <x:c r="E692" s="27" t="e">
        <x:f>IF($A692="","",IF(OR(ISNUMBER(SEARCH("계약만료",대장!H345&amp;"")),ISNUMBER(SEARCH("기간만료",대장!H345&amp;""))),"계약기간 만료로 퇴직",IF(ISNUMBER(SEARCH("의원면직",대장!H345&amp;"")),"의원면직",IF(ISNUMBER(SEARCH("정년퇴직",대장!H345&amp;"")),"정년퇴직",대장!H345))))</x:f>
        <x:v>#NAME?</x:v>
      </x:c>
      <x:c r="F692" s="27" t="e">
        <x:f>IF($A692="","",IF(발령대장_설정!$B$5="","",발령대장_설정!$B$5))</x:f>
        <x:v>#NAME?</x:v>
      </x:c>
      <x:c r="G692" s="27" t="e">
        <x:f>IF($A692="","",IF(발령대장_설정!$B$6="","",발령대장_설정!$B$6))</x:f>
        <x:v>#NAME?</x:v>
      </x:c>
      <x:c r="H692" s="27" t="e">
        <x:f>IF($A692="","",IF(발령대장_설정!$B$7="","",발령대장_설정!$B$7))</x:f>
        <x:v>#NAME?</x:v>
      </x:c>
      <x:c r="I692" s="27" t="e">
        <x:f>IF($A692="","",IF(발령대장_설정!$B$8="","",발령대장_설정!$B$8))</x:f>
        <x:v>#NAME?</x:v>
      </x:c>
      <x:c r="J692" s="27" t="str">
        <x:f>""</x:f>
      </x:c>
    </x:row>
    <x:row r="693" ht="42" customHeight="1">
      <x:c r="A693" s="47" t="e">
        <x:f>IF(AND(대장!A346&lt;&gt;"",ISNUMBER(대장!F346),OR(대장!G346="",AND(ISNUMBER(대장!G346),대장!G346&gt;=대장!F346))),대장!F346,"")</x:f>
        <x:v>#NAME?</x:v>
      </x:c>
      <x:c r="B693" s="27" t="e">
        <x:f>IF($A693="","",IF(발령대장_설정!$B$4="","",발령대장_설정!$B$4))</x:f>
        <x:v>#NAME?</x:v>
      </x:c>
      <x:c r="C693" s="27" t="e">
        <x:f>IF($A693="","",대장!D346)</x:f>
        <x:v>#NAME?</x:v>
      </x:c>
      <x:c r="D693" s="27" t="e">
        <x:f>IF($A693="","",대장!A346)</x:f>
        <x:v>#NAME?</x:v>
      </x:c>
      <x:c r="E693" s="27" t="e">
        <x:f>IF($A693="","",IF(대장!J346&lt;&gt;"",대장!J346,대장!D346&amp;"에 임함"&amp;IF(대장!E346="","",CHAR(10)&amp;"고용형태: "&amp;대장!E346)&amp;IF(대장!I346="","",CHAR(10)&amp;"소정근로시간: "&amp;대장!I346)&amp;CHAR(10)&amp;"근로기간: "&amp;YEAR(대장!F346)&amp;"."&amp;MONTH(대장!F346)&amp;"."&amp;DAY(대장!F346)&amp;"."&amp;" ~ "&amp;IF(ISNUMBER(대장!G346),YEAR(대장!G346)&amp;"."&amp;MONTH(대장!G346)&amp;"."&amp;DAY(대장!G346)&amp;".","재직 중")))</x:f>
        <x:v>#NAME?</x:v>
      </x:c>
      <x:c r="F693" s="27" t="e">
        <x:f>IF($A693="","",IF(발령대장_설정!$B$5="","",발령대장_설정!$B$5))</x:f>
        <x:v>#NAME?</x:v>
      </x:c>
      <x:c r="G693" s="27" t="e">
        <x:f>IF($A693="","",IF(발령대장_설정!$B$6="","",발령대장_설정!$B$6))</x:f>
        <x:v>#NAME?</x:v>
      </x:c>
      <x:c r="H693" s="27" t="e">
        <x:f>IF($A693="","",IF(발령대장_설정!$B$7="","",발령대장_설정!$B$7))</x:f>
        <x:v>#NAME?</x:v>
      </x:c>
      <x:c r="I693" s="27" t="e">
        <x:f>IF($A693="","",IF(발령대장_설정!$B$8="","",발령대장_설정!$B$8))</x:f>
        <x:v>#NAME?</x:v>
      </x:c>
      <x:c r="J693" s="27" t="e">
        <x:f>IF($A693="","",IF(대장!K346="","",대장!K346))</x:f>
        <x:v>#NAME?</x:v>
      </x:c>
    </x:row>
    <x:row r="694" ht="42" customHeight="1">
      <x:c r="A694" s="47" t="e">
        <x:f>IF(AND(대장!A346&lt;&gt;"",ISNUMBER(대장!F346),ISNUMBER(대장!G346),대장!G346&gt;=대장!F346,대장!H346&lt;&gt;""),대장!G346,"")</x:f>
        <x:v>#NAME?</x:v>
      </x:c>
      <x:c r="B694" s="27" t="e">
        <x:f>IF($A694="","",IF(발령대장_설정!$B$4="","",발령대장_설정!$B$4))</x:f>
        <x:v>#NAME?</x:v>
      </x:c>
      <x:c r="C694" s="27" t="e">
        <x:f>IF($A694="","",대장!D346)</x:f>
        <x:v>#NAME?</x:v>
      </x:c>
      <x:c r="D694" s="27" t="e">
        <x:f>IF($A694="","",대장!A346)</x:f>
        <x:v>#NAME?</x:v>
      </x:c>
      <x:c r="E694" s="27" t="e">
        <x:f>IF($A694="","",IF(OR(ISNUMBER(SEARCH("계약만료",대장!H346&amp;"")),ISNUMBER(SEARCH("기간만료",대장!H346&amp;""))),"계약기간 만료로 퇴직",IF(ISNUMBER(SEARCH("의원면직",대장!H346&amp;"")),"의원면직",IF(ISNUMBER(SEARCH("정년퇴직",대장!H346&amp;"")),"정년퇴직",대장!H346))))</x:f>
        <x:v>#NAME?</x:v>
      </x:c>
      <x:c r="F694" s="27" t="e">
        <x:f>IF($A694="","",IF(발령대장_설정!$B$5="","",발령대장_설정!$B$5))</x:f>
        <x:v>#NAME?</x:v>
      </x:c>
      <x:c r="G694" s="27" t="e">
        <x:f>IF($A694="","",IF(발령대장_설정!$B$6="","",발령대장_설정!$B$6))</x:f>
        <x:v>#NAME?</x:v>
      </x:c>
      <x:c r="H694" s="27" t="e">
        <x:f>IF($A694="","",IF(발령대장_설정!$B$7="","",발령대장_설정!$B$7))</x:f>
        <x:v>#NAME?</x:v>
      </x:c>
      <x:c r="I694" s="27" t="e">
        <x:f>IF($A694="","",IF(발령대장_설정!$B$8="","",발령대장_설정!$B$8))</x:f>
        <x:v>#NAME?</x:v>
      </x:c>
      <x:c r="J694" s="27" t="str">
        <x:f>""</x:f>
      </x:c>
    </x:row>
    <x:row r="695" ht="42" customHeight="1">
      <x:c r="A695" s="47" t="e">
        <x:f>IF(AND(대장!A347&lt;&gt;"",ISNUMBER(대장!F347),OR(대장!G347="",AND(ISNUMBER(대장!G347),대장!G347&gt;=대장!F347))),대장!F347,"")</x:f>
        <x:v>#NAME?</x:v>
      </x:c>
      <x:c r="B695" s="27" t="e">
        <x:f>IF($A695="","",IF(발령대장_설정!$B$4="","",발령대장_설정!$B$4))</x:f>
        <x:v>#NAME?</x:v>
      </x:c>
      <x:c r="C695" s="27" t="e">
        <x:f>IF($A695="","",대장!D347)</x:f>
        <x:v>#NAME?</x:v>
      </x:c>
      <x:c r="D695" s="27" t="e">
        <x:f>IF($A695="","",대장!A347)</x:f>
        <x:v>#NAME?</x:v>
      </x:c>
      <x:c r="E695" s="27" t="e">
        <x:f>IF($A695="","",IF(대장!J347&lt;&gt;"",대장!J347,대장!D347&amp;"에 임함"&amp;IF(대장!E347="","",CHAR(10)&amp;"고용형태: "&amp;대장!E347)&amp;IF(대장!I347="","",CHAR(10)&amp;"소정근로시간: "&amp;대장!I347)&amp;CHAR(10)&amp;"근로기간: "&amp;YEAR(대장!F347)&amp;"."&amp;MONTH(대장!F347)&amp;"."&amp;DAY(대장!F347)&amp;"."&amp;" ~ "&amp;IF(ISNUMBER(대장!G347),YEAR(대장!G347)&amp;"."&amp;MONTH(대장!G347)&amp;"."&amp;DAY(대장!G347)&amp;".","재직 중")))</x:f>
        <x:v>#NAME?</x:v>
      </x:c>
      <x:c r="F695" s="27" t="e">
        <x:f>IF($A695="","",IF(발령대장_설정!$B$5="","",발령대장_설정!$B$5))</x:f>
        <x:v>#NAME?</x:v>
      </x:c>
      <x:c r="G695" s="27" t="e">
        <x:f>IF($A695="","",IF(발령대장_설정!$B$6="","",발령대장_설정!$B$6))</x:f>
        <x:v>#NAME?</x:v>
      </x:c>
      <x:c r="H695" s="27" t="e">
        <x:f>IF($A695="","",IF(발령대장_설정!$B$7="","",발령대장_설정!$B$7))</x:f>
        <x:v>#NAME?</x:v>
      </x:c>
      <x:c r="I695" s="27" t="e">
        <x:f>IF($A695="","",IF(발령대장_설정!$B$8="","",발령대장_설정!$B$8))</x:f>
        <x:v>#NAME?</x:v>
      </x:c>
      <x:c r="J695" s="27" t="e">
        <x:f>IF($A695="","",IF(대장!K347="","",대장!K347))</x:f>
        <x:v>#NAME?</x:v>
      </x:c>
    </x:row>
    <x:row r="696" ht="42" customHeight="1">
      <x:c r="A696" s="47" t="e">
        <x:f>IF(AND(대장!A347&lt;&gt;"",ISNUMBER(대장!F347),ISNUMBER(대장!G347),대장!G347&gt;=대장!F347,대장!H347&lt;&gt;""),대장!G347,"")</x:f>
        <x:v>#NAME?</x:v>
      </x:c>
      <x:c r="B696" s="27" t="e">
        <x:f>IF($A696="","",IF(발령대장_설정!$B$4="","",발령대장_설정!$B$4))</x:f>
        <x:v>#NAME?</x:v>
      </x:c>
      <x:c r="C696" s="27" t="e">
        <x:f>IF($A696="","",대장!D347)</x:f>
        <x:v>#NAME?</x:v>
      </x:c>
      <x:c r="D696" s="27" t="e">
        <x:f>IF($A696="","",대장!A347)</x:f>
        <x:v>#NAME?</x:v>
      </x:c>
      <x:c r="E696" s="27" t="e">
        <x:f>IF($A696="","",IF(OR(ISNUMBER(SEARCH("계약만료",대장!H347&amp;"")),ISNUMBER(SEARCH("기간만료",대장!H347&amp;""))),"계약기간 만료로 퇴직",IF(ISNUMBER(SEARCH("의원면직",대장!H347&amp;"")),"의원면직",IF(ISNUMBER(SEARCH("정년퇴직",대장!H347&amp;"")),"정년퇴직",대장!H347))))</x:f>
        <x:v>#NAME?</x:v>
      </x:c>
      <x:c r="F696" s="27" t="e">
        <x:f>IF($A696="","",IF(발령대장_설정!$B$5="","",발령대장_설정!$B$5))</x:f>
        <x:v>#NAME?</x:v>
      </x:c>
      <x:c r="G696" s="27" t="e">
        <x:f>IF($A696="","",IF(발령대장_설정!$B$6="","",발령대장_설정!$B$6))</x:f>
        <x:v>#NAME?</x:v>
      </x:c>
      <x:c r="H696" s="27" t="e">
        <x:f>IF($A696="","",IF(발령대장_설정!$B$7="","",발령대장_설정!$B$7))</x:f>
        <x:v>#NAME?</x:v>
      </x:c>
      <x:c r="I696" s="27" t="e">
        <x:f>IF($A696="","",IF(발령대장_설정!$B$8="","",발령대장_설정!$B$8))</x:f>
        <x:v>#NAME?</x:v>
      </x:c>
      <x:c r="J696" s="27" t="str">
        <x:f>""</x:f>
      </x:c>
    </x:row>
    <x:row r="697" ht="42" customHeight="1">
      <x:c r="A697" s="47" t="e">
        <x:f>IF(AND(대장!A348&lt;&gt;"",ISNUMBER(대장!F348),OR(대장!G348="",AND(ISNUMBER(대장!G348),대장!G348&gt;=대장!F348))),대장!F348,"")</x:f>
        <x:v>#NAME?</x:v>
      </x:c>
      <x:c r="B697" s="27" t="e">
        <x:f>IF($A697="","",IF(발령대장_설정!$B$4="","",발령대장_설정!$B$4))</x:f>
        <x:v>#NAME?</x:v>
      </x:c>
      <x:c r="C697" s="27" t="e">
        <x:f>IF($A697="","",대장!D348)</x:f>
        <x:v>#NAME?</x:v>
      </x:c>
      <x:c r="D697" s="27" t="e">
        <x:f>IF($A697="","",대장!A348)</x:f>
        <x:v>#NAME?</x:v>
      </x:c>
      <x:c r="E697" s="27" t="e">
        <x:f>IF($A697="","",IF(대장!J348&lt;&gt;"",대장!J348,대장!D348&amp;"에 임함"&amp;IF(대장!E348="","",CHAR(10)&amp;"고용형태: "&amp;대장!E348)&amp;IF(대장!I348="","",CHAR(10)&amp;"소정근로시간: "&amp;대장!I348)&amp;CHAR(10)&amp;"근로기간: "&amp;YEAR(대장!F348)&amp;"."&amp;MONTH(대장!F348)&amp;"."&amp;DAY(대장!F348)&amp;"."&amp;" ~ "&amp;IF(ISNUMBER(대장!G348),YEAR(대장!G348)&amp;"."&amp;MONTH(대장!G348)&amp;"."&amp;DAY(대장!G348)&amp;".","재직 중")))</x:f>
        <x:v>#NAME?</x:v>
      </x:c>
      <x:c r="F697" s="27" t="e">
        <x:f>IF($A697="","",IF(발령대장_설정!$B$5="","",발령대장_설정!$B$5))</x:f>
        <x:v>#NAME?</x:v>
      </x:c>
      <x:c r="G697" s="27" t="e">
        <x:f>IF($A697="","",IF(발령대장_설정!$B$6="","",발령대장_설정!$B$6))</x:f>
        <x:v>#NAME?</x:v>
      </x:c>
      <x:c r="H697" s="27" t="e">
        <x:f>IF($A697="","",IF(발령대장_설정!$B$7="","",발령대장_설정!$B$7))</x:f>
        <x:v>#NAME?</x:v>
      </x:c>
      <x:c r="I697" s="27" t="e">
        <x:f>IF($A697="","",IF(발령대장_설정!$B$8="","",발령대장_설정!$B$8))</x:f>
        <x:v>#NAME?</x:v>
      </x:c>
      <x:c r="J697" s="27" t="e">
        <x:f>IF($A697="","",IF(대장!K348="","",대장!K348))</x:f>
        <x:v>#NAME?</x:v>
      </x:c>
    </x:row>
    <x:row r="698" ht="42" customHeight="1">
      <x:c r="A698" s="47" t="e">
        <x:f>IF(AND(대장!A348&lt;&gt;"",ISNUMBER(대장!F348),ISNUMBER(대장!G348),대장!G348&gt;=대장!F348,대장!H348&lt;&gt;""),대장!G348,"")</x:f>
        <x:v>#NAME?</x:v>
      </x:c>
      <x:c r="B698" s="27" t="e">
        <x:f>IF($A698="","",IF(발령대장_설정!$B$4="","",발령대장_설정!$B$4))</x:f>
        <x:v>#NAME?</x:v>
      </x:c>
      <x:c r="C698" s="27" t="e">
        <x:f>IF($A698="","",대장!D348)</x:f>
        <x:v>#NAME?</x:v>
      </x:c>
      <x:c r="D698" s="27" t="e">
        <x:f>IF($A698="","",대장!A348)</x:f>
        <x:v>#NAME?</x:v>
      </x:c>
      <x:c r="E698" s="27" t="e">
        <x:f>IF($A698="","",IF(OR(ISNUMBER(SEARCH("계약만료",대장!H348&amp;"")),ISNUMBER(SEARCH("기간만료",대장!H348&amp;""))),"계약기간 만료로 퇴직",IF(ISNUMBER(SEARCH("의원면직",대장!H348&amp;"")),"의원면직",IF(ISNUMBER(SEARCH("정년퇴직",대장!H348&amp;"")),"정년퇴직",대장!H348))))</x:f>
        <x:v>#NAME?</x:v>
      </x:c>
      <x:c r="F698" s="27" t="e">
        <x:f>IF($A698="","",IF(발령대장_설정!$B$5="","",발령대장_설정!$B$5))</x:f>
        <x:v>#NAME?</x:v>
      </x:c>
      <x:c r="G698" s="27" t="e">
        <x:f>IF($A698="","",IF(발령대장_설정!$B$6="","",발령대장_설정!$B$6))</x:f>
        <x:v>#NAME?</x:v>
      </x:c>
      <x:c r="H698" s="27" t="e">
        <x:f>IF($A698="","",IF(발령대장_설정!$B$7="","",발령대장_설정!$B$7))</x:f>
        <x:v>#NAME?</x:v>
      </x:c>
      <x:c r="I698" s="27" t="e">
        <x:f>IF($A698="","",IF(발령대장_설정!$B$8="","",발령대장_설정!$B$8))</x:f>
        <x:v>#NAME?</x:v>
      </x:c>
      <x:c r="J698" s="27" t="str">
        <x:f>""</x:f>
      </x:c>
    </x:row>
    <x:row r="699" ht="42" customHeight="1">
      <x:c r="A699" s="47" t="e">
        <x:f>IF(AND(대장!A349&lt;&gt;"",ISNUMBER(대장!F349),OR(대장!G349="",AND(ISNUMBER(대장!G349),대장!G349&gt;=대장!F349))),대장!F349,"")</x:f>
        <x:v>#NAME?</x:v>
      </x:c>
      <x:c r="B699" s="27" t="e">
        <x:f>IF($A699="","",IF(발령대장_설정!$B$4="","",발령대장_설정!$B$4))</x:f>
        <x:v>#NAME?</x:v>
      </x:c>
      <x:c r="C699" s="27" t="e">
        <x:f>IF($A699="","",대장!D349)</x:f>
        <x:v>#NAME?</x:v>
      </x:c>
      <x:c r="D699" s="27" t="e">
        <x:f>IF($A699="","",대장!A349)</x:f>
        <x:v>#NAME?</x:v>
      </x:c>
      <x:c r="E699" s="27" t="e">
        <x:f>IF($A699="","",IF(대장!J349&lt;&gt;"",대장!J349,대장!D349&amp;"에 임함"&amp;IF(대장!E349="","",CHAR(10)&amp;"고용형태: "&amp;대장!E349)&amp;IF(대장!I349="","",CHAR(10)&amp;"소정근로시간: "&amp;대장!I349)&amp;CHAR(10)&amp;"근로기간: "&amp;YEAR(대장!F349)&amp;"."&amp;MONTH(대장!F349)&amp;"."&amp;DAY(대장!F349)&amp;"."&amp;" ~ "&amp;IF(ISNUMBER(대장!G349),YEAR(대장!G349)&amp;"."&amp;MONTH(대장!G349)&amp;"."&amp;DAY(대장!G349)&amp;".","재직 중")))</x:f>
        <x:v>#NAME?</x:v>
      </x:c>
      <x:c r="F699" s="27" t="e">
        <x:f>IF($A699="","",IF(발령대장_설정!$B$5="","",발령대장_설정!$B$5))</x:f>
        <x:v>#NAME?</x:v>
      </x:c>
      <x:c r="G699" s="27" t="e">
        <x:f>IF($A699="","",IF(발령대장_설정!$B$6="","",발령대장_설정!$B$6))</x:f>
        <x:v>#NAME?</x:v>
      </x:c>
      <x:c r="H699" s="27" t="e">
        <x:f>IF($A699="","",IF(발령대장_설정!$B$7="","",발령대장_설정!$B$7))</x:f>
        <x:v>#NAME?</x:v>
      </x:c>
      <x:c r="I699" s="27" t="e">
        <x:f>IF($A699="","",IF(발령대장_설정!$B$8="","",발령대장_설정!$B$8))</x:f>
        <x:v>#NAME?</x:v>
      </x:c>
      <x:c r="J699" s="27" t="e">
        <x:f>IF($A699="","",IF(대장!K349="","",대장!K349))</x:f>
        <x:v>#NAME?</x:v>
      </x:c>
    </x:row>
    <x:row r="700" ht="42" customHeight="1">
      <x:c r="A700" s="47" t="e">
        <x:f>IF(AND(대장!A349&lt;&gt;"",ISNUMBER(대장!F349),ISNUMBER(대장!G349),대장!G349&gt;=대장!F349,대장!H349&lt;&gt;""),대장!G349,"")</x:f>
        <x:v>#NAME?</x:v>
      </x:c>
      <x:c r="B700" s="27" t="e">
        <x:f>IF($A700="","",IF(발령대장_설정!$B$4="","",발령대장_설정!$B$4))</x:f>
        <x:v>#NAME?</x:v>
      </x:c>
      <x:c r="C700" s="27" t="e">
        <x:f>IF($A700="","",대장!D349)</x:f>
        <x:v>#NAME?</x:v>
      </x:c>
      <x:c r="D700" s="27" t="e">
        <x:f>IF($A700="","",대장!A349)</x:f>
        <x:v>#NAME?</x:v>
      </x:c>
      <x:c r="E700" s="27" t="e">
        <x:f>IF($A700="","",IF(OR(ISNUMBER(SEARCH("계약만료",대장!H349&amp;"")),ISNUMBER(SEARCH("기간만료",대장!H349&amp;""))),"계약기간 만료로 퇴직",IF(ISNUMBER(SEARCH("의원면직",대장!H349&amp;"")),"의원면직",IF(ISNUMBER(SEARCH("정년퇴직",대장!H349&amp;"")),"정년퇴직",대장!H349))))</x:f>
        <x:v>#NAME?</x:v>
      </x:c>
      <x:c r="F700" s="27" t="e">
        <x:f>IF($A700="","",IF(발령대장_설정!$B$5="","",발령대장_설정!$B$5))</x:f>
        <x:v>#NAME?</x:v>
      </x:c>
      <x:c r="G700" s="27" t="e">
        <x:f>IF($A700="","",IF(발령대장_설정!$B$6="","",발령대장_설정!$B$6))</x:f>
        <x:v>#NAME?</x:v>
      </x:c>
      <x:c r="H700" s="27" t="e">
        <x:f>IF($A700="","",IF(발령대장_설정!$B$7="","",발령대장_설정!$B$7))</x:f>
        <x:v>#NAME?</x:v>
      </x:c>
      <x:c r="I700" s="27" t="e">
        <x:f>IF($A700="","",IF(발령대장_설정!$B$8="","",발령대장_설정!$B$8))</x:f>
        <x:v>#NAME?</x:v>
      </x:c>
      <x:c r="J700" s="27" t="str">
        <x:f>""</x:f>
      </x:c>
    </x:row>
    <x:row r="701" ht="42" customHeight="1">
      <x:c r="A701" s="47" t="e">
        <x:f>IF(AND(대장!A350&lt;&gt;"",ISNUMBER(대장!F350),OR(대장!G350="",AND(ISNUMBER(대장!G350),대장!G350&gt;=대장!F350))),대장!F350,"")</x:f>
        <x:v>#NAME?</x:v>
      </x:c>
      <x:c r="B701" s="27" t="e">
        <x:f>IF($A701="","",IF(발령대장_설정!$B$4="","",발령대장_설정!$B$4))</x:f>
        <x:v>#NAME?</x:v>
      </x:c>
      <x:c r="C701" s="27" t="e">
        <x:f>IF($A701="","",대장!D350)</x:f>
        <x:v>#NAME?</x:v>
      </x:c>
      <x:c r="D701" s="27" t="e">
        <x:f>IF($A701="","",대장!A350)</x:f>
        <x:v>#NAME?</x:v>
      </x:c>
      <x:c r="E701" s="27" t="e">
        <x:f>IF($A701="","",IF(대장!J350&lt;&gt;"",대장!J350,대장!D350&amp;"에 임함"&amp;IF(대장!E350="","",CHAR(10)&amp;"고용형태: "&amp;대장!E350)&amp;IF(대장!I350="","",CHAR(10)&amp;"소정근로시간: "&amp;대장!I350)&amp;CHAR(10)&amp;"근로기간: "&amp;YEAR(대장!F350)&amp;"."&amp;MONTH(대장!F350)&amp;"."&amp;DAY(대장!F350)&amp;"."&amp;" ~ "&amp;IF(ISNUMBER(대장!G350),YEAR(대장!G350)&amp;"."&amp;MONTH(대장!G350)&amp;"."&amp;DAY(대장!G350)&amp;".","재직 중")))</x:f>
        <x:v>#NAME?</x:v>
      </x:c>
      <x:c r="F701" s="27" t="e">
        <x:f>IF($A701="","",IF(발령대장_설정!$B$5="","",발령대장_설정!$B$5))</x:f>
        <x:v>#NAME?</x:v>
      </x:c>
      <x:c r="G701" s="27" t="e">
        <x:f>IF($A701="","",IF(발령대장_설정!$B$6="","",발령대장_설정!$B$6))</x:f>
        <x:v>#NAME?</x:v>
      </x:c>
      <x:c r="H701" s="27" t="e">
        <x:f>IF($A701="","",IF(발령대장_설정!$B$7="","",발령대장_설정!$B$7))</x:f>
        <x:v>#NAME?</x:v>
      </x:c>
      <x:c r="I701" s="27" t="e">
        <x:f>IF($A701="","",IF(발령대장_설정!$B$8="","",발령대장_설정!$B$8))</x:f>
        <x:v>#NAME?</x:v>
      </x:c>
      <x:c r="J701" s="27" t="e">
        <x:f>IF($A701="","",IF(대장!K350="","",대장!K350))</x:f>
        <x:v>#NAME?</x:v>
      </x:c>
    </x:row>
    <x:row r="702" ht="42" customHeight="1">
      <x:c r="A702" s="47" t="e">
        <x:f>IF(AND(대장!A350&lt;&gt;"",ISNUMBER(대장!F350),ISNUMBER(대장!G350),대장!G350&gt;=대장!F350,대장!H350&lt;&gt;""),대장!G350,"")</x:f>
        <x:v>#NAME?</x:v>
      </x:c>
      <x:c r="B702" s="27" t="e">
        <x:f>IF($A702="","",IF(발령대장_설정!$B$4="","",발령대장_설정!$B$4))</x:f>
        <x:v>#NAME?</x:v>
      </x:c>
      <x:c r="C702" s="27" t="e">
        <x:f>IF($A702="","",대장!D350)</x:f>
        <x:v>#NAME?</x:v>
      </x:c>
      <x:c r="D702" s="27" t="e">
        <x:f>IF($A702="","",대장!A350)</x:f>
        <x:v>#NAME?</x:v>
      </x:c>
      <x:c r="E702" s="27" t="e">
        <x:f>IF($A702="","",IF(OR(ISNUMBER(SEARCH("계약만료",대장!H350&amp;"")),ISNUMBER(SEARCH("기간만료",대장!H350&amp;""))),"계약기간 만료로 퇴직",IF(ISNUMBER(SEARCH("의원면직",대장!H350&amp;"")),"의원면직",IF(ISNUMBER(SEARCH("정년퇴직",대장!H350&amp;"")),"정년퇴직",대장!H350))))</x:f>
        <x:v>#NAME?</x:v>
      </x:c>
      <x:c r="F702" s="27" t="e">
        <x:f>IF($A702="","",IF(발령대장_설정!$B$5="","",발령대장_설정!$B$5))</x:f>
        <x:v>#NAME?</x:v>
      </x:c>
      <x:c r="G702" s="27" t="e">
        <x:f>IF($A702="","",IF(발령대장_설정!$B$6="","",발령대장_설정!$B$6))</x:f>
        <x:v>#NAME?</x:v>
      </x:c>
      <x:c r="H702" s="27" t="e">
        <x:f>IF($A702="","",IF(발령대장_설정!$B$7="","",발령대장_설정!$B$7))</x:f>
        <x:v>#NAME?</x:v>
      </x:c>
      <x:c r="I702" s="27" t="e">
        <x:f>IF($A702="","",IF(발령대장_설정!$B$8="","",발령대장_설정!$B$8))</x:f>
        <x:v>#NAME?</x:v>
      </x:c>
      <x:c r="J702" s="27" t="str">
        <x:f>""</x:f>
      </x:c>
    </x:row>
    <x:row r="703" ht="42" customHeight="1">
      <x:c r="A703" s="47" t="e">
        <x:f>IF(AND(대장!A351&lt;&gt;"",ISNUMBER(대장!F351),OR(대장!G351="",AND(ISNUMBER(대장!G351),대장!G351&gt;=대장!F351))),대장!F351,"")</x:f>
        <x:v>#NAME?</x:v>
      </x:c>
      <x:c r="B703" s="27" t="e">
        <x:f>IF($A703="","",IF(발령대장_설정!$B$4="","",발령대장_설정!$B$4))</x:f>
        <x:v>#NAME?</x:v>
      </x:c>
      <x:c r="C703" s="27" t="e">
        <x:f>IF($A703="","",대장!D351)</x:f>
        <x:v>#NAME?</x:v>
      </x:c>
      <x:c r="D703" s="27" t="e">
        <x:f>IF($A703="","",대장!A351)</x:f>
        <x:v>#NAME?</x:v>
      </x:c>
      <x:c r="E703" s="27" t="e">
        <x:f>IF($A703="","",IF(대장!J351&lt;&gt;"",대장!J351,대장!D351&amp;"에 임함"&amp;IF(대장!E351="","",CHAR(10)&amp;"고용형태: "&amp;대장!E351)&amp;IF(대장!I351="","",CHAR(10)&amp;"소정근로시간: "&amp;대장!I351)&amp;CHAR(10)&amp;"근로기간: "&amp;YEAR(대장!F351)&amp;"."&amp;MONTH(대장!F351)&amp;"."&amp;DAY(대장!F351)&amp;"."&amp;" ~ "&amp;IF(ISNUMBER(대장!G351),YEAR(대장!G351)&amp;"."&amp;MONTH(대장!G351)&amp;"."&amp;DAY(대장!G351)&amp;".","재직 중")))</x:f>
        <x:v>#NAME?</x:v>
      </x:c>
      <x:c r="F703" s="27" t="e">
        <x:f>IF($A703="","",IF(발령대장_설정!$B$5="","",발령대장_설정!$B$5))</x:f>
        <x:v>#NAME?</x:v>
      </x:c>
      <x:c r="G703" s="27" t="e">
        <x:f>IF($A703="","",IF(발령대장_설정!$B$6="","",발령대장_설정!$B$6))</x:f>
        <x:v>#NAME?</x:v>
      </x:c>
      <x:c r="H703" s="27" t="e">
        <x:f>IF($A703="","",IF(발령대장_설정!$B$7="","",발령대장_설정!$B$7))</x:f>
        <x:v>#NAME?</x:v>
      </x:c>
      <x:c r="I703" s="27" t="e">
        <x:f>IF($A703="","",IF(발령대장_설정!$B$8="","",발령대장_설정!$B$8))</x:f>
        <x:v>#NAME?</x:v>
      </x:c>
      <x:c r="J703" s="27" t="e">
        <x:f>IF($A703="","",IF(대장!K351="","",대장!K351))</x:f>
        <x:v>#NAME?</x:v>
      </x:c>
    </x:row>
    <x:row r="704" ht="42" customHeight="1">
      <x:c r="A704" s="47" t="e">
        <x:f>IF(AND(대장!A351&lt;&gt;"",ISNUMBER(대장!F351),ISNUMBER(대장!G351),대장!G351&gt;=대장!F351,대장!H351&lt;&gt;""),대장!G351,"")</x:f>
        <x:v>#NAME?</x:v>
      </x:c>
      <x:c r="B704" s="27" t="e">
        <x:f>IF($A704="","",IF(발령대장_설정!$B$4="","",발령대장_설정!$B$4))</x:f>
        <x:v>#NAME?</x:v>
      </x:c>
      <x:c r="C704" s="27" t="e">
        <x:f>IF($A704="","",대장!D351)</x:f>
        <x:v>#NAME?</x:v>
      </x:c>
      <x:c r="D704" s="27" t="e">
        <x:f>IF($A704="","",대장!A351)</x:f>
        <x:v>#NAME?</x:v>
      </x:c>
      <x:c r="E704" s="27" t="e">
        <x:f>IF($A704="","",IF(OR(ISNUMBER(SEARCH("계약만료",대장!H351&amp;"")),ISNUMBER(SEARCH("기간만료",대장!H351&amp;""))),"계약기간 만료로 퇴직",IF(ISNUMBER(SEARCH("의원면직",대장!H351&amp;"")),"의원면직",IF(ISNUMBER(SEARCH("정년퇴직",대장!H351&amp;"")),"정년퇴직",대장!H351))))</x:f>
        <x:v>#NAME?</x:v>
      </x:c>
      <x:c r="F704" s="27" t="e">
        <x:f>IF($A704="","",IF(발령대장_설정!$B$5="","",발령대장_설정!$B$5))</x:f>
        <x:v>#NAME?</x:v>
      </x:c>
      <x:c r="G704" s="27" t="e">
        <x:f>IF($A704="","",IF(발령대장_설정!$B$6="","",발령대장_설정!$B$6))</x:f>
        <x:v>#NAME?</x:v>
      </x:c>
      <x:c r="H704" s="27" t="e">
        <x:f>IF($A704="","",IF(발령대장_설정!$B$7="","",발령대장_설정!$B$7))</x:f>
        <x:v>#NAME?</x:v>
      </x:c>
      <x:c r="I704" s="27" t="e">
        <x:f>IF($A704="","",IF(발령대장_설정!$B$8="","",발령대장_설정!$B$8))</x:f>
        <x:v>#NAME?</x:v>
      </x:c>
      <x:c r="J704" s="27" t="str">
        <x:f>""</x:f>
      </x:c>
    </x:row>
    <x:row r="705" ht="42" customHeight="1">
      <x:c r="A705" s="47" t="e">
        <x:f>IF(AND(대장!A352&lt;&gt;"",ISNUMBER(대장!F352),OR(대장!G352="",AND(ISNUMBER(대장!G352),대장!G352&gt;=대장!F352))),대장!F352,"")</x:f>
        <x:v>#NAME?</x:v>
      </x:c>
      <x:c r="B705" s="27" t="e">
        <x:f>IF($A705="","",IF(발령대장_설정!$B$4="","",발령대장_설정!$B$4))</x:f>
        <x:v>#NAME?</x:v>
      </x:c>
      <x:c r="C705" s="27" t="e">
        <x:f>IF($A705="","",대장!D352)</x:f>
        <x:v>#NAME?</x:v>
      </x:c>
      <x:c r="D705" s="27" t="e">
        <x:f>IF($A705="","",대장!A352)</x:f>
        <x:v>#NAME?</x:v>
      </x:c>
      <x:c r="E705" s="27" t="e">
        <x:f>IF($A705="","",IF(대장!J352&lt;&gt;"",대장!J352,대장!D352&amp;"에 임함"&amp;IF(대장!E352="","",CHAR(10)&amp;"고용형태: "&amp;대장!E352)&amp;IF(대장!I352="","",CHAR(10)&amp;"소정근로시간: "&amp;대장!I352)&amp;CHAR(10)&amp;"근로기간: "&amp;YEAR(대장!F352)&amp;"."&amp;MONTH(대장!F352)&amp;"."&amp;DAY(대장!F352)&amp;"."&amp;" ~ "&amp;IF(ISNUMBER(대장!G352),YEAR(대장!G352)&amp;"."&amp;MONTH(대장!G352)&amp;"."&amp;DAY(대장!G352)&amp;".","재직 중")))</x:f>
        <x:v>#NAME?</x:v>
      </x:c>
      <x:c r="F705" s="27" t="e">
        <x:f>IF($A705="","",IF(발령대장_설정!$B$5="","",발령대장_설정!$B$5))</x:f>
        <x:v>#NAME?</x:v>
      </x:c>
      <x:c r="G705" s="27" t="e">
        <x:f>IF($A705="","",IF(발령대장_설정!$B$6="","",발령대장_설정!$B$6))</x:f>
        <x:v>#NAME?</x:v>
      </x:c>
      <x:c r="H705" s="27" t="e">
        <x:f>IF($A705="","",IF(발령대장_설정!$B$7="","",발령대장_설정!$B$7))</x:f>
        <x:v>#NAME?</x:v>
      </x:c>
      <x:c r="I705" s="27" t="e">
        <x:f>IF($A705="","",IF(발령대장_설정!$B$8="","",발령대장_설정!$B$8))</x:f>
        <x:v>#NAME?</x:v>
      </x:c>
      <x:c r="J705" s="27" t="e">
        <x:f>IF($A705="","",IF(대장!K352="","",대장!K352))</x:f>
        <x:v>#NAME?</x:v>
      </x:c>
    </x:row>
    <x:row r="706" ht="42" customHeight="1">
      <x:c r="A706" s="47" t="e">
        <x:f>IF(AND(대장!A352&lt;&gt;"",ISNUMBER(대장!F352),ISNUMBER(대장!G352),대장!G352&gt;=대장!F352,대장!H352&lt;&gt;""),대장!G352,"")</x:f>
        <x:v>#NAME?</x:v>
      </x:c>
      <x:c r="B706" s="27" t="e">
        <x:f>IF($A706="","",IF(발령대장_설정!$B$4="","",발령대장_설정!$B$4))</x:f>
        <x:v>#NAME?</x:v>
      </x:c>
      <x:c r="C706" s="27" t="e">
        <x:f>IF($A706="","",대장!D352)</x:f>
        <x:v>#NAME?</x:v>
      </x:c>
      <x:c r="D706" s="27" t="e">
        <x:f>IF($A706="","",대장!A352)</x:f>
        <x:v>#NAME?</x:v>
      </x:c>
      <x:c r="E706" s="27" t="e">
        <x:f>IF($A706="","",IF(OR(ISNUMBER(SEARCH("계약만료",대장!H352&amp;"")),ISNUMBER(SEARCH("기간만료",대장!H352&amp;""))),"계약기간 만료로 퇴직",IF(ISNUMBER(SEARCH("의원면직",대장!H352&amp;"")),"의원면직",IF(ISNUMBER(SEARCH("정년퇴직",대장!H352&amp;"")),"정년퇴직",대장!H352))))</x:f>
        <x:v>#NAME?</x:v>
      </x:c>
      <x:c r="F706" s="27" t="e">
        <x:f>IF($A706="","",IF(발령대장_설정!$B$5="","",발령대장_설정!$B$5))</x:f>
        <x:v>#NAME?</x:v>
      </x:c>
      <x:c r="G706" s="27" t="e">
        <x:f>IF($A706="","",IF(발령대장_설정!$B$6="","",발령대장_설정!$B$6))</x:f>
        <x:v>#NAME?</x:v>
      </x:c>
      <x:c r="H706" s="27" t="e">
        <x:f>IF($A706="","",IF(발령대장_설정!$B$7="","",발령대장_설정!$B$7))</x:f>
        <x:v>#NAME?</x:v>
      </x:c>
      <x:c r="I706" s="27" t="e">
        <x:f>IF($A706="","",IF(발령대장_설정!$B$8="","",발령대장_설정!$B$8))</x:f>
        <x:v>#NAME?</x:v>
      </x:c>
      <x:c r="J706" s="27" t="str">
        <x:f>""</x:f>
      </x:c>
    </x:row>
    <x:row r="707" ht="42" customHeight="1">
      <x:c r="A707" s="47" t="e">
        <x:f>IF(AND(대장!A353&lt;&gt;"",ISNUMBER(대장!F353),OR(대장!G353="",AND(ISNUMBER(대장!G353),대장!G353&gt;=대장!F353))),대장!F353,"")</x:f>
        <x:v>#NAME?</x:v>
      </x:c>
      <x:c r="B707" s="27" t="e">
        <x:f>IF($A707="","",IF(발령대장_설정!$B$4="","",발령대장_설정!$B$4))</x:f>
        <x:v>#NAME?</x:v>
      </x:c>
      <x:c r="C707" s="27" t="e">
        <x:f>IF($A707="","",대장!D353)</x:f>
        <x:v>#NAME?</x:v>
      </x:c>
      <x:c r="D707" s="27" t="e">
        <x:f>IF($A707="","",대장!A353)</x:f>
        <x:v>#NAME?</x:v>
      </x:c>
      <x:c r="E707" s="27" t="e">
        <x:f>IF($A707="","",IF(대장!J353&lt;&gt;"",대장!J353,대장!D353&amp;"에 임함"&amp;IF(대장!E353="","",CHAR(10)&amp;"고용형태: "&amp;대장!E353)&amp;IF(대장!I353="","",CHAR(10)&amp;"소정근로시간: "&amp;대장!I353)&amp;CHAR(10)&amp;"근로기간: "&amp;YEAR(대장!F353)&amp;"."&amp;MONTH(대장!F353)&amp;"."&amp;DAY(대장!F353)&amp;"."&amp;" ~ "&amp;IF(ISNUMBER(대장!G353),YEAR(대장!G353)&amp;"."&amp;MONTH(대장!G353)&amp;"."&amp;DAY(대장!G353)&amp;".","재직 중")))</x:f>
        <x:v>#NAME?</x:v>
      </x:c>
      <x:c r="F707" s="27" t="e">
        <x:f>IF($A707="","",IF(발령대장_설정!$B$5="","",발령대장_설정!$B$5))</x:f>
        <x:v>#NAME?</x:v>
      </x:c>
      <x:c r="G707" s="27" t="e">
        <x:f>IF($A707="","",IF(발령대장_설정!$B$6="","",발령대장_설정!$B$6))</x:f>
        <x:v>#NAME?</x:v>
      </x:c>
      <x:c r="H707" s="27" t="e">
        <x:f>IF($A707="","",IF(발령대장_설정!$B$7="","",발령대장_설정!$B$7))</x:f>
        <x:v>#NAME?</x:v>
      </x:c>
      <x:c r="I707" s="27" t="e">
        <x:f>IF($A707="","",IF(발령대장_설정!$B$8="","",발령대장_설정!$B$8))</x:f>
        <x:v>#NAME?</x:v>
      </x:c>
      <x:c r="J707" s="27" t="e">
        <x:f>IF($A707="","",IF(대장!K353="","",대장!K353))</x:f>
        <x:v>#NAME?</x:v>
      </x:c>
    </x:row>
    <x:row r="708" ht="42" customHeight="1">
      <x:c r="A708" s="47" t="e">
        <x:f>IF(AND(대장!A353&lt;&gt;"",ISNUMBER(대장!F353),ISNUMBER(대장!G353),대장!G353&gt;=대장!F353,대장!H353&lt;&gt;""),대장!G353,"")</x:f>
        <x:v>#NAME?</x:v>
      </x:c>
      <x:c r="B708" s="27" t="e">
        <x:f>IF($A708="","",IF(발령대장_설정!$B$4="","",발령대장_설정!$B$4))</x:f>
        <x:v>#NAME?</x:v>
      </x:c>
      <x:c r="C708" s="27" t="e">
        <x:f>IF($A708="","",대장!D353)</x:f>
        <x:v>#NAME?</x:v>
      </x:c>
      <x:c r="D708" s="27" t="e">
        <x:f>IF($A708="","",대장!A353)</x:f>
        <x:v>#NAME?</x:v>
      </x:c>
      <x:c r="E708" s="27" t="e">
        <x:f>IF($A708="","",IF(OR(ISNUMBER(SEARCH("계약만료",대장!H353&amp;"")),ISNUMBER(SEARCH("기간만료",대장!H353&amp;""))),"계약기간 만료로 퇴직",IF(ISNUMBER(SEARCH("의원면직",대장!H353&amp;"")),"의원면직",IF(ISNUMBER(SEARCH("정년퇴직",대장!H353&amp;"")),"정년퇴직",대장!H353))))</x:f>
        <x:v>#NAME?</x:v>
      </x:c>
      <x:c r="F708" s="27" t="e">
        <x:f>IF($A708="","",IF(발령대장_설정!$B$5="","",발령대장_설정!$B$5))</x:f>
        <x:v>#NAME?</x:v>
      </x:c>
      <x:c r="G708" s="27" t="e">
        <x:f>IF($A708="","",IF(발령대장_설정!$B$6="","",발령대장_설정!$B$6))</x:f>
        <x:v>#NAME?</x:v>
      </x:c>
      <x:c r="H708" s="27" t="e">
        <x:f>IF($A708="","",IF(발령대장_설정!$B$7="","",발령대장_설정!$B$7))</x:f>
        <x:v>#NAME?</x:v>
      </x:c>
      <x:c r="I708" s="27" t="e">
        <x:f>IF($A708="","",IF(발령대장_설정!$B$8="","",발령대장_설정!$B$8))</x:f>
        <x:v>#NAME?</x:v>
      </x:c>
      <x:c r="J708" s="27" t="str">
        <x:f>""</x:f>
      </x:c>
    </x:row>
    <x:row r="709" ht="42" customHeight="1">
      <x:c r="A709" s="47" t="e">
        <x:f>IF(AND(대장!A354&lt;&gt;"",ISNUMBER(대장!F354),OR(대장!G354="",AND(ISNUMBER(대장!G354),대장!G354&gt;=대장!F354))),대장!F354,"")</x:f>
        <x:v>#NAME?</x:v>
      </x:c>
      <x:c r="B709" s="27" t="e">
        <x:f>IF($A709="","",IF(발령대장_설정!$B$4="","",발령대장_설정!$B$4))</x:f>
        <x:v>#NAME?</x:v>
      </x:c>
      <x:c r="C709" s="27" t="e">
        <x:f>IF($A709="","",대장!D354)</x:f>
        <x:v>#NAME?</x:v>
      </x:c>
      <x:c r="D709" s="27" t="e">
        <x:f>IF($A709="","",대장!A354)</x:f>
        <x:v>#NAME?</x:v>
      </x:c>
      <x:c r="E709" s="27" t="e">
        <x:f>IF($A709="","",IF(대장!J354&lt;&gt;"",대장!J354,대장!D354&amp;"에 임함"&amp;IF(대장!E354="","",CHAR(10)&amp;"고용형태: "&amp;대장!E354)&amp;IF(대장!I354="","",CHAR(10)&amp;"소정근로시간: "&amp;대장!I354)&amp;CHAR(10)&amp;"근로기간: "&amp;YEAR(대장!F354)&amp;"."&amp;MONTH(대장!F354)&amp;"."&amp;DAY(대장!F354)&amp;"."&amp;" ~ "&amp;IF(ISNUMBER(대장!G354),YEAR(대장!G354)&amp;"."&amp;MONTH(대장!G354)&amp;"."&amp;DAY(대장!G354)&amp;".","재직 중")))</x:f>
        <x:v>#NAME?</x:v>
      </x:c>
      <x:c r="F709" s="27" t="e">
        <x:f>IF($A709="","",IF(발령대장_설정!$B$5="","",발령대장_설정!$B$5))</x:f>
        <x:v>#NAME?</x:v>
      </x:c>
      <x:c r="G709" s="27" t="e">
        <x:f>IF($A709="","",IF(발령대장_설정!$B$6="","",발령대장_설정!$B$6))</x:f>
        <x:v>#NAME?</x:v>
      </x:c>
      <x:c r="H709" s="27" t="e">
        <x:f>IF($A709="","",IF(발령대장_설정!$B$7="","",발령대장_설정!$B$7))</x:f>
        <x:v>#NAME?</x:v>
      </x:c>
      <x:c r="I709" s="27" t="e">
        <x:f>IF($A709="","",IF(발령대장_설정!$B$8="","",발령대장_설정!$B$8))</x:f>
        <x:v>#NAME?</x:v>
      </x:c>
      <x:c r="J709" s="27" t="e">
        <x:f>IF($A709="","",IF(대장!K354="","",대장!K354))</x:f>
        <x:v>#NAME?</x:v>
      </x:c>
    </x:row>
    <x:row r="710" ht="42" customHeight="1">
      <x:c r="A710" s="47" t="e">
        <x:f>IF(AND(대장!A354&lt;&gt;"",ISNUMBER(대장!F354),ISNUMBER(대장!G354),대장!G354&gt;=대장!F354,대장!H354&lt;&gt;""),대장!G354,"")</x:f>
        <x:v>#NAME?</x:v>
      </x:c>
      <x:c r="B710" s="27" t="e">
        <x:f>IF($A710="","",IF(발령대장_설정!$B$4="","",발령대장_설정!$B$4))</x:f>
        <x:v>#NAME?</x:v>
      </x:c>
      <x:c r="C710" s="27" t="e">
        <x:f>IF($A710="","",대장!D354)</x:f>
        <x:v>#NAME?</x:v>
      </x:c>
      <x:c r="D710" s="27" t="e">
        <x:f>IF($A710="","",대장!A354)</x:f>
        <x:v>#NAME?</x:v>
      </x:c>
      <x:c r="E710" s="27" t="e">
        <x:f>IF($A710="","",IF(OR(ISNUMBER(SEARCH("계약만료",대장!H354&amp;"")),ISNUMBER(SEARCH("기간만료",대장!H354&amp;""))),"계약기간 만료로 퇴직",IF(ISNUMBER(SEARCH("의원면직",대장!H354&amp;"")),"의원면직",IF(ISNUMBER(SEARCH("정년퇴직",대장!H354&amp;"")),"정년퇴직",대장!H354))))</x:f>
        <x:v>#NAME?</x:v>
      </x:c>
      <x:c r="F710" s="27" t="e">
        <x:f>IF($A710="","",IF(발령대장_설정!$B$5="","",발령대장_설정!$B$5))</x:f>
        <x:v>#NAME?</x:v>
      </x:c>
      <x:c r="G710" s="27" t="e">
        <x:f>IF($A710="","",IF(발령대장_설정!$B$6="","",발령대장_설정!$B$6))</x:f>
        <x:v>#NAME?</x:v>
      </x:c>
      <x:c r="H710" s="27" t="e">
        <x:f>IF($A710="","",IF(발령대장_설정!$B$7="","",발령대장_설정!$B$7))</x:f>
        <x:v>#NAME?</x:v>
      </x:c>
      <x:c r="I710" s="27" t="e">
        <x:f>IF($A710="","",IF(발령대장_설정!$B$8="","",발령대장_설정!$B$8))</x:f>
        <x:v>#NAME?</x:v>
      </x:c>
      <x:c r="J710" s="27" t="str">
        <x:f>""</x:f>
      </x:c>
    </x:row>
    <x:row r="711" ht="42" customHeight="1">
      <x:c r="A711" s="47" t="e">
        <x:f>IF(AND(대장!A355&lt;&gt;"",ISNUMBER(대장!F355),OR(대장!G355="",AND(ISNUMBER(대장!G355),대장!G355&gt;=대장!F355))),대장!F355,"")</x:f>
        <x:v>#NAME?</x:v>
      </x:c>
      <x:c r="B711" s="27" t="e">
        <x:f>IF($A711="","",IF(발령대장_설정!$B$4="","",발령대장_설정!$B$4))</x:f>
        <x:v>#NAME?</x:v>
      </x:c>
      <x:c r="C711" s="27" t="e">
        <x:f>IF($A711="","",대장!D355)</x:f>
        <x:v>#NAME?</x:v>
      </x:c>
      <x:c r="D711" s="27" t="e">
        <x:f>IF($A711="","",대장!A355)</x:f>
        <x:v>#NAME?</x:v>
      </x:c>
      <x:c r="E711" s="27" t="e">
        <x:f>IF($A711="","",IF(대장!J355&lt;&gt;"",대장!J355,대장!D355&amp;"에 임함"&amp;IF(대장!E355="","",CHAR(10)&amp;"고용형태: "&amp;대장!E355)&amp;IF(대장!I355="","",CHAR(10)&amp;"소정근로시간: "&amp;대장!I355)&amp;CHAR(10)&amp;"근로기간: "&amp;YEAR(대장!F355)&amp;"."&amp;MONTH(대장!F355)&amp;"."&amp;DAY(대장!F355)&amp;"."&amp;" ~ "&amp;IF(ISNUMBER(대장!G355),YEAR(대장!G355)&amp;"."&amp;MONTH(대장!G355)&amp;"."&amp;DAY(대장!G355)&amp;".","재직 중")))</x:f>
        <x:v>#NAME?</x:v>
      </x:c>
      <x:c r="F711" s="27" t="e">
        <x:f>IF($A711="","",IF(발령대장_설정!$B$5="","",발령대장_설정!$B$5))</x:f>
        <x:v>#NAME?</x:v>
      </x:c>
      <x:c r="G711" s="27" t="e">
        <x:f>IF($A711="","",IF(발령대장_설정!$B$6="","",발령대장_설정!$B$6))</x:f>
        <x:v>#NAME?</x:v>
      </x:c>
      <x:c r="H711" s="27" t="e">
        <x:f>IF($A711="","",IF(발령대장_설정!$B$7="","",발령대장_설정!$B$7))</x:f>
        <x:v>#NAME?</x:v>
      </x:c>
      <x:c r="I711" s="27" t="e">
        <x:f>IF($A711="","",IF(발령대장_설정!$B$8="","",발령대장_설정!$B$8))</x:f>
        <x:v>#NAME?</x:v>
      </x:c>
      <x:c r="J711" s="27" t="e">
        <x:f>IF($A711="","",IF(대장!K355="","",대장!K355))</x:f>
        <x:v>#NAME?</x:v>
      </x:c>
    </x:row>
    <x:row r="712" ht="42" customHeight="1">
      <x:c r="A712" s="47" t="e">
        <x:f>IF(AND(대장!A355&lt;&gt;"",ISNUMBER(대장!F355),ISNUMBER(대장!G355),대장!G355&gt;=대장!F355,대장!H355&lt;&gt;""),대장!G355,"")</x:f>
        <x:v>#NAME?</x:v>
      </x:c>
      <x:c r="B712" s="27" t="e">
        <x:f>IF($A712="","",IF(발령대장_설정!$B$4="","",발령대장_설정!$B$4))</x:f>
        <x:v>#NAME?</x:v>
      </x:c>
      <x:c r="C712" s="27" t="e">
        <x:f>IF($A712="","",대장!D355)</x:f>
        <x:v>#NAME?</x:v>
      </x:c>
      <x:c r="D712" s="27" t="e">
        <x:f>IF($A712="","",대장!A355)</x:f>
        <x:v>#NAME?</x:v>
      </x:c>
      <x:c r="E712" s="27" t="e">
        <x:f>IF($A712="","",IF(OR(ISNUMBER(SEARCH("계약만료",대장!H355&amp;"")),ISNUMBER(SEARCH("기간만료",대장!H355&amp;""))),"계약기간 만료로 퇴직",IF(ISNUMBER(SEARCH("의원면직",대장!H355&amp;"")),"의원면직",IF(ISNUMBER(SEARCH("정년퇴직",대장!H355&amp;"")),"정년퇴직",대장!H355))))</x:f>
        <x:v>#NAME?</x:v>
      </x:c>
      <x:c r="F712" s="27" t="e">
        <x:f>IF($A712="","",IF(발령대장_설정!$B$5="","",발령대장_설정!$B$5))</x:f>
        <x:v>#NAME?</x:v>
      </x:c>
      <x:c r="G712" s="27" t="e">
        <x:f>IF($A712="","",IF(발령대장_설정!$B$6="","",발령대장_설정!$B$6))</x:f>
        <x:v>#NAME?</x:v>
      </x:c>
      <x:c r="H712" s="27" t="e">
        <x:f>IF($A712="","",IF(발령대장_설정!$B$7="","",발령대장_설정!$B$7))</x:f>
        <x:v>#NAME?</x:v>
      </x:c>
      <x:c r="I712" s="27" t="e">
        <x:f>IF($A712="","",IF(발령대장_설정!$B$8="","",발령대장_설정!$B$8))</x:f>
        <x:v>#NAME?</x:v>
      </x:c>
      <x:c r="J712" s="27" t="str">
        <x:f>""</x:f>
      </x:c>
    </x:row>
    <x:row r="713" ht="42" customHeight="1">
      <x:c r="A713" s="47" t="e">
        <x:f>IF(AND(대장!A356&lt;&gt;"",ISNUMBER(대장!F356),OR(대장!G356="",AND(ISNUMBER(대장!G356),대장!G356&gt;=대장!F356))),대장!F356,"")</x:f>
        <x:v>#NAME?</x:v>
      </x:c>
      <x:c r="B713" s="27" t="e">
        <x:f>IF($A713="","",IF(발령대장_설정!$B$4="","",발령대장_설정!$B$4))</x:f>
        <x:v>#NAME?</x:v>
      </x:c>
      <x:c r="C713" s="27" t="e">
        <x:f>IF($A713="","",대장!D356)</x:f>
        <x:v>#NAME?</x:v>
      </x:c>
      <x:c r="D713" s="27" t="e">
        <x:f>IF($A713="","",대장!A356)</x:f>
        <x:v>#NAME?</x:v>
      </x:c>
      <x:c r="E713" s="27" t="e">
        <x:f>IF($A713="","",IF(대장!J356&lt;&gt;"",대장!J356,대장!D356&amp;"에 임함"&amp;IF(대장!E356="","",CHAR(10)&amp;"고용형태: "&amp;대장!E356)&amp;IF(대장!I356="","",CHAR(10)&amp;"소정근로시간: "&amp;대장!I356)&amp;CHAR(10)&amp;"근로기간: "&amp;YEAR(대장!F356)&amp;"."&amp;MONTH(대장!F356)&amp;"."&amp;DAY(대장!F356)&amp;"."&amp;" ~ "&amp;IF(ISNUMBER(대장!G356),YEAR(대장!G356)&amp;"."&amp;MONTH(대장!G356)&amp;"."&amp;DAY(대장!G356)&amp;".","재직 중")))</x:f>
        <x:v>#NAME?</x:v>
      </x:c>
      <x:c r="F713" s="27" t="e">
        <x:f>IF($A713="","",IF(발령대장_설정!$B$5="","",발령대장_설정!$B$5))</x:f>
        <x:v>#NAME?</x:v>
      </x:c>
      <x:c r="G713" s="27" t="e">
        <x:f>IF($A713="","",IF(발령대장_설정!$B$6="","",발령대장_설정!$B$6))</x:f>
        <x:v>#NAME?</x:v>
      </x:c>
      <x:c r="H713" s="27" t="e">
        <x:f>IF($A713="","",IF(발령대장_설정!$B$7="","",발령대장_설정!$B$7))</x:f>
        <x:v>#NAME?</x:v>
      </x:c>
      <x:c r="I713" s="27" t="e">
        <x:f>IF($A713="","",IF(발령대장_설정!$B$8="","",발령대장_설정!$B$8))</x:f>
        <x:v>#NAME?</x:v>
      </x:c>
      <x:c r="J713" s="27" t="e">
        <x:f>IF($A713="","",IF(대장!K356="","",대장!K356))</x:f>
        <x:v>#NAME?</x:v>
      </x:c>
    </x:row>
    <x:row r="714" ht="42" customHeight="1">
      <x:c r="A714" s="47" t="e">
        <x:f>IF(AND(대장!A356&lt;&gt;"",ISNUMBER(대장!F356),ISNUMBER(대장!G356),대장!G356&gt;=대장!F356,대장!H356&lt;&gt;""),대장!G356,"")</x:f>
        <x:v>#NAME?</x:v>
      </x:c>
      <x:c r="B714" s="27" t="e">
        <x:f>IF($A714="","",IF(발령대장_설정!$B$4="","",발령대장_설정!$B$4))</x:f>
        <x:v>#NAME?</x:v>
      </x:c>
      <x:c r="C714" s="27" t="e">
        <x:f>IF($A714="","",대장!D356)</x:f>
        <x:v>#NAME?</x:v>
      </x:c>
      <x:c r="D714" s="27" t="e">
        <x:f>IF($A714="","",대장!A356)</x:f>
        <x:v>#NAME?</x:v>
      </x:c>
      <x:c r="E714" s="27" t="e">
        <x:f>IF($A714="","",IF(OR(ISNUMBER(SEARCH("계약만료",대장!H356&amp;"")),ISNUMBER(SEARCH("기간만료",대장!H356&amp;""))),"계약기간 만료로 퇴직",IF(ISNUMBER(SEARCH("의원면직",대장!H356&amp;"")),"의원면직",IF(ISNUMBER(SEARCH("정년퇴직",대장!H356&amp;"")),"정년퇴직",대장!H356))))</x:f>
        <x:v>#NAME?</x:v>
      </x:c>
      <x:c r="F714" s="27" t="e">
        <x:f>IF($A714="","",IF(발령대장_설정!$B$5="","",발령대장_설정!$B$5))</x:f>
        <x:v>#NAME?</x:v>
      </x:c>
      <x:c r="G714" s="27" t="e">
        <x:f>IF($A714="","",IF(발령대장_설정!$B$6="","",발령대장_설정!$B$6))</x:f>
        <x:v>#NAME?</x:v>
      </x:c>
      <x:c r="H714" s="27" t="e">
        <x:f>IF($A714="","",IF(발령대장_설정!$B$7="","",발령대장_설정!$B$7))</x:f>
        <x:v>#NAME?</x:v>
      </x:c>
      <x:c r="I714" s="27" t="e">
        <x:f>IF($A714="","",IF(발령대장_설정!$B$8="","",발령대장_설정!$B$8))</x:f>
        <x:v>#NAME?</x:v>
      </x:c>
      <x:c r="J714" s="27" t="str">
        <x:f>""</x:f>
      </x:c>
    </x:row>
    <x:row r="715" ht="42" customHeight="1">
      <x:c r="A715" s="47" t="e">
        <x:f>IF(AND(대장!A357&lt;&gt;"",ISNUMBER(대장!F357),OR(대장!G357="",AND(ISNUMBER(대장!G357),대장!G357&gt;=대장!F357))),대장!F357,"")</x:f>
        <x:v>#NAME?</x:v>
      </x:c>
      <x:c r="B715" s="27" t="e">
        <x:f>IF($A715="","",IF(발령대장_설정!$B$4="","",발령대장_설정!$B$4))</x:f>
        <x:v>#NAME?</x:v>
      </x:c>
      <x:c r="C715" s="27" t="e">
        <x:f>IF($A715="","",대장!D357)</x:f>
        <x:v>#NAME?</x:v>
      </x:c>
      <x:c r="D715" s="27" t="e">
        <x:f>IF($A715="","",대장!A357)</x:f>
        <x:v>#NAME?</x:v>
      </x:c>
      <x:c r="E715" s="27" t="e">
        <x:f>IF($A715="","",IF(대장!J357&lt;&gt;"",대장!J357,대장!D357&amp;"에 임함"&amp;IF(대장!E357="","",CHAR(10)&amp;"고용형태: "&amp;대장!E357)&amp;IF(대장!I357="","",CHAR(10)&amp;"소정근로시간: "&amp;대장!I357)&amp;CHAR(10)&amp;"근로기간: "&amp;YEAR(대장!F357)&amp;"."&amp;MONTH(대장!F357)&amp;"."&amp;DAY(대장!F357)&amp;"."&amp;" ~ "&amp;IF(ISNUMBER(대장!G357),YEAR(대장!G357)&amp;"."&amp;MONTH(대장!G357)&amp;"."&amp;DAY(대장!G357)&amp;".","재직 중")))</x:f>
        <x:v>#NAME?</x:v>
      </x:c>
      <x:c r="F715" s="27" t="e">
        <x:f>IF($A715="","",IF(발령대장_설정!$B$5="","",발령대장_설정!$B$5))</x:f>
        <x:v>#NAME?</x:v>
      </x:c>
      <x:c r="G715" s="27" t="e">
        <x:f>IF($A715="","",IF(발령대장_설정!$B$6="","",발령대장_설정!$B$6))</x:f>
        <x:v>#NAME?</x:v>
      </x:c>
      <x:c r="H715" s="27" t="e">
        <x:f>IF($A715="","",IF(발령대장_설정!$B$7="","",발령대장_설정!$B$7))</x:f>
        <x:v>#NAME?</x:v>
      </x:c>
      <x:c r="I715" s="27" t="e">
        <x:f>IF($A715="","",IF(발령대장_설정!$B$8="","",발령대장_설정!$B$8))</x:f>
        <x:v>#NAME?</x:v>
      </x:c>
      <x:c r="J715" s="27" t="e">
        <x:f>IF($A715="","",IF(대장!K357="","",대장!K357))</x:f>
        <x:v>#NAME?</x:v>
      </x:c>
    </x:row>
    <x:row r="716" ht="42" customHeight="1">
      <x:c r="A716" s="47" t="e">
        <x:f>IF(AND(대장!A357&lt;&gt;"",ISNUMBER(대장!F357),ISNUMBER(대장!G357),대장!G357&gt;=대장!F357,대장!H357&lt;&gt;""),대장!G357,"")</x:f>
        <x:v>#NAME?</x:v>
      </x:c>
      <x:c r="B716" s="27" t="e">
        <x:f>IF($A716="","",IF(발령대장_설정!$B$4="","",발령대장_설정!$B$4))</x:f>
        <x:v>#NAME?</x:v>
      </x:c>
      <x:c r="C716" s="27" t="e">
        <x:f>IF($A716="","",대장!D357)</x:f>
        <x:v>#NAME?</x:v>
      </x:c>
      <x:c r="D716" s="27" t="e">
        <x:f>IF($A716="","",대장!A357)</x:f>
        <x:v>#NAME?</x:v>
      </x:c>
      <x:c r="E716" s="27" t="e">
        <x:f>IF($A716="","",IF(OR(ISNUMBER(SEARCH("계약만료",대장!H357&amp;"")),ISNUMBER(SEARCH("기간만료",대장!H357&amp;""))),"계약기간 만료로 퇴직",IF(ISNUMBER(SEARCH("의원면직",대장!H357&amp;"")),"의원면직",IF(ISNUMBER(SEARCH("정년퇴직",대장!H357&amp;"")),"정년퇴직",대장!H357))))</x:f>
        <x:v>#NAME?</x:v>
      </x:c>
      <x:c r="F716" s="27" t="e">
        <x:f>IF($A716="","",IF(발령대장_설정!$B$5="","",발령대장_설정!$B$5))</x:f>
        <x:v>#NAME?</x:v>
      </x:c>
      <x:c r="G716" s="27" t="e">
        <x:f>IF($A716="","",IF(발령대장_설정!$B$6="","",발령대장_설정!$B$6))</x:f>
        <x:v>#NAME?</x:v>
      </x:c>
      <x:c r="H716" s="27" t="e">
        <x:f>IF($A716="","",IF(발령대장_설정!$B$7="","",발령대장_설정!$B$7))</x:f>
        <x:v>#NAME?</x:v>
      </x:c>
      <x:c r="I716" s="27" t="e">
        <x:f>IF($A716="","",IF(발령대장_설정!$B$8="","",발령대장_설정!$B$8))</x:f>
        <x:v>#NAME?</x:v>
      </x:c>
      <x:c r="J716" s="27" t="str">
        <x:f>""</x:f>
      </x:c>
    </x:row>
    <x:row r="717" ht="42" customHeight="1">
      <x:c r="A717" s="47" t="e">
        <x:f>IF(AND(대장!A358&lt;&gt;"",ISNUMBER(대장!F358),OR(대장!G358="",AND(ISNUMBER(대장!G358),대장!G358&gt;=대장!F358))),대장!F358,"")</x:f>
        <x:v>#NAME?</x:v>
      </x:c>
      <x:c r="B717" s="27" t="e">
        <x:f>IF($A717="","",IF(발령대장_설정!$B$4="","",발령대장_설정!$B$4))</x:f>
        <x:v>#NAME?</x:v>
      </x:c>
      <x:c r="C717" s="27" t="e">
        <x:f>IF($A717="","",대장!D358)</x:f>
        <x:v>#NAME?</x:v>
      </x:c>
      <x:c r="D717" s="27" t="e">
        <x:f>IF($A717="","",대장!A358)</x:f>
        <x:v>#NAME?</x:v>
      </x:c>
      <x:c r="E717" s="27" t="e">
        <x:f>IF($A717="","",IF(대장!J358&lt;&gt;"",대장!J358,대장!D358&amp;"에 임함"&amp;IF(대장!E358="","",CHAR(10)&amp;"고용형태: "&amp;대장!E358)&amp;IF(대장!I358="","",CHAR(10)&amp;"소정근로시간: "&amp;대장!I358)&amp;CHAR(10)&amp;"근로기간: "&amp;YEAR(대장!F358)&amp;"."&amp;MONTH(대장!F358)&amp;"."&amp;DAY(대장!F358)&amp;"."&amp;" ~ "&amp;IF(ISNUMBER(대장!G358),YEAR(대장!G358)&amp;"."&amp;MONTH(대장!G358)&amp;"."&amp;DAY(대장!G358)&amp;".","재직 중")))</x:f>
        <x:v>#NAME?</x:v>
      </x:c>
      <x:c r="F717" s="27" t="e">
        <x:f>IF($A717="","",IF(발령대장_설정!$B$5="","",발령대장_설정!$B$5))</x:f>
        <x:v>#NAME?</x:v>
      </x:c>
      <x:c r="G717" s="27" t="e">
        <x:f>IF($A717="","",IF(발령대장_설정!$B$6="","",발령대장_설정!$B$6))</x:f>
        <x:v>#NAME?</x:v>
      </x:c>
      <x:c r="H717" s="27" t="e">
        <x:f>IF($A717="","",IF(발령대장_설정!$B$7="","",발령대장_설정!$B$7))</x:f>
        <x:v>#NAME?</x:v>
      </x:c>
      <x:c r="I717" s="27" t="e">
        <x:f>IF($A717="","",IF(발령대장_설정!$B$8="","",발령대장_설정!$B$8))</x:f>
        <x:v>#NAME?</x:v>
      </x:c>
      <x:c r="J717" s="27" t="e">
        <x:f>IF($A717="","",IF(대장!K358="","",대장!K358))</x:f>
        <x:v>#NAME?</x:v>
      </x:c>
    </x:row>
    <x:row r="718" ht="42" customHeight="1">
      <x:c r="A718" s="47" t="e">
        <x:f>IF(AND(대장!A358&lt;&gt;"",ISNUMBER(대장!F358),ISNUMBER(대장!G358),대장!G358&gt;=대장!F358,대장!H358&lt;&gt;""),대장!G358,"")</x:f>
        <x:v>#NAME?</x:v>
      </x:c>
      <x:c r="B718" s="27" t="e">
        <x:f>IF($A718="","",IF(발령대장_설정!$B$4="","",발령대장_설정!$B$4))</x:f>
        <x:v>#NAME?</x:v>
      </x:c>
      <x:c r="C718" s="27" t="e">
        <x:f>IF($A718="","",대장!D358)</x:f>
        <x:v>#NAME?</x:v>
      </x:c>
      <x:c r="D718" s="27" t="e">
        <x:f>IF($A718="","",대장!A358)</x:f>
        <x:v>#NAME?</x:v>
      </x:c>
      <x:c r="E718" s="27" t="e">
        <x:f>IF($A718="","",IF(OR(ISNUMBER(SEARCH("계약만료",대장!H358&amp;"")),ISNUMBER(SEARCH("기간만료",대장!H358&amp;""))),"계약기간 만료로 퇴직",IF(ISNUMBER(SEARCH("의원면직",대장!H358&amp;"")),"의원면직",IF(ISNUMBER(SEARCH("정년퇴직",대장!H358&amp;"")),"정년퇴직",대장!H358))))</x:f>
        <x:v>#NAME?</x:v>
      </x:c>
      <x:c r="F718" s="27" t="e">
        <x:f>IF($A718="","",IF(발령대장_설정!$B$5="","",발령대장_설정!$B$5))</x:f>
        <x:v>#NAME?</x:v>
      </x:c>
      <x:c r="G718" s="27" t="e">
        <x:f>IF($A718="","",IF(발령대장_설정!$B$6="","",발령대장_설정!$B$6))</x:f>
        <x:v>#NAME?</x:v>
      </x:c>
      <x:c r="H718" s="27" t="e">
        <x:f>IF($A718="","",IF(발령대장_설정!$B$7="","",발령대장_설정!$B$7))</x:f>
        <x:v>#NAME?</x:v>
      </x:c>
      <x:c r="I718" s="27" t="e">
        <x:f>IF($A718="","",IF(발령대장_설정!$B$8="","",발령대장_설정!$B$8))</x:f>
        <x:v>#NAME?</x:v>
      </x:c>
      <x:c r="J718" s="27" t="str">
        <x:f>""</x:f>
      </x:c>
    </x:row>
    <x:row r="719" ht="42" customHeight="1">
      <x:c r="A719" s="47" t="e">
        <x:f>IF(AND(대장!A359&lt;&gt;"",ISNUMBER(대장!F359),OR(대장!G359="",AND(ISNUMBER(대장!G359),대장!G359&gt;=대장!F359))),대장!F359,"")</x:f>
        <x:v>#NAME?</x:v>
      </x:c>
      <x:c r="B719" s="27" t="e">
        <x:f>IF($A719="","",IF(발령대장_설정!$B$4="","",발령대장_설정!$B$4))</x:f>
        <x:v>#NAME?</x:v>
      </x:c>
      <x:c r="C719" s="27" t="e">
        <x:f>IF($A719="","",대장!D359)</x:f>
        <x:v>#NAME?</x:v>
      </x:c>
      <x:c r="D719" s="27" t="e">
        <x:f>IF($A719="","",대장!A359)</x:f>
        <x:v>#NAME?</x:v>
      </x:c>
      <x:c r="E719" s="27" t="e">
        <x:f>IF($A719="","",IF(대장!J359&lt;&gt;"",대장!J359,대장!D359&amp;"에 임함"&amp;IF(대장!E359="","",CHAR(10)&amp;"고용형태: "&amp;대장!E359)&amp;IF(대장!I359="","",CHAR(10)&amp;"소정근로시간: "&amp;대장!I359)&amp;CHAR(10)&amp;"근로기간: "&amp;YEAR(대장!F359)&amp;"."&amp;MONTH(대장!F359)&amp;"."&amp;DAY(대장!F359)&amp;"."&amp;" ~ "&amp;IF(ISNUMBER(대장!G359),YEAR(대장!G359)&amp;"."&amp;MONTH(대장!G359)&amp;"."&amp;DAY(대장!G359)&amp;".","재직 중")))</x:f>
        <x:v>#NAME?</x:v>
      </x:c>
      <x:c r="F719" s="27" t="e">
        <x:f>IF($A719="","",IF(발령대장_설정!$B$5="","",발령대장_설정!$B$5))</x:f>
        <x:v>#NAME?</x:v>
      </x:c>
      <x:c r="G719" s="27" t="e">
        <x:f>IF($A719="","",IF(발령대장_설정!$B$6="","",발령대장_설정!$B$6))</x:f>
        <x:v>#NAME?</x:v>
      </x:c>
      <x:c r="H719" s="27" t="e">
        <x:f>IF($A719="","",IF(발령대장_설정!$B$7="","",발령대장_설정!$B$7))</x:f>
        <x:v>#NAME?</x:v>
      </x:c>
      <x:c r="I719" s="27" t="e">
        <x:f>IF($A719="","",IF(발령대장_설정!$B$8="","",발령대장_설정!$B$8))</x:f>
        <x:v>#NAME?</x:v>
      </x:c>
      <x:c r="J719" s="27" t="e">
        <x:f>IF($A719="","",IF(대장!K359="","",대장!K359))</x:f>
        <x:v>#NAME?</x:v>
      </x:c>
    </x:row>
    <x:row r="720" ht="42" customHeight="1">
      <x:c r="A720" s="47" t="e">
        <x:f>IF(AND(대장!A359&lt;&gt;"",ISNUMBER(대장!F359),ISNUMBER(대장!G359),대장!G359&gt;=대장!F359,대장!H359&lt;&gt;""),대장!G359,"")</x:f>
        <x:v>#NAME?</x:v>
      </x:c>
      <x:c r="B720" s="27" t="e">
        <x:f>IF($A720="","",IF(발령대장_설정!$B$4="","",발령대장_설정!$B$4))</x:f>
        <x:v>#NAME?</x:v>
      </x:c>
      <x:c r="C720" s="27" t="e">
        <x:f>IF($A720="","",대장!D359)</x:f>
        <x:v>#NAME?</x:v>
      </x:c>
      <x:c r="D720" s="27" t="e">
        <x:f>IF($A720="","",대장!A359)</x:f>
        <x:v>#NAME?</x:v>
      </x:c>
      <x:c r="E720" s="27" t="e">
        <x:f>IF($A720="","",IF(OR(ISNUMBER(SEARCH("계약만료",대장!H359&amp;"")),ISNUMBER(SEARCH("기간만료",대장!H359&amp;""))),"계약기간 만료로 퇴직",IF(ISNUMBER(SEARCH("의원면직",대장!H359&amp;"")),"의원면직",IF(ISNUMBER(SEARCH("정년퇴직",대장!H359&amp;"")),"정년퇴직",대장!H359))))</x:f>
        <x:v>#NAME?</x:v>
      </x:c>
      <x:c r="F720" s="27" t="e">
        <x:f>IF($A720="","",IF(발령대장_설정!$B$5="","",발령대장_설정!$B$5))</x:f>
        <x:v>#NAME?</x:v>
      </x:c>
      <x:c r="G720" s="27" t="e">
        <x:f>IF($A720="","",IF(발령대장_설정!$B$6="","",발령대장_설정!$B$6))</x:f>
        <x:v>#NAME?</x:v>
      </x:c>
      <x:c r="H720" s="27" t="e">
        <x:f>IF($A720="","",IF(발령대장_설정!$B$7="","",발령대장_설정!$B$7))</x:f>
        <x:v>#NAME?</x:v>
      </x:c>
      <x:c r="I720" s="27" t="e">
        <x:f>IF($A720="","",IF(발령대장_설정!$B$8="","",발령대장_설정!$B$8))</x:f>
        <x:v>#NAME?</x:v>
      </x:c>
      <x:c r="J720" s="27" t="str">
        <x:f>""</x:f>
      </x:c>
    </x:row>
    <x:row r="721" ht="42" customHeight="1">
      <x:c r="A721" s="47" t="e">
        <x:f>IF(AND(대장!A360&lt;&gt;"",ISNUMBER(대장!F360),OR(대장!G360="",AND(ISNUMBER(대장!G360),대장!G360&gt;=대장!F360))),대장!F360,"")</x:f>
        <x:v>#NAME?</x:v>
      </x:c>
      <x:c r="B721" s="27" t="e">
        <x:f>IF($A721="","",IF(발령대장_설정!$B$4="","",발령대장_설정!$B$4))</x:f>
        <x:v>#NAME?</x:v>
      </x:c>
      <x:c r="C721" s="27" t="e">
        <x:f>IF($A721="","",대장!D360)</x:f>
        <x:v>#NAME?</x:v>
      </x:c>
      <x:c r="D721" s="27" t="e">
        <x:f>IF($A721="","",대장!A360)</x:f>
        <x:v>#NAME?</x:v>
      </x:c>
      <x:c r="E721" s="27" t="e">
        <x:f>IF($A721="","",IF(대장!J360&lt;&gt;"",대장!J360,대장!D360&amp;"에 임함"&amp;IF(대장!E360="","",CHAR(10)&amp;"고용형태: "&amp;대장!E360)&amp;IF(대장!I360="","",CHAR(10)&amp;"소정근로시간: "&amp;대장!I360)&amp;CHAR(10)&amp;"근로기간: "&amp;YEAR(대장!F360)&amp;"."&amp;MONTH(대장!F360)&amp;"."&amp;DAY(대장!F360)&amp;"."&amp;" ~ "&amp;IF(ISNUMBER(대장!G360),YEAR(대장!G360)&amp;"."&amp;MONTH(대장!G360)&amp;"."&amp;DAY(대장!G360)&amp;".","재직 중")))</x:f>
        <x:v>#NAME?</x:v>
      </x:c>
      <x:c r="F721" s="27" t="e">
        <x:f>IF($A721="","",IF(발령대장_설정!$B$5="","",발령대장_설정!$B$5))</x:f>
        <x:v>#NAME?</x:v>
      </x:c>
      <x:c r="G721" s="27" t="e">
        <x:f>IF($A721="","",IF(발령대장_설정!$B$6="","",발령대장_설정!$B$6))</x:f>
        <x:v>#NAME?</x:v>
      </x:c>
      <x:c r="H721" s="27" t="e">
        <x:f>IF($A721="","",IF(발령대장_설정!$B$7="","",발령대장_설정!$B$7))</x:f>
        <x:v>#NAME?</x:v>
      </x:c>
      <x:c r="I721" s="27" t="e">
        <x:f>IF($A721="","",IF(발령대장_설정!$B$8="","",발령대장_설정!$B$8))</x:f>
        <x:v>#NAME?</x:v>
      </x:c>
      <x:c r="J721" s="27" t="e">
        <x:f>IF($A721="","",IF(대장!K360="","",대장!K360))</x:f>
        <x:v>#NAME?</x:v>
      </x:c>
    </x:row>
    <x:row r="722" ht="42" customHeight="1">
      <x:c r="A722" s="47" t="e">
        <x:f>IF(AND(대장!A360&lt;&gt;"",ISNUMBER(대장!F360),ISNUMBER(대장!G360),대장!G360&gt;=대장!F360,대장!H360&lt;&gt;""),대장!G360,"")</x:f>
        <x:v>#NAME?</x:v>
      </x:c>
      <x:c r="B722" s="27" t="e">
        <x:f>IF($A722="","",IF(발령대장_설정!$B$4="","",발령대장_설정!$B$4))</x:f>
        <x:v>#NAME?</x:v>
      </x:c>
      <x:c r="C722" s="27" t="e">
        <x:f>IF($A722="","",대장!D360)</x:f>
        <x:v>#NAME?</x:v>
      </x:c>
      <x:c r="D722" s="27" t="e">
        <x:f>IF($A722="","",대장!A360)</x:f>
        <x:v>#NAME?</x:v>
      </x:c>
      <x:c r="E722" s="27" t="e">
        <x:f>IF($A722="","",IF(OR(ISNUMBER(SEARCH("계약만료",대장!H360&amp;"")),ISNUMBER(SEARCH("기간만료",대장!H360&amp;""))),"계약기간 만료로 퇴직",IF(ISNUMBER(SEARCH("의원면직",대장!H360&amp;"")),"의원면직",IF(ISNUMBER(SEARCH("정년퇴직",대장!H360&amp;"")),"정년퇴직",대장!H360))))</x:f>
        <x:v>#NAME?</x:v>
      </x:c>
      <x:c r="F722" s="27" t="e">
        <x:f>IF($A722="","",IF(발령대장_설정!$B$5="","",발령대장_설정!$B$5))</x:f>
        <x:v>#NAME?</x:v>
      </x:c>
      <x:c r="G722" s="27" t="e">
        <x:f>IF($A722="","",IF(발령대장_설정!$B$6="","",발령대장_설정!$B$6))</x:f>
        <x:v>#NAME?</x:v>
      </x:c>
      <x:c r="H722" s="27" t="e">
        <x:f>IF($A722="","",IF(발령대장_설정!$B$7="","",발령대장_설정!$B$7))</x:f>
        <x:v>#NAME?</x:v>
      </x:c>
      <x:c r="I722" s="27" t="e">
        <x:f>IF($A722="","",IF(발령대장_설정!$B$8="","",발령대장_설정!$B$8))</x:f>
        <x:v>#NAME?</x:v>
      </x:c>
      <x:c r="J722" s="27" t="str">
        <x:f>""</x:f>
      </x:c>
    </x:row>
    <x:row r="723" ht="42" customHeight="1">
      <x:c r="A723" s="47" t="e">
        <x:f>IF(AND(대장!A361&lt;&gt;"",ISNUMBER(대장!F361),OR(대장!G361="",AND(ISNUMBER(대장!G361),대장!G361&gt;=대장!F361))),대장!F361,"")</x:f>
        <x:v>#NAME?</x:v>
      </x:c>
      <x:c r="B723" s="27" t="e">
        <x:f>IF($A723="","",IF(발령대장_설정!$B$4="","",발령대장_설정!$B$4))</x:f>
        <x:v>#NAME?</x:v>
      </x:c>
      <x:c r="C723" s="27" t="e">
        <x:f>IF($A723="","",대장!D361)</x:f>
        <x:v>#NAME?</x:v>
      </x:c>
      <x:c r="D723" s="27" t="e">
        <x:f>IF($A723="","",대장!A361)</x:f>
        <x:v>#NAME?</x:v>
      </x:c>
      <x:c r="E723" s="27" t="e">
        <x:f>IF($A723="","",IF(대장!J361&lt;&gt;"",대장!J361,대장!D361&amp;"에 임함"&amp;IF(대장!E361="","",CHAR(10)&amp;"고용형태: "&amp;대장!E361)&amp;IF(대장!I361="","",CHAR(10)&amp;"소정근로시간: "&amp;대장!I361)&amp;CHAR(10)&amp;"근로기간: "&amp;YEAR(대장!F361)&amp;"."&amp;MONTH(대장!F361)&amp;"."&amp;DAY(대장!F361)&amp;"."&amp;" ~ "&amp;IF(ISNUMBER(대장!G361),YEAR(대장!G361)&amp;"."&amp;MONTH(대장!G361)&amp;"."&amp;DAY(대장!G361)&amp;".","재직 중")))</x:f>
        <x:v>#NAME?</x:v>
      </x:c>
      <x:c r="F723" s="27" t="e">
        <x:f>IF($A723="","",IF(발령대장_설정!$B$5="","",발령대장_설정!$B$5))</x:f>
        <x:v>#NAME?</x:v>
      </x:c>
      <x:c r="G723" s="27" t="e">
        <x:f>IF($A723="","",IF(발령대장_설정!$B$6="","",발령대장_설정!$B$6))</x:f>
        <x:v>#NAME?</x:v>
      </x:c>
      <x:c r="H723" s="27" t="e">
        <x:f>IF($A723="","",IF(발령대장_설정!$B$7="","",발령대장_설정!$B$7))</x:f>
        <x:v>#NAME?</x:v>
      </x:c>
      <x:c r="I723" s="27" t="e">
        <x:f>IF($A723="","",IF(발령대장_설정!$B$8="","",발령대장_설정!$B$8))</x:f>
        <x:v>#NAME?</x:v>
      </x:c>
      <x:c r="J723" s="27" t="e">
        <x:f>IF($A723="","",IF(대장!K361="","",대장!K361))</x:f>
        <x:v>#NAME?</x:v>
      </x:c>
    </x:row>
    <x:row r="724" ht="42" customHeight="1">
      <x:c r="A724" s="47" t="e">
        <x:f>IF(AND(대장!A361&lt;&gt;"",ISNUMBER(대장!F361),ISNUMBER(대장!G361),대장!G361&gt;=대장!F361,대장!H361&lt;&gt;""),대장!G361,"")</x:f>
        <x:v>#NAME?</x:v>
      </x:c>
      <x:c r="B724" s="27" t="e">
        <x:f>IF($A724="","",IF(발령대장_설정!$B$4="","",발령대장_설정!$B$4))</x:f>
        <x:v>#NAME?</x:v>
      </x:c>
      <x:c r="C724" s="27" t="e">
        <x:f>IF($A724="","",대장!D361)</x:f>
        <x:v>#NAME?</x:v>
      </x:c>
      <x:c r="D724" s="27" t="e">
        <x:f>IF($A724="","",대장!A361)</x:f>
        <x:v>#NAME?</x:v>
      </x:c>
      <x:c r="E724" s="27" t="e">
        <x:f>IF($A724="","",IF(OR(ISNUMBER(SEARCH("계약만료",대장!H361&amp;"")),ISNUMBER(SEARCH("기간만료",대장!H361&amp;""))),"계약기간 만료로 퇴직",IF(ISNUMBER(SEARCH("의원면직",대장!H361&amp;"")),"의원면직",IF(ISNUMBER(SEARCH("정년퇴직",대장!H361&amp;"")),"정년퇴직",대장!H361))))</x:f>
        <x:v>#NAME?</x:v>
      </x:c>
      <x:c r="F724" s="27" t="e">
        <x:f>IF($A724="","",IF(발령대장_설정!$B$5="","",발령대장_설정!$B$5))</x:f>
        <x:v>#NAME?</x:v>
      </x:c>
      <x:c r="G724" s="27" t="e">
        <x:f>IF($A724="","",IF(발령대장_설정!$B$6="","",발령대장_설정!$B$6))</x:f>
        <x:v>#NAME?</x:v>
      </x:c>
      <x:c r="H724" s="27" t="e">
        <x:f>IF($A724="","",IF(발령대장_설정!$B$7="","",발령대장_설정!$B$7))</x:f>
        <x:v>#NAME?</x:v>
      </x:c>
      <x:c r="I724" s="27" t="e">
        <x:f>IF($A724="","",IF(발령대장_설정!$B$8="","",발령대장_설정!$B$8))</x:f>
        <x:v>#NAME?</x:v>
      </x:c>
      <x:c r="J724" s="27" t="str">
        <x:f>""</x:f>
      </x:c>
    </x:row>
    <x:row r="725" ht="42" customHeight="1">
      <x:c r="A725" s="47" t="e">
        <x:f>IF(AND(대장!A362&lt;&gt;"",ISNUMBER(대장!F362),OR(대장!G362="",AND(ISNUMBER(대장!G362),대장!G362&gt;=대장!F362))),대장!F362,"")</x:f>
        <x:v>#NAME?</x:v>
      </x:c>
      <x:c r="B725" s="27" t="e">
        <x:f>IF($A725="","",IF(발령대장_설정!$B$4="","",발령대장_설정!$B$4))</x:f>
        <x:v>#NAME?</x:v>
      </x:c>
      <x:c r="C725" s="27" t="e">
        <x:f>IF($A725="","",대장!D362)</x:f>
        <x:v>#NAME?</x:v>
      </x:c>
      <x:c r="D725" s="27" t="e">
        <x:f>IF($A725="","",대장!A362)</x:f>
        <x:v>#NAME?</x:v>
      </x:c>
      <x:c r="E725" s="27" t="e">
        <x:f>IF($A725="","",IF(대장!J362&lt;&gt;"",대장!J362,대장!D362&amp;"에 임함"&amp;IF(대장!E362="","",CHAR(10)&amp;"고용형태: "&amp;대장!E362)&amp;IF(대장!I362="","",CHAR(10)&amp;"소정근로시간: "&amp;대장!I362)&amp;CHAR(10)&amp;"근로기간: "&amp;YEAR(대장!F362)&amp;"."&amp;MONTH(대장!F362)&amp;"."&amp;DAY(대장!F362)&amp;"."&amp;" ~ "&amp;IF(ISNUMBER(대장!G362),YEAR(대장!G362)&amp;"."&amp;MONTH(대장!G362)&amp;"."&amp;DAY(대장!G362)&amp;".","재직 중")))</x:f>
        <x:v>#NAME?</x:v>
      </x:c>
      <x:c r="F725" s="27" t="e">
        <x:f>IF($A725="","",IF(발령대장_설정!$B$5="","",발령대장_설정!$B$5))</x:f>
        <x:v>#NAME?</x:v>
      </x:c>
      <x:c r="G725" s="27" t="e">
        <x:f>IF($A725="","",IF(발령대장_설정!$B$6="","",발령대장_설정!$B$6))</x:f>
        <x:v>#NAME?</x:v>
      </x:c>
      <x:c r="H725" s="27" t="e">
        <x:f>IF($A725="","",IF(발령대장_설정!$B$7="","",발령대장_설정!$B$7))</x:f>
        <x:v>#NAME?</x:v>
      </x:c>
      <x:c r="I725" s="27" t="e">
        <x:f>IF($A725="","",IF(발령대장_설정!$B$8="","",발령대장_설정!$B$8))</x:f>
        <x:v>#NAME?</x:v>
      </x:c>
      <x:c r="J725" s="27" t="e">
        <x:f>IF($A725="","",IF(대장!K362="","",대장!K362))</x:f>
        <x:v>#NAME?</x:v>
      </x:c>
    </x:row>
    <x:row r="726" ht="42" customHeight="1">
      <x:c r="A726" s="47" t="e">
        <x:f>IF(AND(대장!A362&lt;&gt;"",ISNUMBER(대장!F362),ISNUMBER(대장!G362),대장!G362&gt;=대장!F362,대장!H362&lt;&gt;""),대장!G362,"")</x:f>
        <x:v>#NAME?</x:v>
      </x:c>
      <x:c r="B726" s="27" t="e">
        <x:f>IF($A726="","",IF(발령대장_설정!$B$4="","",발령대장_설정!$B$4))</x:f>
        <x:v>#NAME?</x:v>
      </x:c>
      <x:c r="C726" s="27" t="e">
        <x:f>IF($A726="","",대장!D362)</x:f>
        <x:v>#NAME?</x:v>
      </x:c>
      <x:c r="D726" s="27" t="e">
        <x:f>IF($A726="","",대장!A362)</x:f>
        <x:v>#NAME?</x:v>
      </x:c>
      <x:c r="E726" s="27" t="e">
        <x:f>IF($A726="","",IF(OR(ISNUMBER(SEARCH("계약만료",대장!H362&amp;"")),ISNUMBER(SEARCH("기간만료",대장!H362&amp;""))),"계약기간 만료로 퇴직",IF(ISNUMBER(SEARCH("의원면직",대장!H362&amp;"")),"의원면직",IF(ISNUMBER(SEARCH("정년퇴직",대장!H362&amp;"")),"정년퇴직",대장!H362))))</x:f>
        <x:v>#NAME?</x:v>
      </x:c>
      <x:c r="F726" s="27" t="e">
        <x:f>IF($A726="","",IF(발령대장_설정!$B$5="","",발령대장_설정!$B$5))</x:f>
        <x:v>#NAME?</x:v>
      </x:c>
      <x:c r="G726" s="27" t="e">
        <x:f>IF($A726="","",IF(발령대장_설정!$B$6="","",발령대장_설정!$B$6))</x:f>
        <x:v>#NAME?</x:v>
      </x:c>
      <x:c r="H726" s="27" t="e">
        <x:f>IF($A726="","",IF(발령대장_설정!$B$7="","",발령대장_설정!$B$7))</x:f>
        <x:v>#NAME?</x:v>
      </x:c>
      <x:c r="I726" s="27" t="e">
        <x:f>IF($A726="","",IF(발령대장_설정!$B$8="","",발령대장_설정!$B$8))</x:f>
        <x:v>#NAME?</x:v>
      </x:c>
      <x:c r="J726" s="27" t="str">
        <x:f>""</x:f>
      </x:c>
    </x:row>
    <x:row r="727" ht="42" customHeight="1">
      <x:c r="A727" s="47" t="e">
        <x:f>IF(AND(대장!A363&lt;&gt;"",ISNUMBER(대장!F363),OR(대장!G363="",AND(ISNUMBER(대장!G363),대장!G363&gt;=대장!F363))),대장!F363,"")</x:f>
        <x:v>#NAME?</x:v>
      </x:c>
      <x:c r="B727" s="27" t="e">
        <x:f>IF($A727="","",IF(발령대장_설정!$B$4="","",발령대장_설정!$B$4))</x:f>
        <x:v>#NAME?</x:v>
      </x:c>
      <x:c r="C727" s="27" t="e">
        <x:f>IF($A727="","",대장!D363)</x:f>
        <x:v>#NAME?</x:v>
      </x:c>
      <x:c r="D727" s="27" t="e">
        <x:f>IF($A727="","",대장!A363)</x:f>
        <x:v>#NAME?</x:v>
      </x:c>
      <x:c r="E727" s="27" t="e">
        <x:f>IF($A727="","",IF(대장!J363&lt;&gt;"",대장!J363,대장!D363&amp;"에 임함"&amp;IF(대장!E363="","",CHAR(10)&amp;"고용형태: "&amp;대장!E363)&amp;IF(대장!I363="","",CHAR(10)&amp;"소정근로시간: "&amp;대장!I363)&amp;CHAR(10)&amp;"근로기간: "&amp;YEAR(대장!F363)&amp;"."&amp;MONTH(대장!F363)&amp;"."&amp;DAY(대장!F363)&amp;"."&amp;" ~ "&amp;IF(ISNUMBER(대장!G363),YEAR(대장!G363)&amp;"."&amp;MONTH(대장!G363)&amp;"."&amp;DAY(대장!G363)&amp;".","재직 중")))</x:f>
        <x:v>#NAME?</x:v>
      </x:c>
      <x:c r="F727" s="27" t="e">
        <x:f>IF($A727="","",IF(발령대장_설정!$B$5="","",발령대장_설정!$B$5))</x:f>
        <x:v>#NAME?</x:v>
      </x:c>
      <x:c r="G727" s="27" t="e">
        <x:f>IF($A727="","",IF(발령대장_설정!$B$6="","",발령대장_설정!$B$6))</x:f>
        <x:v>#NAME?</x:v>
      </x:c>
      <x:c r="H727" s="27" t="e">
        <x:f>IF($A727="","",IF(발령대장_설정!$B$7="","",발령대장_설정!$B$7))</x:f>
        <x:v>#NAME?</x:v>
      </x:c>
      <x:c r="I727" s="27" t="e">
        <x:f>IF($A727="","",IF(발령대장_설정!$B$8="","",발령대장_설정!$B$8))</x:f>
        <x:v>#NAME?</x:v>
      </x:c>
      <x:c r="J727" s="27" t="e">
        <x:f>IF($A727="","",IF(대장!K363="","",대장!K363))</x:f>
        <x:v>#NAME?</x:v>
      </x:c>
    </x:row>
    <x:row r="728" ht="42" customHeight="1">
      <x:c r="A728" s="47" t="e">
        <x:f>IF(AND(대장!A363&lt;&gt;"",ISNUMBER(대장!F363),ISNUMBER(대장!G363),대장!G363&gt;=대장!F363,대장!H363&lt;&gt;""),대장!G363,"")</x:f>
        <x:v>#NAME?</x:v>
      </x:c>
      <x:c r="B728" s="27" t="e">
        <x:f>IF($A728="","",IF(발령대장_설정!$B$4="","",발령대장_설정!$B$4))</x:f>
        <x:v>#NAME?</x:v>
      </x:c>
      <x:c r="C728" s="27" t="e">
        <x:f>IF($A728="","",대장!D363)</x:f>
        <x:v>#NAME?</x:v>
      </x:c>
      <x:c r="D728" s="27" t="e">
        <x:f>IF($A728="","",대장!A363)</x:f>
        <x:v>#NAME?</x:v>
      </x:c>
      <x:c r="E728" s="27" t="e">
        <x:f>IF($A728="","",IF(OR(ISNUMBER(SEARCH("계약만료",대장!H363&amp;"")),ISNUMBER(SEARCH("기간만료",대장!H363&amp;""))),"계약기간 만료로 퇴직",IF(ISNUMBER(SEARCH("의원면직",대장!H363&amp;"")),"의원면직",IF(ISNUMBER(SEARCH("정년퇴직",대장!H363&amp;"")),"정년퇴직",대장!H363))))</x:f>
        <x:v>#NAME?</x:v>
      </x:c>
      <x:c r="F728" s="27" t="e">
        <x:f>IF($A728="","",IF(발령대장_설정!$B$5="","",발령대장_설정!$B$5))</x:f>
        <x:v>#NAME?</x:v>
      </x:c>
      <x:c r="G728" s="27" t="e">
        <x:f>IF($A728="","",IF(발령대장_설정!$B$6="","",발령대장_설정!$B$6))</x:f>
        <x:v>#NAME?</x:v>
      </x:c>
      <x:c r="H728" s="27" t="e">
        <x:f>IF($A728="","",IF(발령대장_설정!$B$7="","",발령대장_설정!$B$7))</x:f>
        <x:v>#NAME?</x:v>
      </x:c>
      <x:c r="I728" s="27" t="e">
        <x:f>IF($A728="","",IF(발령대장_설정!$B$8="","",발령대장_설정!$B$8))</x:f>
        <x:v>#NAME?</x:v>
      </x:c>
      <x:c r="J728" s="27" t="str">
        <x:f>""</x:f>
      </x:c>
    </x:row>
    <x:row r="729" ht="42" customHeight="1">
      <x:c r="A729" s="47" t="e">
        <x:f>IF(AND(대장!A364&lt;&gt;"",ISNUMBER(대장!F364),OR(대장!G364="",AND(ISNUMBER(대장!G364),대장!G364&gt;=대장!F364))),대장!F364,"")</x:f>
        <x:v>#NAME?</x:v>
      </x:c>
      <x:c r="B729" s="27" t="e">
        <x:f>IF($A729="","",IF(발령대장_설정!$B$4="","",발령대장_설정!$B$4))</x:f>
        <x:v>#NAME?</x:v>
      </x:c>
      <x:c r="C729" s="27" t="e">
        <x:f>IF($A729="","",대장!D364)</x:f>
        <x:v>#NAME?</x:v>
      </x:c>
      <x:c r="D729" s="27" t="e">
        <x:f>IF($A729="","",대장!A364)</x:f>
        <x:v>#NAME?</x:v>
      </x:c>
      <x:c r="E729" s="27" t="e">
        <x:f>IF($A729="","",IF(대장!J364&lt;&gt;"",대장!J364,대장!D364&amp;"에 임함"&amp;IF(대장!E364="","",CHAR(10)&amp;"고용형태: "&amp;대장!E364)&amp;IF(대장!I364="","",CHAR(10)&amp;"소정근로시간: "&amp;대장!I364)&amp;CHAR(10)&amp;"근로기간: "&amp;YEAR(대장!F364)&amp;"."&amp;MONTH(대장!F364)&amp;"."&amp;DAY(대장!F364)&amp;"."&amp;" ~ "&amp;IF(ISNUMBER(대장!G364),YEAR(대장!G364)&amp;"."&amp;MONTH(대장!G364)&amp;"."&amp;DAY(대장!G364)&amp;".","재직 중")))</x:f>
        <x:v>#NAME?</x:v>
      </x:c>
      <x:c r="F729" s="27" t="e">
        <x:f>IF($A729="","",IF(발령대장_설정!$B$5="","",발령대장_설정!$B$5))</x:f>
        <x:v>#NAME?</x:v>
      </x:c>
      <x:c r="G729" s="27" t="e">
        <x:f>IF($A729="","",IF(발령대장_설정!$B$6="","",발령대장_설정!$B$6))</x:f>
        <x:v>#NAME?</x:v>
      </x:c>
      <x:c r="H729" s="27" t="e">
        <x:f>IF($A729="","",IF(발령대장_설정!$B$7="","",발령대장_설정!$B$7))</x:f>
        <x:v>#NAME?</x:v>
      </x:c>
      <x:c r="I729" s="27" t="e">
        <x:f>IF($A729="","",IF(발령대장_설정!$B$8="","",발령대장_설정!$B$8))</x:f>
        <x:v>#NAME?</x:v>
      </x:c>
      <x:c r="J729" s="27" t="e">
        <x:f>IF($A729="","",IF(대장!K364="","",대장!K364))</x:f>
        <x:v>#NAME?</x:v>
      </x:c>
    </x:row>
    <x:row r="730" ht="42" customHeight="1">
      <x:c r="A730" s="47" t="e">
        <x:f>IF(AND(대장!A364&lt;&gt;"",ISNUMBER(대장!F364),ISNUMBER(대장!G364),대장!G364&gt;=대장!F364,대장!H364&lt;&gt;""),대장!G364,"")</x:f>
        <x:v>#NAME?</x:v>
      </x:c>
      <x:c r="B730" s="27" t="e">
        <x:f>IF($A730="","",IF(발령대장_설정!$B$4="","",발령대장_설정!$B$4))</x:f>
        <x:v>#NAME?</x:v>
      </x:c>
      <x:c r="C730" s="27" t="e">
        <x:f>IF($A730="","",대장!D364)</x:f>
        <x:v>#NAME?</x:v>
      </x:c>
      <x:c r="D730" s="27" t="e">
        <x:f>IF($A730="","",대장!A364)</x:f>
        <x:v>#NAME?</x:v>
      </x:c>
      <x:c r="E730" s="27" t="e">
        <x:f>IF($A730="","",IF(OR(ISNUMBER(SEARCH("계약만료",대장!H364&amp;"")),ISNUMBER(SEARCH("기간만료",대장!H364&amp;""))),"계약기간 만료로 퇴직",IF(ISNUMBER(SEARCH("의원면직",대장!H364&amp;"")),"의원면직",IF(ISNUMBER(SEARCH("정년퇴직",대장!H364&amp;"")),"정년퇴직",대장!H364))))</x:f>
        <x:v>#NAME?</x:v>
      </x:c>
      <x:c r="F730" s="27" t="e">
        <x:f>IF($A730="","",IF(발령대장_설정!$B$5="","",발령대장_설정!$B$5))</x:f>
        <x:v>#NAME?</x:v>
      </x:c>
      <x:c r="G730" s="27" t="e">
        <x:f>IF($A730="","",IF(발령대장_설정!$B$6="","",발령대장_설정!$B$6))</x:f>
        <x:v>#NAME?</x:v>
      </x:c>
      <x:c r="H730" s="27" t="e">
        <x:f>IF($A730="","",IF(발령대장_설정!$B$7="","",발령대장_설정!$B$7))</x:f>
        <x:v>#NAME?</x:v>
      </x:c>
      <x:c r="I730" s="27" t="e">
        <x:f>IF($A730="","",IF(발령대장_설정!$B$8="","",발령대장_설정!$B$8))</x:f>
        <x:v>#NAME?</x:v>
      </x:c>
      <x:c r="J730" s="27" t="str">
        <x:f>""</x:f>
      </x:c>
    </x:row>
    <x:row r="731" ht="42" customHeight="1">
      <x:c r="A731" s="47" t="e">
        <x:f>IF(AND(대장!A365&lt;&gt;"",ISNUMBER(대장!F365),OR(대장!G365="",AND(ISNUMBER(대장!G365),대장!G365&gt;=대장!F365))),대장!F365,"")</x:f>
        <x:v>#NAME?</x:v>
      </x:c>
      <x:c r="B731" s="27" t="e">
        <x:f>IF($A731="","",IF(발령대장_설정!$B$4="","",발령대장_설정!$B$4))</x:f>
        <x:v>#NAME?</x:v>
      </x:c>
      <x:c r="C731" s="27" t="e">
        <x:f>IF($A731="","",대장!D365)</x:f>
        <x:v>#NAME?</x:v>
      </x:c>
      <x:c r="D731" s="27" t="e">
        <x:f>IF($A731="","",대장!A365)</x:f>
        <x:v>#NAME?</x:v>
      </x:c>
      <x:c r="E731" s="27" t="e">
        <x:f>IF($A731="","",IF(대장!J365&lt;&gt;"",대장!J365,대장!D365&amp;"에 임함"&amp;IF(대장!E365="","",CHAR(10)&amp;"고용형태: "&amp;대장!E365)&amp;IF(대장!I365="","",CHAR(10)&amp;"소정근로시간: "&amp;대장!I365)&amp;CHAR(10)&amp;"근로기간: "&amp;YEAR(대장!F365)&amp;"."&amp;MONTH(대장!F365)&amp;"."&amp;DAY(대장!F365)&amp;"."&amp;" ~ "&amp;IF(ISNUMBER(대장!G365),YEAR(대장!G365)&amp;"."&amp;MONTH(대장!G365)&amp;"."&amp;DAY(대장!G365)&amp;".","재직 중")))</x:f>
        <x:v>#NAME?</x:v>
      </x:c>
      <x:c r="F731" s="27" t="e">
        <x:f>IF($A731="","",IF(발령대장_설정!$B$5="","",발령대장_설정!$B$5))</x:f>
        <x:v>#NAME?</x:v>
      </x:c>
      <x:c r="G731" s="27" t="e">
        <x:f>IF($A731="","",IF(발령대장_설정!$B$6="","",발령대장_설정!$B$6))</x:f>
        <x:v>#NAME?</x:v>
      </x:c>
      <x:c r="H731" s="27" t="e">
        <x:f>IF($A731="","",IF(발령대장_설정!$B$7="","",발령대장_설정!$B$7))</x:f>
        <x:v>#NAME?</x:v>
      </x:c>
      <x:c r="I731" s="27" t="e">
        <x:f>IF($A731="","",IF(발령대장_설정!$B$8="","",발령대장_설정!$B$8))</x:f>
        <x:v>#NAME?</x:v>
      </x:c>
      <x:c r="J731" s="27" t="e">
        <x:f>IF($A731="","",IF(대장!K365="","",대장!K365))</x:f>
        <x:v>#NAME?</x:v>
      </x:c>
    </x:row>
    <x:row r="732" ht="42" customHeight="1">
      <x:c r="A732" s="47" t="e">
        <x:f>IF(AND(대장!A365&lt;&gt;"",ISNUMBER(대장!F365),ISNUMBER(대장!G365),대장!G365&gt;=대장!F365,대장!H365&lt;&gt;""),대장!G365,"")</x:f>
        <x:v>#NAME?</x:v>
      </x:c>
      <x:c r="B732" s="27" t="e">
        <x:f>IF($A732="","",IF(발령대장_설정!$B$4="","",발령대장_설정!$B$4))</x:f>
        <x:v>#NAME?</x:v>
      </x:c>
      <x:c r="C732" s="27" t="e">
        <x:f>IF($A732="","",대장!D365)</x:f>
        <x:v>#NAME?</x:v>
      </x:c>
      <x:c r="D732" s="27" t="e">
        <x:f>IF($A732="","",대장!A365)</x:f>
        <x:v>#NAME?</x:v>
      </x:c>
      <x:c r="E732" s="27" t="e">
        <x:f>IF($A732="","",IF(OR(ISNUMBER(SEARCH("계약만료",대장!H365&amp;"")),ISNUMBER(SEARCH("기간만료",대장!H365&amp;""))),"계약기간 만료로 퇴직",IF(ISNUMBER(SEARCH("의원면직",대장!H365&amp;"")),"의원면직",IF(ISNUMBER(SEARCH("정년퇴직",대장!H365&amp;"")),"정년퇴직",대장!H365))))</x:f>
        <x:v>#NAME?</x:v>
      </x:c>
      <x:c r="F732" s="27" t="e">
        <x:f>IF($A732="","",IF(발령대장_설정!$B$5="","",발령대장_설정!$B$5))</x:f>
        <x:v>#NAME?</x:v>
      </x:c>
      <x:c r="G732" s="27" t="e">
        <x:f>IF($A732="","",IF(발령대장_설정!$B$6="","",발령대장_설정!$B$6))</x:f>
        <x:v>#NAME?</x:v>
      </x:c>
      <x:c r="H732" s="27" t="e">
        <x:f>IF($A732="","",IF(발령대장_설정!$B$7="","",발령대장_설정!$B$7))</x:f>
        <x:v>#NAME?</x:v>
      </x:c>
      <x:c r="I732" s="27" t="e">
        <x:f>IF($A732="","",IF(발령대장_설정!$B$8="","",발령대장_설정!$B$8))</x:f>
        <x:v>#NAME?</x:v>
      </x:c>
      <x:c r="J732" s="27" t="str">
        <x:f>""</x:f>
      </x:c>
    </x:row>
    <x:row r="733" ht="42" customHeight="1">
      <x:c r="A733" s="47" t="e">
        <x:f>IF(AND(대장!A366&lt;&gt;"",ISNUMBER(대장!F366),OR(대장!G366="",AND(ISNUMBER(대장!G366),대장!G366&gt;=대장!F366))),대장!F366,"")</x:f>
        <x:v>#NAME?</x:v>
      </x:c>
      <x:c r="B733" s="27" t="e">
        <x:f>IF($A733="","",IF(발령대장_설정!$B$4="","",발령대장_설정!$B$4))</x:f>
        <x:v>#NAME?</x:v>
      </x:c>
      <x:c r="C733" s="27" t="e">
        <x:f>IF($A733="","",대장!D366)</x:f>
        <x:v>#NAME?</x:v>
      </x:c>
      <x:c r="D733" s="27" t="e">
        <x:f>IF($A733="","",대장!A366)</x:f>
        <x:v>#NAME?</x:v>
      </x:c>
      <x:c r="E733" s="27" t="e">
        <x:f>IF($A733="","",IF(대장!J366&lt;&gt;"",대장!J366,대장!D366&amp;"에 임함"&amp;IF(대장!E366="","",CHAR(10)&amp;"고용형태: "&amp;대장!E366)&amp;IF(대장!I366="","",CHAR(10)&amp;"소정근로시간: "&amp;대장!I366)&amp;CHAR(10)&amp;"근로기간: "&amp;YEAR(대장!F366)&amp;"."&amp;MONTH(대장!F366)&amp;"."&amp;DAY(대장!F366)&amp;"."&amp;" ~ "&amp;IF(ISNUMBER(대장!G366),YEAR(대장!G366)&amp;"."&amp;MONTH(대장!G366)&amp;"."&amp;DAY(대장!G366)&amp;".","재직 중")))</x:f>
        <x:v>#NAME?</x:v>
      </x:c>
      <x:c r="F733" s="27" t="e">
        <x:f>IF($A733="","",IF(발령대장_설정!$B$5="","",발령대장_설정!$B$5))</x:f>
        <x:v>#NAME?</x:v>
      </x:c>
      <x:c r="G733" s="27" t="e">
        <x:f>IF($A733="","",IF(발령대장_설정!$B$6="","",발령대장_설정!$B$6))</x:f>
        <x:v>#NAME?</x:v>
      </x:c>
      <x:c r="H733" s="27" t="e">
        <x:f>IF($A733="","",IF(발령대장_설정!$B$7="","",발령대장_설정!$B$7))</x:f>
        <x:v>#NAME?</x:v>
      </x:c>
      <x:c r="I733" s="27" t="e">
        <x:f>IF($A733="","",IF(발령대장_설정!$B$8="","",발령대장_설정!$B$8))</x:f>
        <x:v>#NAME?</x:v>
      </x:c>
      <x:c r="J733" s="27" t="e">
        <x:f>IF($A733="","",IF(대장!K366="","",대장!K366))</x:f>
        <x:v>#NAME?</x:v>
      </x:c>
    </x:row>
    <x:row r="734" ht="42" customHeight="1">
      <x:c r="A734" s="47" t="e">
        <x:f>IF(AND(대장!A366&lt;&gt;"",ISNUMBER(대장!F366),ISNUMBER(대장!G366),대장!G366&gt;=대장!F366,대장!H366&lt;&gt;""),대장!G366,"")</x:f>
        <x:v>#NAME?</x:v>
      </x:c>
      <x:c r="B734" s="27" t="e">
        <x:f>IF($A734="","",IF(발령대장_설정!$B$4="","",발령대장_설정!$B$4))</x:f>
        <x:v>#NAME?</x:v>
      </x:c>
      <x:c r="C734" s="27" t="e">
        <x:f>IF($A734="","",대장!D366)</x:f>
        <x:v>#NAME?</x:v>
      </x:c>
      <x:c r="D734" s="27" t="e">
        <x:f>IF($A734="","",대장!A366)</x:f>
        <x:v>#NAME?</x:v>
      </x:c>
      <x:c r="E734" s="27" t="e">
        <x:f>IF($A734="","",IF(OR(ISNUMBER(SEARCH("계약만료",대장!H366&amp;"")),ISNUMBER(SEARCH("기간만료",대장!H366&amp;""))),"계약기간 만료로 퇴직",IF(ISNUMBER(SEARCH("의원면직",대장!H366&amp;"")),"의원면직",IF(ISNUMBER(SEARCH("정년퇴직",대장!H366&amp;"")),"정년퇴직",대장!H366))))</x:f>
        <x:v>#NAME?</x:v>
      </x:c>
      <x:c r="F734" s="27" t="e">
        <x:f>IF($A734="","",IF(발령대장_설정!$B$5="","",발령대장_설정!$B$5))</x:f>
        <x:v>#NAME?</x:v>
      </x:c>
      <x:c r="G734" s="27" t="e">
        <x:f>IF($A734="","",IF(발령대장_설정!$B$6="","",발령대장_설정!$B$6))</x:f>
        <x:v>#NAME?</x:v>
      </x:c>
      <x:c r="H734" s="27" t="e">
        <x:f>IF($A734="","",IF(발령대장_설정!$B$7="","",발령대장_설정!$B$7))</x:f>
        <x:v>#NAME?</x:v>
      </x:c>
      <x:c r="I734" s="27" t="e">
        <x:f>IF($A734="","",IF(발령대장_설정!$B$8="","",발령대장_설정!$B$8))</x:f>
        <x:v>#NAME?</x:v>
      </x:c>
      <x:c r="J734" s="27" t="str">
        <x:f>""</x:f>
      </x:c>
    </x:row>
    <x:row r="735" ht="42" customHeight="1">
      <x:c r="A735" s="47" t="e">
        <x:f>IF(AND(대장!A367&lt;&gt;"",ISNUMBER(대장!F367),OR(대장!G367="",AND(ISNUMBER(대장!G367),대장!G367&gt;=대장!F367))),대장!F367,"")</x:f>
        <x:v>#NAME?</x:v>
      </x:c>
      <x:c r="B735" s="27" t="e">
        <x:f>IF($A735="","",IF(발령대장_설정!$B$4="","",발령대장_설정!$B$4))</x:f>
        <x:v>#NAME?</x:v>
      </x:c>
      <x:c r="C735" s="27" t="e">
        <x:f>IF($A735="","",대장!D367)</x:f>
        <x:v>#NAME?</x:v>
      </x:c>
      <x:c r="D735" s="27" t="e">
        <x:f>IF($A735="","",대장!A367)</x:f>
        <x:v>#NAME?</x:v>
      </x:c>
      <x:c r="E735" s="27" t="e">
        <x:f>IF($A735="","",IF(대장!J367&lt;&gt;"",대장!J367,대장!D367&amp;"에 임함"&amp;IF(대장!E367="","",CHAR(10)&amp;"고용형태: "&amp;대장!E367)&amp;IF(대장!I367="","",CHAR(10)&amp;"소정근로시간: "&amp;대장!I367)&amp;CHAR(10)&amp;"근로기간: "&amp;YEAR(대장!F367)&amp;"."&amp;MONTH(대장!F367)&amp;"."&amp;DAY(대장!F367)&amp;"."&amp;" ~ "&amp;IF(ISNUMBER(대장!G367),YEAR(대장!G367)&amp;"."&amp;MONTH(대장!G367)&amp;"."&amp;DAY(대장!G367)&amp;".","재직 중")))</x:f>
        <x:v>#NAME?</x:v>
      </x:c>
      <x:c r="F735" s="27" t="e">
        <x:f>IF($A735="","",IF(발령대장_설정!$B$5="","",발령대장_설정!$B$5))</x:f>
        <x:v>#NAME?</x:v>
      </x:c>
      <x:c r="G735" s="27" t="e">
        <x:f>IF($A735="","",IF(발령대장_설정!$B$6="","",발령대장_설정!$B$6))</x:f>
        <x:v>#NAME?</x:v>
      </x:c>
      <x:c r="H735" s="27" t="e">
        <x:f>IF($A735="","",IF(발령대장_설정!$B$7="","",발령대장_설정!$B$7))</x:f>
        <x:v>#NAME?</x:v>
      </x:c>
      <x:c r="I735" s="27" t="e">
        <x:f>IF($A735="","",IF(발령대장_설정!$B$8="","",발령대장_설정!$B$8))</x:f>
        <x:v>#NAME?</x:v>
      </x:c>
      <x:c r="J735" s="27" t="e">
        <x:f>IF($A735="","",IF(대장!K367="","",대장!K367))</x:f>
        <x:v>#NAME?</x:v>
      </x:c>
    </x:row>
    <x:row r="736" ht="42" customHeight="1">
      <x:c r="A736" s="47" t="e">
        <x:f>IF(AND(대장!A367&lt;&gt;"",ISNUMBER(대장!F367),ISNUMBER(대장!G367),대장!G367&gt;=대장!F367,대장!H367&lt;&gt;""),대장!G367,"")</x:f>
        <x:v>#NAME?</x:v>
      </x:c>
      <x:c r="B736" s="27" t="e">
        <x:f>IF($A736="","",IF(발령대장_설정!$B$4="","",발령대장_설정!$B$4))</x:f>
        <x:v>#NAME?</x:v>
      </x:c>
      <x:c r="C736" s="27" t="e">
        <x:f>IF($A736="","",대장!D367)</x:f>
        <x:v>#NAME?</x:v>
      </x:c>
      <x:c r="D736" s="27" t="e">
        <x:f>IF($A736="","",대장!A367)</x:f>
        <x:v>#NAME?</x:v>
      </x:c>
      <x:c r="E736" s="27" t="e">
        <x:f>IF($A736="","",IF(OR(ISNUMBER(SEARCH("계약만료",대장!H367&amp;"")),ISNUMBER(SEARCH("기간만료",대장!H367&amp;""))),"계약기간 만료로 퇴직",IF(ISNUMBER(SEARCH("의원면직",대장!H367&amp;"")),"의원면직",IF(ISNUMBER(SEARCH("정년퇴직",대장!H367&amp;"")),"정년퇴직",대장!H367))))</x:f>
        <x:v>#NAME?</x:v>
      </x:c>
      <x:c r="F736" s="27" t="e">
        <x:f>IF($A736="","",IF(발령대장_설정!$B$5="","",발령대장_설정!$B$5))</x:f>
        <x:v>#NAME?</x:v>
      </x:c>
      <x:c r="G736" s="27" t="e">
        <x:f>IF($A736="","",IF(발령대장_설정!$B$6="","",발령대장_설정!$B$6))</x:f>
        <x:v>#NAME?</x:v>
      </x:c>
      <x:c r="H736" s="27" t="e">
        <x:f>IF($A736="","",IF(발령대장_설정!$B$7="","",발령대장_설정!$B$7))</x:f>
        <x:v>#NAME?</x:v>
      </x:c>
      <x:c r="I736" s="27" t="e">
        <x:f>IF($A736="","",IF(발령대장_설정!$B$8="","",발령대장_설정!$B$8))</x:f>
        <x:v>#NAME?</x:v>
      </x:c>
      <x:c r="J736" s="27" t="str">
        <x:f>""</x:f>
      </x:c>
    </x:row>
    <x:row r="737" ht="42" customHeight="1">
      <x:c r="A737" s="47" t="e">
        <x:f>IF(AND(대장!A368&lt;&gt;"",ISNUMBER(대장!F368),OR(대장!G368="",AND(ISNUMBER(대장!G368),대장!G368&gt;=대장!F368))),대장!F368,"")</x:f>
        <x:v>#NAME?</x:v>
      </x:c>
      <x:c r="B737" s="27" t="e">
        <x:f>IF($A737="","",IF(발령대장_설정!$B$4="","",발령대장_설정!$B$4))</x:f>
        <x:v>#NAME?</x:v>
      </x:c>
      <x:c r="C737" s="27" t="e">
        <x:f>IF($A737="","",대장!D368)</x:f>
        <x:v>#NAME?</x:v>
      </x:c>
      <x:c r="D737" s="27" t="e">
        <x:f>IF($A737="","",대장!A368)</x:f>
        <x:v>#NAME?</x:v>
      </x:c>
      <x:c r="E737" s="27" t="e">
        <x:f>IF($A737="","",IF(대장!J368&lt;&gt;"",대장!J368,대장!D368&amp;"에 임함"&amp;IF(대장!E368="","",CHAR(10)&amp;"고용형태: "&amp;대장!E368)&amp;IF(대장!I368="","",CHAR(10)&amp;"소정근로시간: "&amp;대장!I368)&amp;CHAR(10)&amp;"근로기간: "&amp;YEAR(대장!F368)&amp;"."&amp;MONTH(대장!F368)&amp;"."&amp;DAY(대장!F368)&amp;"."&amp;" ~ "&amp;IF(ISNUMBER(대장!G368),YEAR(대장!G368)&amp;"."&amp;MONTH(대장!G368)&amp;"."&amp;DAY(대장!G368)&amp;".","재직 중")))</x:f>
        <x:v>#NAME?</x:v>
      </x:c>
      <x:c r="F737" s="27" t="e">
        <x:f>IF($A737="","",IF(발령대장_설정!$B$5="","",발령대장_설정!$B$5))</x:f>
        <x:v>#NAME?</x:v>
      </x:c>
      <x:c r="G737" s="27" t="e">
        <x:f>IF($A737="","",IF(발령대장_설정!$B$6="","",발령대장_설정!$B$6))</x:f>
        <x:v>#NAME?</x:v>
      </x:c>
      <x:c r="H737" s="27" t="e">
        <x:f>IF($A737="","",IF(발령대장_설정!$B$7="","",발령대장_설정!$B$7))</x:f>
        <x:v>#NAME?</x:v>
      </x:c>
      <x:c r="I737" s="27" t="e">
        <x:f>IF($A737="","",IF(발령대장_설정!$B$8="","",발령대장_설정!$B$8))</x:f>
        <x:v>#NAME?</x:v>
      </x:c>
      <x:c r="J737" s="27" t="e">
        <x:f>IF($A737="","",IF(대장!K368="","",대장!K368))</x:f>
        <x:v>#NAME?</x:v>
      </x:c>
    </x:row>
    <x:row r="738" ht="42" customHeight="1">
      <x:c r="A738" s="47" t="e">
        <x:f>IF(AND(대장!A368&lt;&gt;"",ISNUMBER(대장!F368),ISNUMBER(대장!G368),대장!G368&gt;=대장!F368,대장!H368&lt;&gt;""),대장!G368,"")</x:f>
        <x:v>#NAME?</x:v>
      </x:c>
      <x:c r="B738" s="27" t="e">
        <x:f>IF($A738="","",IF(발령대장_설정!$B$4="","",발령대장_설정!$B$4))</x:f>
        <x:v>#NAME?</x:v>
      </x:c>
      <x:c r="C738" s="27" t="e">
        <x:f>IF($A738="","",대장!D368)</x:f>
        <x:v>#NAME?</x:v>
      </x:c>
      <x:c r="D738" s="27" t="e">
        <x:f>IF($A738="","",대장!A368)</x:f>
        <x:v>#NAME?</x:v>
      </x:c>
      <x:c r="E738" s="27" t="e">
        <x:f>IF($A738="","",IF(OR(ISNUMBER(SEARCH("계약만료",대장!H368&amp;"")),ISNUMBER(SEARCH("기간만료",대장!H368&amp;""))),"계약기간 만료로 퇴직",IF(ISNUMBER(SEARCH("의원면직",대장!H368&amp;"")),"의원면직",IF(ISNUMBER(SEARCH("정년퇴직",대장!H368&amp;"")),"정년퇴직",대장!H368))))</x:f>
        <x:v>#NAME?</x:v>
      </x:c>
      <x:c r="F738" s="27" t="e">
        <x:f>IF($A738="","",IF(발령대장_설정!$B$5="","",발령대장_설정!$B$5))</x:f>
        <x:v>#NAME?</x:v>
      </x:c>
      <x:c r="G738" s="27" t="e">
        <x:f>IF($A738="","",IF(발령대장_설정!$B$6="","",발령대장_설정!$B$6))</x:f>
        <x:v>#NAME?</x:v>
      </x:c>
      <x:c r="H738" s="27" t="e">
        <x:f>IF($A738="","",IF(발령대장_설정!$B$7="","",발령대장_설정!$B$7))</x:f>
        <x:v>#NAME?</x:v>
      </x:c>
      <x:c r="I738" s="27" t="e">
        <x:f>IF($A738="","",IF(발령대장_설정!$B$8="","",발령대장_설정!$B$8))</x:f>
        <x:v>#NAME?</x:v>
      </x:c>
      <x:c r="J738" s="27" t="str">
        <x:f>""</x:f>
      </x:c>
    </x:row>
    <x:row r="739" ht="42" customHeight="1">
      <x:c r="A739" s="47" t="e">
        <x:f>IF(AND(대장!A369&lt;&gt;"",ISNUMBER(대장!F369),OR(대장!G369="",AND(ISNUMBER(대장!G369),대장!G369&gt;=대장!F369))),대장!F369,"")</x:f>
        <x:v>#NAME?</x:v>
      </x:c>
      <x:c r="B739" s="27" t="e">
        <x:f>IF($A739="","",IF(발령대장_설정!$B$4="","",발령대장_설정!$B$4))</x:f>
        <x:v>#NAME?</x:v>
      </x:c>
      <x:c r="C739" s="27" t="e">
        <x:f>IF($A739="","",대장!D369)</x:f>
        <x:v>#NAME?</x:v>
      </x:c>
      <x:c r="D739" s="27" t="e">
        <x:f>IF($A739="","",대장!A369)</x:f>
        <x:v>#NAME?</x:v>
      </x:c>
      <x:c r="E739" s="27" t="e">
        <x:f>IF($A739="","",IF(대장!J369&lt;&gt;"",대장!J369,대장!D369&amp;"에 임함"&amp;IF(대장!E369="","",CHAR(10)&amp;"고용형태: "&amp;대장!E369)&amp;IF(대장!I369="","",CHAR(10)&amp;"소정근로시간: "&amp;대장!I369)&amp;CHAR(10)&amp;"근로기간: "&amp;YEAR(대장!F369)&amp;"."&amp;MONTH(대장!F369)&amp;"."&amp;DAY(대장!F369)&amp;"."&amp;" ~ "&amp;IF(ISNUMBER(대장!G369),YEAR(대장!G369)&amp;"."&amp;MONTH(대장!G369)&amp;"."&amp;DAY(대장!G369)&amp;".","재직 중")))</x:f>
        <x:v>#NAME?</x:v>
      </x:c>
      <x:c r="F739" s="27" t="e">
        <x:f>IF($A739="","",IF(발령대장_설정!$B$5="","",발령대장_설정!$B$5))</x:f>
        <x:v>#NAME?</x:v>
      </x:c>
      <x:c r="G739" s="27" t="e">
        <x:f>IF($A739="","",IF(발령대장_설정!$B$6="","",발령대장_설정!$B$6))</x:f>
        <x:v>#NAME?</x:v>
      </x:c>
      <x:c r="H739" s="27" t="e">
        <x:f>IF($A739="","",IF(발령대장_설정!$B$7="","",발령대장_설정!$B$7))</x:f>
        <x:v>#NAME?</x:v>
      </x:c>
      <x:c r="I739" s="27" t="e">
        <x:f>IF($A739="","",IF(발령대장_설정!$B$8="","",발령대장_설정!$B$8))</x:f>
        <x:v>#NAME?</x:v>
      </x:c>
      <x:c r="J739" s="27" t="e">
        <x:f>IF($A739="","",IF(대장!K369="","",대장!K369))</x:f>
        <x:v>#NAME?</x:v>
      </x:c>
    </x:row>
    <x:row r="740" ht="42" customHeight="1">
      <x:c r="A740" s="47" t="e">
        <x:f>IF(AND(대장!A369&lt;&gt;"",ISNUMBER(대장!F369),ISNUMBER(대장!G369),대장!G369&gt;=대장!F369,대장!H369&lt;&gt;""),대장!G369,"")</x:f>
        <x:v>#NAME?</x:v>
      </x:c>
      <x:c r="B740" s="27" t="e">
        <x:f>IF($A740="","",IF(발령대장_설정!$B$4="","",발령대장_설정!$B$4))</x:f>
        <x:v>#NAME?</x:v>
      </x:c>
      <x:c r="C740" s="27" t="e">
        <x:f>IF($A740="","",대장!D369)</x:f>
        <x:v>#NAME?</x:v>
      </x:c>
      <x:c r="D740" s="27" t="e">
        <x:f>IF($A740="","",대장!A369)</x:f>
        <x:v>#NAME?</x:v>
      </x:c>
      <x:c r="E740" s="27" t="e">
        <x:f>IF($A740="","",IF(OR(ISNUMBER(SEARCH("계약만료",대장!H369&amp;"")),ISNUMBER(SEARCH("기간만료",대장!H369&amp;""))),"계약기간 만료로 퇴직",IF(ISNUMBER(SEARCH("의원면직",대장!H369&amp;"")),"의원면직",IF(ISNUMBER(SEARCH("정년퇴직",대장!H369&amp;"")),"정년퇴직",대장!H369))))</x:f>
        <x:v>#NAME?</x:v>
      </x:c>
      <x:c r="F740" s="27" t="e">
        <x:f>IF($A740="","",IF(발령대장_설정!$B$5="","",발령대장_설정!$B$5))</x:f>
        <x:v>#NAME?</x:v>
      </x:c>
      <x:c r="G740" s="27" t="e">
        <x:f>IF($A740="","",IF(발령대장_설정!$B$6="","",발령대장_설정!$B$6))</x:f>
        <x:v>#NAME?</x:v>
      </x:c>
      <x:c r="H740" s="27" t="e">
        <x:f>IF($A740="","",IF(발령대장_설정!$B$7="","",발령대장_설정!$B$7))</x:f>
        <x:v>#NAME?</x:v>
      </x:c>
      <x:c r="I740" s="27" t="e">
        <x:f>IF($A740="","",IF(발령대장_설정!$B$8="","",발령대장_설정!$B$8))</x:f>
        <x:v>#NAME?</x:v>
      </x:c>
      <x:c r="J740" s="27" t="str">
        <x:f>""</x:f>
      </x:c>
    </x:row>
    <x:row r="741" ht="42" customHeight="1">
      <x:c r="A741" s="47" t="e">
        <x:f>IF(AND(대장!A370&lt;&gt;"",ISNUMBER(대장!F370),OR(대장!G370="",AND(ISNUMBER(대장!G370),대장!G370&gt;=대장!F370))),대장!F370,"")</x:f>
        <x:v>#NAME?</x:v>
      </x:c>
      <x:c r="B741" s="27" t="e">
        <x:f>IF($A741="","",IF(발령대장_설정!$B$4="","",발령대장_설정!$B$4))</x:f>
        <x:v>#NAME?</x:v>
      </x:c>
      <x:c r="C741" s="27" t="e">
        <x:f>IF($A741="","",대장!D370)</x:f>
        <x:v>#NAME?</x:v>
      </x:c>
      <x:c r="D741" s="27" t="e">
        <x:f>IF($A741="","",대장!A370)</x:f>
        <x:v>#NAME?</x:v>
      </x:c>
      <x:c r="E741" s="27" t="e">
        <x:f>IF($A741="","",IF(대장!J370&lt;&gt;"",대장!J370,대장!D370&amp;"에 임함"&amp;IF(대장!E370="","",CHAR(10)&amp;"고용형태: "&amp;대장!E370)&amp;IF(대장!I370="","",CHAR(10)&amp;"소정근로시간: "&amp;대장!I370)&amp;CHAR(10)&amp;"근로기간: "&amp;YEAR(대장!F370)&amp;"."&amp;MONTH(대장!F370)&amp;"."&amp;DAY(대장!F370)&amp;"."&amp;" ~ "&amp;IF(ISNUMBER(대장!G370),YEAR(대장!G370)&amp;"."&amp;MONTH(대장!G370)&amp;"."&amp;DAY(대장!G370)&amp;".","재직 중")))</x:f>
        <x:v>#NAME?</x:v>
      </x:c>
      <x:c r="F741" s="27" t="e">
        <x:f>IF($A741="","",IF(발령대장_설정!$B$5="","",발령대장_설정!$B$5))</x:f>
        <x:v>#NAME?</x:v>
      </x:c>
      <x:c r="G741" s="27" t="e">
        <x:f>IF($A741="","",IF(발령대장_설정!$B$6="","",발령대장_설정!$B$6))</x:f>
        <x:v>#NAME?</x:v>
      </x:c>
      <x:c r="H741" s="27" t="e">
        <x:f>IF($A741="","",IF(발령대장_설정!$B$7="","",발령대장_설정!$B$7))</x:f>
        <x:v>#NAME?</x:v>
      </x:c>
      <x:c r="I741" s="27" t="e">
        <x:f>IF($A741="","",IF(발령대장_설정!$B$8="","",발령대장_설정!$B$8))</x:f>
        <x:v>#NAME?</x:v>
      </x:c>
      <x:c r="J741" s="27" t="e">
        <x:f>IF($A741="","",IF(대장!K370="","",대장!K370))</x:f>
        <x:v>#NAME?</x:v>
      </x:c>
    </x:row>
    <x:row r="742" ht="42" customHeight="1">
      <x:c r="A742" s="47" t="e">
        <x:f>IF(AND(대장!A370&lt;&gt;"",ISNUMBER(대장!F370),ISNUMBER(대장!G370),대장!G370&gt;=대장!F370,대장!H370&lt;&gt;""),대장!G370,"")</x:f>
        <x:v>#NAME?</x:v>
      </x:c>
      <x:c r="B742" s="27" t="e">
        <x:f>IF($A742="","",IF(발령대장_설정!$B$4="","",발령대장_설정!$B$4))</x:f>
        <x:v>#NAME?</x:v>
      </x:c>
      <x:c r="C742" s="27" t="e">
        <x:f>IF($A742="","",대장!D370)</x:f>
        <x:v>#NAME?</x:v>
      </x:c>
      <x:c r="D742" s="27" t="e">
        <x:f>IF($A742="","",대장!A370)</x:f>
        <x:v>#NAME?</x:v>
      </x:c>
      <x:c r="E742" s="27" t="e">
        <x:f>IF($A742="","",IF(OR(ISNUMBER(SEARCH("계약만료",대장!H370&amp;"")),ISNUMBER(SEARCH("기간만료",대장!H370&amp;""))),"계약기간 만료로 퇴직",IF(ISNUMBER(SEARCH("의원면직",대장!H370&amp;"")),"의원면직",IF(ISNUMBER(SEARCH("정년퇴직",대장!H370&amp;"")),"정년퇴직",대장!H370))))</x:f>
        <x:v>#NAME?</x:v>
      </x:c>
      <x:c r="F742" s="27" t="e">
        <x:f>IF($A742="","",IF(발령대장_설정!$B$5="","",발령대장_설정!$B$5))</x:f>
        <x:v>#NAME?</x:v>
      </x:c>
      <x:c r="G742" s="27" t="e">
        <x:f>IF($A742="","",IF(발령대장_설정!$B$6="","",발령대장_설정!$B$6))</x:f>
        <x:v>#NAME?</x:v>
      </x:c>
      <x:c r="H742" s="27" t="e">
        <x:f>IF($A742="","",IF(발령대장_설정!$B$7="","",발령대장_설정!$B$7))</x:f>
        <x:v>#NAME?</x:v>
      </x:c>
      <x:c r="I742" s="27" t="e">
        <x:f>IF($A742="","",IF(발령대장_설정!$B$8="","",발령대장_설정!$B$8))</x:f>
        <x:v>#NAME?</x:v>
      </x:c>
      <x:c r="J742" s="27" t="str">
        <x:f>""</x:f>
      </x:c>
    </x:row>
    <x:row r="743" ht="42" customHeight="1">
      <x:c r="A743" s="47" t="e">
        <x:f>IF(AND(대장!A371&lt;&gt;"",ISNUMBER(대장!F371),OR(대장!G371="",AND(ISNUMBER(대장!G371),대장!G371&gt;=대장!F371))),대장!F371,"")</x:f>
        <x:v>#NAME?</x:v>
      </x:c>
      <x:c r="B743" s="27" t="e">
        <x:f>IF($A743="","",IF(발령대장_설정!$B$4="","",발령대장_설정!$B$4))</x:f>
        <x:v>#NAME?</x:v>
      </x:c>
      <x:c r="C743" s="27" t="e">
        <x:f>IF($A743="","",대장!D371)</x:f>
        <x:v>#NAME?</x:v>
      </x:c>
      <x:c r="D743" s="27" t="e">
        <x:f>IF($A743="","",대장!A371)</x:f>
        <x:v>#NAME?</x:v>
      </x:c>
      <x:c r="E743" s="27" t="e">
        <x:f>IF($A743="","",IF(대장!J371&lt;&gt;"",대장!J371,대장!D371&amp;"에 임함"&amp;IF(대장!E371="","",CHAR(10)&amp;"고용형태: "&amp;대장!E371)&amp;IF(대장!I371="","",CHAR(10)&amp;"소정근로시간: "&amp;대장!I371)&amp;CHAR(10)&amp;"근로기간: "&amp;YEAR(대장!F371)&amp;"."&amp;MONTH(대장!F371)&amp;"."&amp;DAY(대장!F371)&amp;"."&amp;" ~ "&amp;IF(ISNUMBER(대장!G371),YEAR(대장!G371)&amp;"."&amp;MONTH(대장!G371)&amp;"."&amp;DAY(대장!G371)&amp;".","재직 중")))</x:f>
        <x:v>#NAME?</x:v>
      </x:c>
      <x:c r="F743" s="27" t="e">
        <x:f>IF($A743="","",IF(발령대장_설정!$B$5="","",발령대장_설정!$B$5))</x:f>
        <x:v>#NAME?</x:v>
      </x:c>
      <x:c r="G743" s="27" t="e">
        <x:f>IF($A743="","",IF(발령대장_설정!$B$6="","",발령대장_설정!$B$6))</x:f>
        <x:v>#NAME?</x:v>
      </x:c>
      <x:c r="H743" s="27" t="e">
        <x:f>IF($A743="","",IF(발령대장_설정!$B$7="","",발령대장_설정!$B$7))</x:f>
        <x:v>#NAME?</x:v>
      </x:c>
      <x:c r="I743" s="27" t="e">
        <x:f>IF($A743="","",IF(발령대장_설정!$B$8="","",발령대장_설정!$B$8))</x:f>
        <x:v>#NAME?</x:v>
      </x:c>
      <x:c r="J743" s="27" t="e">
        <x:f>IF($A743="","",IF(대장!K371="","",대장!K371))</x:f>
        <x:v>#NAME?</x:v>
      </x:c>
    </x:row>
    <x:row r="744" ht="42" customHeight="1">
      <x:c r="A744" s="47" t="e">
        <x:f>IF(AND(대장!A371&lt;&gt;"",ISNUMBER(대장!F371),ISNUMBER(대장!G371),대장!G371&gt;=대장!F371,대장!H371&lt;&gt;""),대장!G371,"")</x:f>
        <x:v>#NAME?</x:v>
      </x:c>
      <x:c r="B744" s="27" t="e">
        <x:f>IF($A744="","",IF(발령대장_설정!$B$4="","",발령대장_설정!$B$4))</x:f>
        <x:v>#NAME?</x:v>
      </x:c>
      <x:c r="C744" s="27" t="e">
        <x:f>IF($A744="","",대장!D371)</x:f>
        <x:v>#NAME?</x:v>
      </x:c>
      <x:c r="D744" s="27" t="e">
        <x:f>IF($A744="","",대장!A371)</x:f>
        <x:v>#NAME?</x:v>
      </x:c>
      <x:c r="E744" s="27" t="e">
        <x:f>IF($A744="","",IF(OR(ISNUMBER(SEARCH("계약만료",대장!H371&amp;"")),ISNUMBER(SEARCH("기간만료",대장!H371&amp;""))),"계약기간 만료로 퇴직",IF(ISNUMBER(SEARCH("의원면직",대장!H371&amp;"")),"의원면직",IF(ISNUMBER(SEARCH("정년퇴직",대장!H371&amp;"")),"정년퇴직",대장!H371))))</x:f>
        <x:v>#NAME?</x:v>
      </x:c>
      <x:c r="F744" s="27" t="e">
        <x:f>IF($A744="","",IF(발령대장_설정!$B$5="","",발령대장_설정!$B$5))</x:f>
        <x:v>#NAME?</x:v>
      </x:c>
      <x:c r="G744" s="27" t="e">
        <x:f>IF($A744="","",IF(발령대장_설정!$B$6="","",발령대장_설정!$B$6))</x:f>
        <x:v>#NAME?</x:v>
      </x:c>
      <x:c r="H744" s="27" t="e">
        <x:f>IF($A744="","",IF(발령대장_설정!$B$7="","",발령대장_설정!$B$7))</x:f>
        <x:v>#NAME?</x:v>
      </x:c>
      <x:c r="I744" s="27" t="e">
        <x:f>IF($A744="","",IF(발령대장_설정!$B$8="","",발령대장_설정!$B$8))</x:f>
        <x:v>#NAME?</x:v>
      </x:c>
      <x:c r="J744" s="27" t="str">
        <x:f>""</x:f>
      </x:c>
    </x:row>
    <x:row r="745" ht="42" customHeight="1">
      <x:c r="A745" s="47" t="e">
        <x:f>IF(AND(대장!A372&lt;&gt;"",ISNUMBER(대장!F372),OR(대장!G372="",AND(ISNUMBER(대장!G372),대장!G372&gt;=대장!F372))),대장!F372,"")</x:f>
        <x:v>#NAME?</x:v>
      </x:c>
      <x:c r="B745" s="27" t="e">
        <x:f>IF($A745="","",IF(발령대장_설정!$B$4="","",발령대장_설정!$B$4))</x:f>
        <x:v>#NAME?</x:v>
      </x:c>
      <x:c r="C745" s="27" t="e">
        <x:f>IF($A745="","",대장!D372)</x:f>
        <x:v>#NAME?</x:v>
      </x:c>
      <x:c r="D745" s="27" t="e">
        <x:f>IF($A745="","",대장!A372)</x:f>
        <x:v>#NAME?</x:v>
      </x:c>
      <x:c r="E745" s="27" t="e">
        <x:f>IF($A745="","",IF(대장!J372&lt;&gt;"",대장!J372,대장!D372&amp;"에 임함"&amp;IF(대장!E372="","",CHAR(10)&amp;"고용형태: "&amp;대장!E372)&amp;IF(대장!I372="","",CHAR(10)&amp;"소정근로시간: "&amp;대장!I372)&amp;CHAR(10)&amp;"근로기간: "&amp;YEAR(대장!F372)&amp;"."&amp;MONTH(대장!F372)&amp;"."&amp;DAY(대장!F372)&amp;"."&amp;" ~ "&amp;IF(ISNUMBER(대장!G372),YEAR(대장!G372)&amp;"."&amp;MONTH(대장!G372)&amp;"."&amp;DAY(대장!G372)&amp;".","재직 중")))</x:f>
        <x:v>#NAME?</x:v>
      </x:c>
      <x:c r="F745" s="27" t="e">
        <x:f>IF($A745="","",IF(발령대장_설정!$B$5="","",발령대장_설정!$B$5))</x:f>
        <x:v>#NAME?</x:v>
      </x:c>
      <x:c r="G745" s="27" t="e">
        <x:f>IF($A745="","",IF(발령대장_설정!$B$6="","",발령대장_설정!$B$6))</x:f>
        <x:v>#NAME?</x:v>
      </x:c>
      <x:c r="H745" s="27" t="e">
        <x:f>IF($A745="","",IF(발령대장_설정!$B$7="","",발령대장_설정!$B$7))</x:f>
        <x:v>#NAME?</x:v>
      </x:c>
      <x:c r="I745" s="27" t="e">
        <x:f>IF($A745="","",IF(발령대장_설정!$B$8="","",발령대장_설정!$B$8))</x:f>
        <x:v>#NAME?</x:v>
      </x:c>
      <x:c r="J745" s="27" t="e">
        <x:f>IF($A745="","",IF(대장!K372="","",대장!K372))</x:f>
        <x:v>#NAME?</x:v>
      </x:c>
    </x:row>
    <x:row r="746" ht="42" customHeight="1">
      <x:c r="A746" s="47" t="e">
        <x:f>IF(AND(대장!A372&lt;&gt;"",ISNUMBER(대장!F372),ISNUMBER(대장!G372),대장!G372&gt;=대장!F372,대장!H372&lt;&gt;""),대장!G372,"")</x:f>
        <x:v>#NAME?</x:v>
      </x:c>
      <x:c r="B746" s="27" t="e">
        <x:f>IF($A746="","",IF(발령대장_설정!$B$4="","",발령대장_설정!$B$4))</x:f>
        <x:v>#NAME?</x:v>
      </x:c>
      <x:c r="C746" s="27" t="e">
        <x:f>IF($A746="","",대장!D372)</x:f>
        <x:v>#NAME?</x:v>
      </x:c>
      <x:c r="D746" s="27" t="e">
        <x:f>IF($A746="","",대장!A372)</x:f>
        <x:v>#NAME?</x:v>
      </x:c>
      <x:c r="E746" s="27" t="e">
        <x:f>IF($A746="","",IF(OR(ISNUMBER(SEARCH("계약만료",대장!H372&amp;"")),ISNUMBER(SEARCH("기간만료",대장!H372&amp;""))),"계약기간 만료로 퇴직",IF(ISNUMBER(SEARCH("의원면직",대장!H372&amp;"")),"의원면직",IF(ISNUMBER(SEARCH("정년퇴직",대장!H372&amp;"")),"정년퇴직",대장!H372))))</x:f>
        <x:v>#NAME?</x:v>
      </x:c>
      <x:c r="F746" s="27" t="e">
        <x:f>IF($A746="","",IF(발령대장_설정!$B$5="","",발령대장_설정!$B$5))</x:f>
        <x:v>#NAME?</x:v>
      </x:c>
      <x:c r="G746" s="27" t="e">
        <x:f>IF($A746="","",IF(발령대장_설정!$B$6="","",발령대장_설정!$B$6))</x:f>
        <x:v>#NAME?</x:v>
      </x:c>
      <x:c r="H746" s="27" t="e">
        <x:f>IF($A746="","",IF(발령대장_설정!$B$7="","",발령대장_설정!$B$7))</x:f>
        <x:v>#NAME?</x:v>
      </x:c>
      <x:c r="I746" s="27" t="e">
        <x:f>IF($A746="","",IF(발령대장_설정!$B$8="","",발령대장_설정!$B$8))</x:f>
        <x:v>#NAME?</x:v>
      </x:c>
      <x:c r="J746" s="27" t="str">
        <x:f>""</x:f>
      </x:c>
    </x:row>
    <x:row r="747" ht="42" customHeight="1">
      <x:c r="A747" s="47" t="e">
        <x:f>IF(AND(대장!A373&lt;&gt;"",ISNUMBER(대장!F373),OR(대장!G373="",AND(ISNUMBER(대장!G373),대장!G373&gt;=대장!F373))),대장!F373,"")</x:f>
        <x:v>#NAME?</x:v>
      </x:c>
      <x:c r="B747" s="27" t="e">
        <x:f>IF($A747="","",IF(발령대장_설정!$B$4="","",발령대장_설정!$B$4))</x:f>
        <x:v>#NAME?</x:v>
      </x:c>
      <x:c r="C747" s="27" t="e">
        <x:f>IF($A747="","",대장!D373)</x:f>
        <x:v>#NAME?</x:v>
      </x:c>
      <x:c r="D747" s="27" t="e">
        <x:f>IF($A747="","",대장!A373)</x:f>
        <x:v>#NAME?</x:v>
      </x:c>
      <x:c r="E747" s="27" t="e">
        <x:f>IF($A747="","",IF(대장!J373&lt;&gt;"",대장!J373,대장!D373&amp;"에 임함"&amp;IF(대장!E373="","",CHAR(10)&amp;"고용형태: "&amp;대장!E373)&amp;IF(대장!I373="","",CHAR(10)&amp;"소정근로시간: "&amp;대장!I373)&amp;CHAR(10)&amp;"근로기간: "&amp;YEAR(대장!F373)&amp;"."&amp;MONTH(대장!F373)&amp;"."&amp;DAY(대장!F373)&amp;"."&amp;" ~ "&amp;IF(ISNUMBER(대장!G373),YEAR(대장!G373)&amp;"."&amp;MONTH(대장!G373)&amp;"."&amp;DAY(대장!G373)&amp;".","재직 중")))</x:f>
        <x:v>#NAME?</x:v>
      </x:c>
      <x:c r="F747" s="27" t="e">
        <x:f>IF($A747="","",IF(발령대장_설정!$B$5="","",발령대장_설정!$B$5))</x:f>
        <x:v>#NAME?</x:v>
      </x:c>
      <x:c r="G747" s="27" t="e">
        <x:f>IF($A747="","",IF(발령대장_설정!$B$6="","",발령대장_설정!$B$6))</x:f>
        <x:v>#NAME?</x:v>
      </x:c>
      <x:c r="H747" s="27" t="e">
        <x:f>IF($A747="","",IF(발령대장_설정!$B$7="","",발령대장_설정!$B$7))</x:f>
        <x:v>#NAME?</x:v>
      </x:c>
      <x:c r="I747" s="27" t="e">
        <x:f>IF($A747="","",IF(발령대장_설정!$B$8="","",발령대장_설정!$B$8))</x:f>
        <x:v>#NAME?</x:v>
      </x:c>
      <x:c r="J747" s="27" t="e">
        <x:f>IF($A747="","",IF(대장!K373="","",대장!K373))</x:f>
        <x:v>#NAME?</x:v>
      </x:c>
    </x:row>
    <x:row r="748" ht="42" customHeight="1">
      <x:c r="A748" s="47" t="e">
        <x:f>IF(AND(대장!A373&lt;&gt;"",ISNUMBER(대장!F373),ISNUMBER(대장!G373),대장!G373&gt;=대장!F373,대장!H373&lt;&gt;""),대장!G373,"")</x:f>
        <x:v>#NAME?</x:v>
      </x:c>
      <x:c r="B748" s="27" t="e">
        <x:f>IF($A748="","",IF(발령대장_설정!$B$4="","",발령대장_설정!$B$4))</x:f>
        <x:v>#NAME?</x:v>
      </x:c>
      <x:c r="C748" s="27" t="e">
        <x:f>IF($A748="","",대장!D373)</x:f>
        <x:v>#NAME?</x:v>
      </x:c>
      <x:c r="D748" s="27" t="e">
        <x:f>IF($A748="","",대장!A373)</x:f>
        <x:v>#NAME?</x:v>
      </x:c>
      <x:c r="E748" s="27" t="e">
        <x:f>IF($A748="","",IF(OR(ISNUMBER(SEARCH("계약만료",대장!H373&amp;"")),ISNUMBER(SEARCH("기간만료",대장!H373&amp;""))),"계약기간 만료로 퇴직",IF(ISNUMBER(SEARCH("의원면직",대장!H373&amp;"")),"의원면직",IF(ISNUMBER(SEARCH("정년퇴직",대장!H373&amp;"")),"정년퇴직",대장!H373))))</x:f>
        <x:v>#NAME?</x:v>
      </x:c>
      <x:c r="F748" s="27" t="e">
        <x:f>IF($A748="","",IF(발령대장_설정!$B$5="","",발령대장_설정!$B$5))</x:f>
        <x:v>#NAME?</x:v>
      </x:c>
      <x:c r="G748" s="27" t="e">
        <x:f>IF($A748="","",IF(발령대장_설정!$B$6="","",발령대장_설정!$B$6))</x:f>
        <x:v>#NAME?</x:v>
      </x:c>
      <x:c r="H748" s="27" t="e">
        <x:f>IF($A748="","",IF(발령대장_설정!$B$7="","",발령대장_설정!$B$7))</x:f>
        <x:v>#NAME?</x:v>
      </x:c>
      <x:c r="I748" s="27" t="e">
        <x:f>IF($A748="","",IF(발령대장_설정!$B$8="","",발령대장_설정!$B$8))</x:f>
        <x:v>#NAME?</x:v>
      </x:c>
      <x:c r="J748" s="27" t="str">
        <x:f>""</x:f>
      </x:c>
    </x:row>
    <x:row r="749" ht="42" customHeight="1">
      <x:c r="A749" s="47" t="e">
        <x:f>IF(AND(대장!A374&lt;&gt;"",ISNUMBER(대장!F374),OR(대장!G374="",AND(ISNUMBER(대장!G374),대장!G374&gt;=대장!F374))),대장!F374,"")</x:f>
        <x:v>#NAME?</x:v>
      </x:c>
      <x:c r="B749" s="27" t="e">
        <x:f>IF($A749="","",IF(발령대장_설정!$B$4="","",발령대장_설정!$B$4))</x:f>
        <x:v>#NAME?</x:v>
      </x:c>
      <x:c r="C749" s="27" t="e">
        <x:f>IF($A749="","",대장!D374)</x:f>
        <x:v>#NAME?</x:v>
      </x:c>
      <x:c r="D749" s="27" t="e">
        <x:f>IF($A749="","",대장!A374)</x:f>
        <x:v>#NAME?</x:v>
      </x:c>
      <x:c r="E749" s="27" t="e">
        <x:f>IF($A749="","",IF(대장!J374&lt;&gt;"",대장!J374,대장!D374&amp;"에 임함"&amp;IF(대장!E374="","",CHAR(10)&amp;"고용형태: "&amp;대장!E374)&amp;IF(대장!I374="","",CHAR(10)&amp;"소정근로시간: "&amp;대장!I374)&amp;CHAR(10)&amp;"근로기간: "&amp;YEAR(대장!F374)&amp;"."&amp;MONTH(대장!F374)&amp;"."&amp;DAY(대장!F374)&amp;"."&amp;" ~ "&amp;IF(ISNUMBER(대장!G374),YEAR(대장!G374)&amp;"."&amp;MONTH(대장!G374)&amp;"."&amp;DAY(대장!G374)&amp;".","재직 중")))</x:f>
        <x:v>#NAME?</x:v>
      </x:c>
      <x:c r="F749" s="27" t="e">
        <x:f>IF($A749="","",IF(발령대장_설정!$B$5="","",발령대장_설정!$B$5))</x:f>
        <x:v>#NAME?</x:v>
      </x:c>
      <x:c r="G749" s="27" t="e">
        <x:f>IF($A749="","",IF(발령대장_설정!$B$6="","",발령대장_설정!$B$6))</x:f>
        <x:v>#NAME?</x:v>
      </x:c>
      <x:c r="H749" s="27" t="e">
        <x:f>IF($A749="","",IF(발령대장_설정!$B$7="","",발령대장_설정!$B$7))</x:f>
        <x:v>#NAME?</x:v>
      </x:c>
      <x:c r="I749" s="27" t="e">
        <x:f>IF($A749="","",IF(발령대장_설정!$B$8="","",발령대장_설정!$B$8))</x:f>
        <x:v>#NAME?</x:v>
      </x:c>
      <x:c r="J749" s="27" t="e">
        <x:f>IF($A749="","",IF(대장!K374="","",대장!K374))</x:f>
        <x:v>#NAME?</x:v>
      </x:c>
    </x:row>
    <x:row r="750" ht="42" customHeight="1">
      <x:c r="A750" s="47" t="e">
        <x:f>IF(AND(대장!A374&lt;&gt;"",ISNUMBER(대장!F374),ISNUMBER(대장!G374),대장!G374&gt;=대장!F374,대장!H374&lt;&gt;""),대장!G374,"")</x:f>
        <x:v>#NAME?</x:v>
      </x:c>
      <x:c r="B750" s="27" t="e">
        <x:f>IF($A750="","",IF(발령대장_설정!$B$4="","",발령대장_설정!$B$4))</x:f>
        <x:v>#NAME?</x:v>
      </x:c>
      <x:c r="C750" s="27" t="e">
        <x:f>IF($A750="","",대장!D374)</x:f>
        <x:v>#NAME?</x:v>
      </x:c>
      <x:c r="D750" s="27" t="e">
        <x:f>IF($A750="","",대장!A374)</x:f>
        <x:v>#NAME?</x:v>
      </x:c>
      <x:c r="E750" s="27" t="e">
        <x:f>IF($A750="","",IF(OR(ISNUMBER(SEARCH("계약만료",대장!H374&amp;"")),ISNUMBER(SEARCH("기간만료",대장!H374&amp;""))),"계약기간 만료로 퇴직",IF(ISNUMBER(SEARCH("의원면직",대장!H374&amp;"")),"의원면직",IF(ISNUMBER(SEARCH("정년퇴직",대장!H374&amp;"")),"정년퇴직",대장!H374))))</x:f>
        <x:v>#NAME?</x:v>
      </x:c>
      <x:c r="F750" s="27" t="e">
        <x:f>IF($A750="","",IF(발령대장_설정!$B$5="","",발령대장_설정!$B$5))</x:f>
        <x:v>#NAME?</x:v>
      </x:c>
      <x:c r="G750" s="27" t="e">
        <x:f>IF($A750="","",IF(발령대장_설정!$B$6="","",발령대장_설정!$B$6))</x:f>
        <x:v>#NAME?</x:v>
      </x:c>
      <x:c r="H750" s="27" t="e">
        <x:f>IF($A750="","",IF(발령대장_설정!$B$7="","",발령대장_설정!$B$7))</x:f>
        <x:v>#NAME?</x:v>
      </x:c>
      <x:c r="I750" s="27" t="e">
        <x:f>IF($A750="","",IF(발령대장_설정!$B$8="","",발령대장_설정!$B$8))</x:f>
        <x:v>#NAME?</x:v>
      </x:c>
      <x:c r="J750" s="27" t="str">
        <x:f>""</x:f>
      </x:c>
    </x:row>
    <x:row r="751" ht="42" customHeight="1">
      <x:c r="A751" s="47" t="e">
        <x:f>IF(AND(대장!A375&lt;&gt;"",ISNUMBER(대장!F375),OR(대장!G375="",AND(ISNUMBER(대장!G375),대장!G375&gt;=대장!F375))),대장!F375,"")</x:f>
        <x:v>#NAME?</x:v>
      </x:c>
      <x:c r="B751" s="27" t="e">
        <x:f>IF($A751="","",IF(발령대장_설정!$B$4="","",발령대장_설정!$B$4))</x:f>
        <x:v>#NAME?</x:v>
      </x:c>
      <x:c r="C751" s="27" t="e">
        <x:f>IF($A751="","",대장!D375)</x:f>
        <x:v>#NAME?</x:v>
      </x:c>
      <x:c r="D751" s="27" t="e">
        <x:f>IF($A751="","",대장!A375)</x:f>
        <x:v>#NAME?</x:v>
      </x:c>
      <x:c r="E751" s="27" t="e">
        <x:f>IF($A751="","",IF(대장!J375&lt;&gt;"",대장!J375,대장!D375&amp;"에 임함"&amp;IF(대장!E375="","",CHAR(10)&amp;"고용형태: "&amp;대장!E375)&amp;IF(대장!I375="","",CHAR(10)&amp;"소정근로시간: "&amp;대장!I375)&amp;CHAR(10)&amp;"근로기간: "&amp;YEAR(대장!F375)&amp;"."&amp;MONTH(대장!F375)&amp;"."&amp;DAY(대장!F375)&amp;"."&amp;" ~ "&amp;IF(ISNUMBER(대장!G375),YEAR(대장!G375)&amp;"."&amp;MONTH(대장!G375)&amp;"."&amp;DAY(대장!G375)&amp;".","재직 중")))</x:f>
        <x:v>#NAME?</x:v>
      </x:c>
      <x:c r="F751" s="27" t="e">
        <x:f>IF($A751="","",IF(발령대장_설정!$B$5="","",발령대장_설정!$B$5))</x:f>
        <x:v>#NAME?</x:v>
      </x:c>
      <x:c r="G751" s="27" t="e">
        <x:f>IF($A751="","",IF(발령대장_설정!$B$6="","",발령대장_설정!$B$6))</x:f>
        <x:v>#NAME?</x:v>
      </x:c>
      <x:c r="H751" s="27" t="e">
        <x:f>IF($A751="","",IF(발령대장_설정!$B$7="","",발령대장_설정!$B$7))</x:f>
        <x:v>#NAME?</x:v>
      </x:c>
      <x:c r="I751" s="27" t="e">
        <x:f>IF($A751="","",IF(발령대장_설정!$B$8="","",발령대장_설정!$B$8))</x:f>
        <x:v>#NAME?</x:v>
      </x:c>
      <x:c r="J751" s="27" t="e">
        <x:f>IF($A751="","",IF(대장!K375="","",대장!K375))</x:f>
        <x:v>#NAME?</x:v>
      </x:c>
    </x:row>
    <x:row r="752" ht="42" customHeight="1">
      <x:c r="A752" s="47" t="e">
        <x:f>IF(AND(대장!A375&lt;&gt;"",ISNUMBER(대장!F375),ISNUMBER(대장!G375),대장!G375&gt;=대장!F375,대장!H375&lt;&gt;""),대장!G375,"")</x:f>
        <x:v>#NAME?</x:v>
      </x:c>
      <x:c r="B752" s="27" t="e">
        <x:f>IF($A752="","",IF(발령대장_설정!$B$4="","",발령대장_설정!$B$4))</x:f>
        <x:v>#NAME?</x:v>
      </x:c>
      <x:c r="C752" s="27" t="e">
        <x:f>IF($A752="","",대장!D375)</x:f>
        <x:v>#NAME?</x:v>
      </x:c>
      <x:c r="D752" s="27" t="e">
        <x:f>IF($A752="","",대장!A375)</x:f>
        <x:v>#NAME?</x:v>
      </x:c>
      <x:c r="E752" s="27" t="e">
        <x:f>IF($A752="","",IF(OR(ISNUMBER(SEARCH("계약만료",대장!H375&amp;"")),ISNUMBER(SEARCH("기간만료",대장!H375&amp;""))),"계약기간 만료로 퇴직",IF(ISNUMBER(SEARCH("의원면직",대장!H375&amp;"")),"의원면직",IF(ISNUMBER(SEARCH("정년퇴직",대장!H375&amp;"")),"정년퇴직",대장!H375))))</x:f>
        <x:v>#NAME?</x:v>
      </x:c>
      <x:c r="F752" s="27" t="e">
        <x:f>IF($A752="","",IF(발령대장_설정!$B$5="","",발령대장_설정!$B$5))</x:f>
        <x:v>#NAME?</x:v>
      </x:c>
      <x:c r="G752" s="27" t="e">
        <x:f>IF($A752="","",IF(발령대장_설정!$B$6="","",발령대장_설정!$B$6))</x:f>
        <x:v>#NAME?</x:v>
      </x:c>
      <x:c r="H752" s="27" t="e">
        <x:f>IF($A752="","",IF(발령대장_설정!$B$7="","",발령대장_설정!$B$7))</x:f>
        <x:v>#NAME?</x:v>
      </x:c>
      <x:c r="I752" s="27" t="e">
        <x:f>IF($A752="","",IF(발령대장_설정!$B$8="","",발령대장_설정!$B$8))</x:f>
        <x:v>#NAME?</x:v>
      </x:c>
      <x:c r="J752" s="27" t="str">
        <x:f>""</x:f>
      </x:c>
    </x:row>
    <x:row r="753" ht="42" customHeight="1">
      <x:c r="A753" s="47" t="e">
        <x:f>IF(AND(대장!A376&lt;&gt;"",ISNUMBER(대장!F376),OR(대장!G376="",AND(ISNUMBER(대장!G376),대장!G376&gt;=대장!F376))),대장!F376,"")</x:f>
        <x:v>#NAME?</x:v>
      </x:c>
      <x:c r="B753" s="27" t="e">
        <x:f>IF($A753="","",IF(발령대장_설정!$B$4="","",발령대장_설정!$B$4))</x:f>
        <x:v>#NAME?</x:v>
      </x:c>
      <x:c r="C753" s="27" t="e">
        <x:f>IF($A753="","",대장!D376)</x:f>
        <x:v>#NAME?</x:v>
      </x:c>
      <x:c r="D753" s="27" t="e">
        <x:f>IF($A753="","",대장!A376)</x:f>
        <x:v>#NAME?</x:v>
      </x:c>
      <x:c r="E753" s="27" t="e">
        <x:f>IF($A753="","",IF(대장!J376&lt;&gt;"",대장!J376,대장!D376&amp;"에 임함"&amp;IF(대장!E376="","",CHAR(10)&amp;"고용형태: "&amp;대장!E376)&amp;IF(대장!I376="","",CHAR(10)&amp;"소정근로시간: "&amp;대장!I376)&amp;CHAR(10)&amp;"근로기간: "&amp;YEAR(대장!F376)&amp;"."&amp;MONTH(대장!F376)&amp;"."&amp;DAY(대장!F376)&amp;"."&amp;" ~ "&amp;IF(ISNUMBER(대장!G376),YEAR(대장!G376)&amp;"."&amp;MONTH(대장!G376)&amp;"."&amp;DAY(대장!G376)&amp;".","재직 중")))</x:f>
        <x:v>#NAME?</x:v>
      </x:c>
      <x:c r="F753" s="27" t="e">
        <x:f>IF($A753="","",IF(발령대장_설정!$B$5="","",발령대장_설정!$B$5))</x:f>
        <x:v>#NAME?</x:v>
      </x:c>
      <x:c r="G753" s="27" t="e">
        <x:f>IF($A753="","",IF(발령대장_설정!$B$6="","",발령대장_설정!$B$6))</x:f>
        <x:v>#NAME?</x:v>
      </x:c>
      <x:c r="H753" s="27" t="e">
        <x:f>IF($A753="","",IF(발령대장_설정!$B$7="","",발령대장_설정!$B$7))</x:f>
        <x:v>#NAME?</x:v>
      </x:c>
      <x:c r="I753" s="27" t="e">
        <x:f>IF($A753="","",IF(발령대장_설정!$B$8="","",발령대장_설정!$B$8))</x:f>
        <x:v>#NAME?</x:v>
      </x:c>
      <x:c r="J753" s="27" t="e">
        <x:f>IF($A753="","",IF(대장!K376="","",대장!K376))</x:f>
        <x:v>#NAME?</x:v>
      </x:c>
    </x:row>
    <x:row r="754" ht="42" customHeight="1">
      <x:c r="A754" s="47" t="e">
        <x:f>IF(AND(대장!A376&lt;&gt;"",ISNUMBER(대장!F376),ISNUMBER(대장!G376),대장!G376&gt;=대장!F376,대장!H376&lt;&gt;""),대장!G376,"")</x:f>
        <x:v>#NAME?</x:v>
      </x:c>
      <x:c r="B754" s="27" t="e">
        <x:f>IF($A754="","",IF(발령대장_설정!$B$4="","",발령대장_설정!$B$4))</x:f>
        <x:v>#NAME?</x:v>
      </x:c>
      <x:c r="C754" s="27" t="e">
        <x:f>IF($A754="","",대장!D376)</x:f>
        <x:v>#NAME?</x:v>
      </x:c>
      <x:c r="D754" s="27" t="e">
        <x:f>IF($A754="","",대장!A376)</x:f>
        <x:v>#NAME?</x:v>
      </x:c>
      <x:c r="E754" s="27" t="e">
        <x:f>IF($A754="","",IF(OR(ISNUMBER(SEARCH("계약만료",대장!H376&amp;"")),ISNUMBER(SEARCH("기간만료",대장!H376&amp;""))),"계약기간 만료로 퇴직",IF(ISNUMBER(SEARCH("의원면직",대장!H376&amp;"")),"의원면직",IF(ISNUMBER(SEARCH("정년퇴직",대장!H376&amp;"")),"정년퇴직",대장!H376))))</x:f>
        <x:v>#NAME?</x:v>
      </x:c>
      <x:c r="F754" s="27" t="e">
        <x:f>IF($A754="","",IF(발령대장_설정!$B$5="","",발령대장_설정!$B$5))</x:f>
        <x:v>#NAME?</x:v>
      </x:c>
      <x:c r="G754" s="27" t="e">
        <x:f>IF($A754="","",IF(발령대장_설정!$B$6="","",발령대장_설정!$B$6))</x:f>
        <x:v>#NAME?</x:v>
      </x:c>
      <x:c r="H754" s="27" t="e">
        <x:f>IF($A754="","",IF(발령대장_설정!$B$7="","",발령대장_설정!$B$7))</x:f>
        <x:v>#NAME?</x:v>
      </x:c>
      <x:c r="I754" s="27" t="e">
        <x:f>IF($A754="","",IF(발령대장_설정!$B$8="","",발령대장_설정!$B$8))</x:f>
        <x:v>#NAME?</x:v>
      </x:c>
      <x:c r="J754" s="27" t="str">
        <x:f>""</x:f>
      </x:c>
    </x:row>
    <x:row r="755" ht="42" customHeight="1">
      <x:c r="A755" s="47" t="e">
        <x:f>IF(AND(대장!A377&lt;&gt;"",ISNUMBER(대장!F377),OR(대장!G377="",AND(ISNUMBER(대장!G377),대장!G377&gt;=대장!F377))),대장!F377,"")</x:f>
        <x:v>#NAME?</x:v>
      </x:c>
      <x:c r="B755" s="27" t="e">
        <x:f>IF($A755="","",IF(발령대장_설정!$B$4="","",발령대장_설정!$B$4))</x:f>
        <x:v>#NAME?</x:v>
      </x:c>
      <x:c r="C755" s="27" t="e">
        <x:f>IF($A755="","",대장!D377)</x:f>
        <x:v>#NAME?</x:v>
      </x:c>
      <x:c r="D755" s="27" t="e">
        <x:f>IF($A755="","",대장!A377)</x:f>
        <x:v>#NAME?</x:v>
      </x:c>
      <x:c r="E755" s="27" t="e">
        <x:f>IF($A755="","",IF(대장!J377&lt;&gt;"",대장!J377,대장!D377&amp;"에 임함"&amp;IF(대장!E377="","",CHAR(10)&amp;"고용형태: "&amp;대장!E377)&amp;IF(대장!I377="","",CHAR(10)&amp;"소정근로시간: "&amp;대장!I377)&amp;CHAR(10)&amp;"근로기간: "&amp;YEAR(대장!F377)&amp;"."&amp;MONTH(대장!F377)&amp;"."&amp;DAY(대장!F377)&amp;"."&amp;" ~ "&amp;IF(ISNUMBER(대장!G377),YEAR(대장!G377)&amp;"."&amp;MONTH(대장!G377)&amp;"."&amp;DAY(대장!G377)&amp;".","재직 중")))</x:f>
        <x:v>#NAME?</x:v>
      </x:c>
      <x:c r="F755" s="27" t="e">
        <x:f>IF($A755="","",IF(발령대장_설정!$B$5="","",발령대장_설정!$B$5))</x:f>
        <x:v>#NAME?</x:v>
      </x:c>
      <x:c r="G755" s="27" t="e">
        <x:f>IF($A755="","",IF(발령대장_설정!$B$6="","",발령대장_설정!$B$6))</x:f>
        <x:v>#NAME?</x:v>
      </x:c>
      <x:c r="H755" s="27" t="e">
        <x:f>IF($A755="","",IF(발령대장_설정!$B$7="","",발령대장_설정!$B$7))</x:f>
        <x:v>#NAME?</x:v>
      </x:c>
      <x:c r="I755" s="27" t="e">
        <x:f>IF($A755="","",IF(발령대장_설정!$B$8="","",발령대장_설정!$B$8))</x:f>
        <x:v>#NAME?</x:v>
      </x:c>
      <x:c r="J755" s="27" t="e">
        <x:f>IF($A755="","",IF(대장!K377="","",대장!K377))</x:f>
        <x:v>#NAME?</x:v>
      </x:c>
    </x:row>
    <x:row r="756" ht="42" customHeight="1">
      <x:c r="A756" s="47" t="e">
        <x:f>IF(AND(대장!A377&lt;&gt;"",ISNUMBER(대장!F377),ISNUMBER(대장!G377),대장!G377&gt;=대장!F377,대장!H377&lt;&gt;""),대장!G377,"")</x:f>
        <x:v>#NAME?</x:v>
      </x:c>
      <x:c r="B756" s="27" t="e">
        <x:f>IF($A756="","",IF(발령대장_설정!$B$4="","",발령대장_설정!$B$4))</x:f>
        <x:v>#NAME?</x:v>
      </x:c>
      <x:c r="C756" s="27" t="e">
        <x:f>IF($A756="","",대장!D377)</x:f>
        <x:v>#NAME?</x:v>
      </x:c>
      <x:c r="D756" s="27" t="e">
        <x:f>IF($A756="","",대장!A377)</x:f>
        <x:v>#NAME?</x:v>
      </x:c>
      <x:c r="E756" s="27" t="e">
        <x:f>IF($A756="","",IF(OR(ISNUMBER(SEARCH("계약만료",대장!H377&amp;"")),ISNUMBER(SEARCH("기간만료",대장!H377&amp;""))),"계약기간 만료로 퇴직",IF(ISNUMBER(SEARCH("의원면직",대장!H377&amp;"")),"의원면직",IF(ISNUMBER(SEARCH("정년퇴직",대장!H377&amp;"")),"정년퇴직",대장!H377))))</x:f>
        <x:v>#NAME?</x:v>
      </x:c>
      <x:c r="F756" s="27" t="e">
        <x:f>IF($A756="","",IF(발령대장_설정!$B$5="","",발령대장_설정!$B$5))</x:f>
        <x:v>#NAME?</x:v>
      </x:c>
      <x:c r="G756" s="27" t="e">
        <x:f>IF($A756="","",IF(발령대장_설정!$B$6="","",발령대장_설정!$B$6))</x:f>
        <x:v>#NAME?</x:v>
      </x:c>
      <x:c r="H756" s="27" t="e">
        <x:f>IF($A756="","",IF(발령대장_설정!$B$7="","",발령대장_설정!$B$7))</x:f>
        <x:v>#NAME?</x:v>
      </x:c>
      <x:c r="I756" s="27" t="e">
        <x:f>IF($A756="","",IF(발령대장_설정!$B$8="","",발령대장_설정!$B$8))</x:f>
        <x:v>#NAME?</x:v>
      </x:c>
      <x:c r="J756" s="27" t="str">
        <x:f>""</x:f>
      </x:c>
    </x:row>
    <x:row r="757" ht="42" customHeight="1">
      <x:c r="A757" s="47" t="e">
        <x:f>IF(AND(대장!A378&lt;&gt;"",ISNUMBER(대장!F378),OR(대장!G378="",AND(ISNUMBER(대장!G378),대장!G378&gt;=대장!F378))),대장!F378,"")</x:f>
        <x:v>#NAME?</x:v>
      </x:c>
      <x:c r="B757" s="27" t="e">
        <x:f>IF($A757="","",IF(발령대장_설정!$B$4="","",발령대장_설정!$B$4))</x:f>
        <x:v>#NAME?</x:v>
      </x:c>
      <x:c r="C757" s="27" t="e">
        <x:f>IF($A757="","",대장!D378)</x:f>
        <x:v>#NAME?</x:v>
      </x:c>
      <x:c r="D757" s="27" t="e">
        <x:f>IF($A757="","",대장!A378)</x:f>
        <x:v>#NAME?</x:v>
      </x:c>
      <x:c r="E757" s="27" t="e">
        <x:f>IF($A757="","",IF(대장!J378&lt;&gt;"",대장!J378,대장!D378&amp;"에 임함"&amp;IF(대장!E378="","",CHAR(10)&amp;"고용형태: "&amp;대장!E378)&amp;IF(대장!I378="","",CHAR(10)&amp;"소정근로시간: "&amp;대장!I378)&amp;CHAR(10)&amp;"근로기간: "&amp;YEAR(대장!F378)&amp;"."&amp;MONTH(대장!F378)&amp;"."&amp;DAY(대장!F378)&amp;"."&amp;" ~ "&amp;IF(ISNUMBER(대장!G378),YEAR(대장!G378)&amp;"."&amp;MONTH(대장!G378)&amp;"."&amp;DAY(대장!G378)&amp;".","재직 중")))</x:f>
        <x:v>#NAME?</x:v>
      </x:c>
      <x:c r="F757" s="27" t="e">
        <x:f>IF($A757="","",IF(발령대장_설정!$B$5="","",발령대장_설정!$B$5))</x:f>
        <x:v>#NAME?</x:v>
      </x:c>
      <x:c r="G757" s="27" t="e">
        <x:f>IF($A757="","",IF(발령대장_설정!$B$6="","",발령대장_설정!$B$6))</x:f>
        <x:v>#NAME?</x:v>
      </x:c>
      <x:c r="H757" s="27" t="e">
        <x:f>IF($A757="","",IF(발령대장_설정!$B$7="","",발령대장_설정!$B$7))</x:f>
        <x:v>#NAME?</x:v>
      </x:c>
      <x:c r="I757" s="27" t="e">
        <x:f>IF($A757="","",IF(발령대장_설정!$B$8="","",발령대장_설정!$B$8))</x:f>
        <x:v>#NAME?</x:v>
      </x:c>
      <x:c r="J757" s="27" t="e">
        <x:f>IF($A757="","",IF(대장!K378="","",대장!K378))</x:f>
        <x:v>#NAME?</x:v>
      </x:c>
    </x:row>
    <x:row r="758" ht="42" customHeight="1">
      <x:c r="A758" s="47" t="e">
        <x:f>IF(AND(대장!A378&lt;&gt;"",ISNUMBER(대장!F378),ISNUMBER(대장!G378),대장!G378&gt;=대장!F378,대장!H378&lt;&gt;""),대장!G378,"")</x:f>
        <x:v>#NAME?</x:v>
      </x:c>
      <x:c r="B758" s="27" t="e">
        <x:f>IF($A758="","",IF(발령대장_설정!$B$4="","",발령대장_설정!$B$4))</x:f>
        <x:v>#NAME?</x:v>
      </x:c>
      <x:c r="C758" s="27" t="e">
        <x:f>IF($A758="","",대장!D378)</x:f>
        <x:v>#NAME?</x:v>
      </x:c>
      <x:c r="D758" s="27" t="e">
        <x:f>IF($A758="","",대장!A378)</x:f>
        <x:v>#NAME?</x:v>
      </x:c>
      <x:c r="E758" s="27" t="e">
        <x:f>IF($A758="","",IF(OR(ISNUMBER(SEARCH("계약만료",대장!H378&amp;"")),ISNUMBER(SEARCH("기간만료",대장!H378&amp;""))),"계약기간 만료로 퇴직",IF(ISNUMBER(SEARCH("의원면직",대장!H378&amp;"")),"의원면직",IF(ISNUMBER(SEARCH("정년퇴직",대장!H378&amp;"")),"정년퇴직",대장!H378))))</x:f>
        <x:v>#NAME?</x:v>
      </x:c>
      <x:c r="F758" s="27" t="e">
        <x:f>IF($A758="","",IF(발령대장_설정!$B$5="","",발령대장_설정!$B$5))</x:f>
        <x:v>#NAME?</x:v>
      </x:c>
      <x:c r="G758" s="27" t="e">
        <x:f>IF($A758="","",IF(발령대장_설정!$B$6="","",발령대장_설정!$B$6))</x:f>
        <x:v>#NAME?</x:v>
      </x:c>
      <x:c r="H758" s="27" t="e">
        <x:f>IF($A758="","",IF(발령대장_설정!$B$7="","",발령대장_설정!$B$7))</x:f>
        <x:v>#NAME?</x:v>
      </x:c>
      <x:c r="I758" s="27" t="e">
        <x:f>IF($A758="","",IF(발령대장_설정!$B$8="","",발령대장_설정!$B$8))</x:f>
        <x:v>#NAME?</x:v>
      </x:c>
      <x:c r="J758" s="27" t="str">
        <x:f>""</x:f>
      </x:c>
    </x:row>
    <x:row r="759" ht="42" customHeight="1">
      <x:c r="A759" s="47" t="e">
        <x:f>IF(AND(대장!A379&lt;&gt;"",ISNUMBER(대장!F379),OR(대장!G379="",AND(ISNUMBER(대장!G379),대장!G379&gt;=대장!F379))),대장!F379,"")</x:f>
        <x:v>#NAME?</x:v>
      </x:c>
      <x:c r="B759" s="27" t="e">
        <x:f>IF($A759="","",IF(발령대장_설정!$B$4="","",발령대장_설정!$B$4))</x:f>
        <x:v>#NAME?</x:v>
      </x:c>
      <x:c r="C759" s="27" t="e">
        <x:f>IF($A759="","",대장!D379)</x:f>
        <x:v>#NAME?</x:v>
      </x:c>
      <x:c r="D759" s="27" t="e">
        <x:f>IF($A759="","",대장!A379)</x:f>
        <x:v>#NAME?</x:v>
      </x:c>
      <x:c r="E759" s="27" t="e">
        <x:f>IF($A759="","",IF(대장!J379&lt;&gt;"",대장!J379,대장!D379&amp;"에 임함"&amp;IF(대장!E379="","",CHAR(10)&amp;"고용형태: "&amp;대장!E379)&amp;IF(대장!I379="","",CHAR(10)&amp;"소정근로시간: "&amp;대장!I379)&amp;CHAR(10)&amp;"근로기간: "&amp;YEAR(대장!F379)&amp;"."&amp;MONTH(대장!F379)&amp;"."&amp;DAY(대장!F379)&amp;"."&amp;" ~ "&amp;IF(ISNUMBER(대장!G379),YEAR(대장!G379)&amp;"."&amp;MONTH(대장!G379)&amp;"."&amp;DAY(대장!G379)&amp;".","재직 중")))</x:f>
        <x:v>#NAME?</x:v>
      </x:c>
      <x:c r="F759" s="27" t="e">
        <x:f>IF($A759="","",IF(발령대장_설정!$B$5="","",발령대장_설정!$B$5))</x:f>
        <x:v>#NAME?</x:v>
      </x:c>
      <x:c r="G759" s="27" t="e">
        <x:f>IF($A759="","",IF(발령대장_설정!$B$6="","",발령대장_설정!$B$6))</x:f>
        <x:v>#NAME?</x:v>
      </x:c>
      <x:c r="H759" s="27" t="e">
        <x:f>IF($A759="","",IF(발령대장_설정!$B$7="","",발령대장_설정!$B$7))</x:f>
        <x:v>#NAME?</x:v>
      </x:c>
      <x:c r="I759" s="27" t="e">
        <x:f>IF($A759="","",IF(발령대장_설정!$B$8="","",발령대장_설정!$B$8))</x:f>
        <x:v>#NAME?</x:v>
      </x:c>
      <x:c r="J759" s="27" t="e">
        <x:f>IF($A759="","",IF(대장!K379="","",대장!K379))</x:f>
        <x:v>#NAME?</x:v>
      </x:c>
    </x:row>
    <x:row r="760" ht="42" customHeight="1">
      <x:c r="A760" s="47" t="e">
        <x:f>IF(AND(대장!A379&lt;&gt;"",ISNUMBER(대장!F379),ISNUMBER(대장!G379),대장!G379&gt;=대장!F379,대장!H379&lt;&gt;""),대장!G379,"")</x:f>
        <x:v>#NAME?</x:v>
      </x:c>
      <x:c r="B760" s="27" t="e">
        <x:f>IF($A760="","",IF(발령대장_설정!$B$4="","",발령대장_설정!$B$4))</x:f>
        <x:v>#NAME?</x:v>
      </x:c>
      <x:c r="C760" s="27" t="e">
        <x:f>IF($A760="","",대장!D379)</x:f>
        <x:v>#NAME?</x:v>
      </x:c>
      <x:c r="D760" s="27" t="e">
        <x:f>IF($A760="","",대장!A379)</x:f>
        <x:v>#NAME?</x:v>
      </x:c>
      <x:c r="E760" s="27" t="e">
        <x:f>IF($A760="","",IF(OR(ISNUMBER(SEARCH("계약만료",대장!H379&amp;"")),ISNUMBER(SEARCH("기간만료",대장!H379&amp;""))),"계약기간 만료로 퇴직",IF(ISNUMBER(SEARCH("의원면직",대장!H379&amp;"")),"의원면직",IF(ISNUMBER(SEARCH("정년퇴직",대장!H379&amp;"")),"정년퇴직",대장!H379))))</x:f>
        <x:v>#NAME?</x:v>
      </x:c>
      <x:c r="F760" s="27" t="e">
        <x:f>IF($A760="","",IF(발령대장_설정!$B$5="","",발령대장_설정!$B$5))</x:f>
        <x:v>#NAME?</x:v>
      </x:c>
      <x:c r="G760" s="27" t="e">
        <x:f>IF($A760="","",IF(발령대장_설정!$B$6="","",발령대장_설정!$B$6))</x:f>
        <x:v>#NAME?</x:v>
      </x:c>
      <x:c r="H760" s="27" t="e">
        <x:f>IF($A760="","",IF(발령대장_설정!$B$7="","",발령대장_설정!$B$7))</x:f>
        <x:v>#NAME?</x:v>
      </x:c>
      <x:c r="I760" s="27" t="e">
        <x:f>IF($A760="","",IF(발령대장_설정!$B$8="","",발령대장_설정!$B$8))</x:f>
        <x:v>#NAME?</x:v>
      </x:c>
      <x:c r="J760" s="27" t="str">
        <x:f>""</x:f>
      </x:c>
    </x:row>
    <x:row r="761" ht="42" customHeight="1">
      <x:c r="A761" s="47" t="e">
        <x:f>IF(AND(대장!A380&lt;&gt;"",ISNUMBER(대장!F380),OR(대장!G380="",AND(ISNUMBER(대장!G380),대장!G380&gt;=대장!F380))),대장!F380,"")</x:f>
        <x:v>#NAME?</x:v>
      </x:c>
      <x:c r="B761" s="27" t="e">
        <x:f>IF($A761="","",IF(발령대장_설정!$B$4="","",발령대장_설정!$B$4))</x:f>
        <x:v>#NAME?</x:v>
      </x:c>
      <x:c r="C761" s="27" t="e">
        <x:f>IF($A761="","",대장!D380)</x:f>
        <x:v>#NAME?</x:v>
      </x:c>
      <x:c r="D761" s="27" t="e">
        <x:f>IF($A761="","",대장!A380)</x:f>
        <x:v>#NAME?</x:v>
      </x:c>
      <x:c r="E761" s="27" t="e">
        <x:f>IF($A761="","",IF(대장!J380&lt;&gt;"",대장!J380,대장!D380&amp;"에 임함"&amp;IF(대장!E380="","",CHAR(10)&amp;"고용형태: "&amp;대장!E380)&amp;IF(대장!I380="","",CHAR(10)&amp;"소정근로시간: "&amp;대장!I380)&amp;CHAR(10)&amp;"근로기간: "&amp;YEAR(대장!F380)&amp;"."&amp;MONTH(대장!F380)&amp;"."&amp;DAY(대장!F380)&amp;"."&amp;" ~ "&amp;IF(ISNUMBER(대장!G380),YEAR(대장!G380)&amp;"."&amp;MONTH(대장!G380)&amp;"."&amp;DAY(대장!G380)&amp;".","재직 중")))</x:f>
        <x:v>#NAME?</x:v>
      </x:c>
      <x:c r="F761" s="27" t="e">
        <x:f>IF($A761="","",IF(발령대장_설정!$B$5="","",발령대장_설정!$B$5))</x:f>
        <x:v>#NAME?</x:v>
      </x:c>
      <x:c r="G761" s="27" t="e">
        <x:f>IF($A761="","",IF(발령대장_설정!$B$6="","",발령대장_설정!$B$6))</x:f>
        <x:v>#NAME?</x:v>
      </x:c>
      <x:c r="H761" s="27" t="e">
        <x:f>IF($A761="","",IF(발령대장_설정!$B$7="","",발령대장_설정!$B$7))</x:f>
        <x:v>#NAME?</x:v>
      </x:c>
      <x:c r="I761" s="27" t="e">
        <x:f>IF($A761="","",IF(발령대장_설정!$B$8="","",발령대장_설정!$B$8))</x:f>
        <x:v>#NAME?</x:v>
      </x:c>
      <x:c r="J761" s="27" t="e">
        <x:f>IF($A761="","",IF(대장!K380="","",대장!K380))</x:f>
        <x:v>#NAME?</x:v>
      </x:c>
    </x:row>
    <x:row r="762" ht="42" customHeight="1">
      <x:c r="A762" s="47" t="e">
        <x:f>IF(AND(대장!A380&lt;&gt;"",ISNUMBER(대장!F380),ISNUMBER(대장!G380),대장!G380&gt;=대장!F380,대장!H380&lt;&gt;""),대장!G380,"")</x:f>
        <x:v>#NAME?</x:v>
      </x:c>
      <x:c r="B762" s="27" t="e">
        <x:f>IF($A762="","",IF(발령대장_설정!$B$4="","",발령대장_설정!$B$4))</x:f>
        <x:v>#NAME?</x:v>
      </x:c>
      <x:c r="C762" s="27" t="e">
        <x:f>IF($A762="","",대장!D380)</x:f>
        <x:v>#NAME?</x:v>
      </x:c>
      <x:c r="D762" s="27" t="e">
        <x:f>IF($A762="","",대장!A380)</x:f>
        <x:v>#NAME?</x:v>
      </x:c>
      <x:c r="E762" s="27" t="e">
        <x:f>IF($A762="","",IF(OR(ISNUMBER(SEARCH("계약만료",대장!H380&amp;"")),ISNUMBER(SEARCH("기간만료",대장!H380&amp;""))),"계약기간 만료로 퇴직",IF(ISNUMBER(SEARCH("의원면직",대장!H380&amp;"")),"의원면직",IF(ISNUMBER(SEARCH("정년퇴직",대장!H380&amp;"")),"정년퇴직",대장!H380))))</x:f>
        <x:v>#NAME?</x:v>
      </x:c>
      <x:c r="F762" s="27" t="e">
        <x:f>IF($A762="","",IF(발령대장_설정!$B$5="","",발령대장_설정!$B$5))</x:f>
        <x:v>#NAME?</x:v>
      </x:c>
      <x:c r="G762" s="27" t="e">
        <x:f>IF($A762="","",IF(발령대장_설정!$B$6="","",발령대장_설정!$B$6))</x:f>
        <x:v>#NAME?</x:v>
      </x:c>
      <x:c r="H762" s="27" t="e">
        <x:f>IF($A762="","",IF(발령대장_설정!$B$7="","",발령대장_설정!$B$7))</x:f>
        <x:v>#NAME?</x:v>
      </x:c>
      <x:c r="I762" s="27" t="e">
        <x:f>IF($A762="","",IF(발령대장_설정!$B$8="","",발령대장_설정!$B$8))</x:f>
        <x:v>#NAME?</x:v>
      </x:c>
      <x:c r="J762" s="27" t="str">
        <x:f>""</x:f>
      </x:c>
    </x:row>
    <x:row r="763" ht="42" customHeight="1">
      <x:c r="A763" s="47" t="e">
        <x:f>IF(AND(대장!A381&lt;&gt;"",ISNUMBER(대장!F381),OR(대장!G381="",AND(ISNUMBER(대장!G381),대장!G381&gt;=대장!F381))),대장!F381,"")</x:f>
        <x:v>#NAME?</x:v>
      </x:c>
      <x:c r="B763" s="27" t="e">
        <x:f>IF($A763="","",IF(발령대장_설정!$B$4="","",발령대장_설정!$B$4))</x:f>
        <x:v>#NAME?</x:v>
      </x:c>
      <x:c r="C763" s="27" t="e">
        <x:f>IF($A763="","",대장!D381)</x:f>
        <x:v>#NAME?</x:v>
      </x:c>
      <x:c r="D763" s="27" t="e">
        <x:f>IF($A763="","",대장!A381)</x:f>
        <x:v>#NAME?</x:v>
      </x:c>
      <x:c r="E763" s="27" t="e">
        <x:f>IF($A763="","",IF(대장!J381&lt;&gt;"",대장!J381,대장!D381&amp;"에 임함"&amp;IF(대장!E381="","",CHAR(10)&amp;"고용형태: "&amp;대장!E381)&amp;IF(대장!I381="","",CHAR(10)&amp;"소정근로시간: "&amp;대장!I381)&amp;CHAR(10)&amp;"근로기간: "&amp;YEAR(대장!F381)&amp;"."&amp;MONTH(대장!F381)&amp;"."&amp;DAY(대장!F381)&amp;"."&amp;" ~ "&amp;IF(ISNUMBER(대장!G381),YEAR(대장!G381)&amp;"."&amp;MONTH(대장!G381)&amp;"."&amp;DAY(대장!G381)&amp;".","재직 중")))</x:f>
        <x:v>#NAME?</x:v>
      </x:c>
      <x:c r="F763" s="27" t="e">
        <x:f>IF($A763="","",IF(발령대장_설정!$B$5="","",발령대장_설정!$B$5))</x:f>
        <x:v>#NAME?</x:v>
      </x:c>
      <x:c r="G763" s="27" t="e">
        <x:f>IF($A763="","",IF(발령대장_설정!$B$6="","",발령대장_설정!$B$6))</x:f>
        <x:v>#NAME?</x:v>
      </x:c>
      <x:c r="H763" s="27" t="e">
        <x:f>IF($A763="","",IF(발령대장_설정!$B$7="","",발령대장_설정!$B$7))</x:f>
        <x:v>#NAME?</x:v>
      </x:c>
      <x:c r="I763" s="27" t="e">
        <x:f>IF($A763="","",IF(발령대장_설정!$B$8="","",발령대장_설정!$B$8))</x:f>
        <x:v>#NAME?</x:v>
      </x:c>
      <x:c r="J763" s="27" t="e">
        <x:f>IF($A763="","",IF(대장!K381="","",대장!K381))</x:f>
        <x:v>#NAME?</x:v>
      </x:c>
    </x:row>
    <x:row r="764" ht="42" customHeight="1">
      <x:c r="A764" s="47" t="e">
        <x:f>IF(AND(대장!A381&lt;&gt;"",ISNUMBER(대장!F381),ISNUMBER(대장!G381),대장!G381&gt;=대장!F381,대장!H381&lt;&gt;""),대장!G381,"")</x:f>
        <x:v>#NAME?</x:v>
      </x:c>
      <x:c r="B764" s="27" t="e">
        <x:f>IF($A764="","",IF(발령대장_설정!$B$4="","",발령대장_설정!$B$4))</x:f>
        <x:v>#NAME?</x:v>
      </x:c>
      <x:c r="C764" s="27" t="e">
        <x:f>IF($A764="","",대장!D381)</x:f>
        <x:v>#NAME?</x:v>
      </x:c>
      <x:c r="D764" s="27" t="e">
        <x:f>IF($A764="","",대장!A381)</x:f>
        <x:v>#NAME?</x:v>
      </x:c>
      <x:c r="E764" s="27" t="e">
        <x:f>IF($A764="","",IF(OR(ISNUMBER(SEARCH("계약만료",대장!H381&amp;"")),ISNUMBER(SEARCH("기간만료",대장!H381&amp;""))),"계약기간 만료로 퇴직",IF(ISNUMBER(SEARCH("의원면직",대장!H381&amp;"")),"의원면직",IF(ISNUMBER(SEARCH("정년퇴직",대장!H381&amp;"")),"정년퇴직",대장!H381))))</x:f>
        <x:v>#NAME?</x:v>
      </x:c>
      <x:c r="F764" s="27" t="e">
        <x:f>IF($A764="","",IF(발령대장_설정!$B$5="","",발령대장_설정!$B$5))</x:f>
        <x:v>#NAME?</x:v>
      </x:c>
      <x:c r="G764" s="27" t="e">
        <x:f>IF($A764="","",IF(발령대장_설정!$B$6="","",발령대장_설정!$B$6))</x:f>
        <x:v>#NAME?</x:v>
      </x:c>
      <x:c r="H764" s="27" t="e">
        <x:f>IF($A764="","",IF(발령대장_설정!$B$7="","",발령대장_설정!$B$7))</x:f>
        <x:v>#NAME?</x:v>
      </x:c>
      <x:c r="I764" s="27" t="e">
        <x:f>IF($A764="","",IF(발령대장_설정!$B$8="","",발령대장_설정!$B$8))</x:f>
        <x:v>#NAME?</x:v>
      </x:c>
      <x:c r="J764" s="27" t="str">
        <x:f>""</x:f>
      </x:c>
    </x:row>
    <x:row r="765" ht="42" customHeight="1">
      <x:c r="A765" s="47" t="e">
        <x:f>IF(AND(대장!A382&lt;&gt;"",ISNUMBER(대장!F382),OR(대장!G382="",AND(ISNUMBER(대장!G382),대장!G382&gt;=대장!F382))),대장!F382,"")</x:f>
        <x:v>#NAME?</x:v>
      </x:c>
      <x:c r="B765" s="27" t="e">
        <x:f>IF($A765="","",IF(발령대장_설정!$B$4="","",발령대장_설정!$B$4))</x:f>
        <x:v>#NAME?</x:v>
      </x:c>
      <x:c r="C765" s="27" t="e">
        <x:f>IF($A765="","",대장!D382)</x:f>
        <x:v>#NAME?</x:v>
      </x:c>
      <x:c r="D765" s="27" t="e">
        <x:f>IF($A765="","",대장!A382)</x:f>
        <x:v>#NAME?</x:v>
      </x:c>
      <x:c r="E765" s="27" t="e">
        <x:f>IF($A765="","",IF(대장!J382&lt;&gt;"",대장!J382,대장!D382&amp;"에 임함"&amp;IF(대장!E382="","",CHAR(10)&amp;"고용형태: "&amp;대장!E382)&amp;IF(대장!I382="","",CHAR(10)&amp;"소정근로시간: "&amp;대장!I382)&amp;CHAR(10)&amp;"근로기간: "&amp;YEAR(대장!F382)&amp;"."&amp;MONTH(대장!F382)&amp;"."&amp;DAY(대장!F382)&amp;"."&amp;" ~ "&amp;IF(ISNUMBER(대장!G382),YEAR(대장!G382)&amp;"."&amp;MONTH(대장!G382)&amp;"."&amp;DAY(대장!G382)&amp;".","재직 중")))</x:f>
        <x:v>#NAME?</x:v>
      </x:c>
      <x:c r="F765" s="27" t="e">
        <x:f>IF($A765="","",IF(발령대장_설정!$B$5="","",발령대장_설정!$B$5))</x:f>
        <x:v>#NAME?</x:v>
      </x:c>
      <x:c r="G765" s="27" t="e">
        <x:f>IF($A765="","",IF(발령대장_설정!$B$6="","",발령대장_설정!$B$6))</x:f>
        <x:v>#NAME?</x:v>
      </x:c>
      <x:c r="H765" s="27" t="e">
        <x:f>IF($A765="","",IF(발령대장_설정!$B$7="","",발령대장_설정!$B$7))</x:f>
        <x:v>#NAME?</x:v>
      </x:c>
      <x:c r="I765" s="27" t="e">
        <x:f>IF($A765="","",IF(발령대장_설정!$B$8="","",발령대장_설정!$B$8))</x:f>
        <x:v>#NAME?</x:v>
      </x:c>
      <x:c r="J765" s="27" t="e">
        <x:f>IF($A765="","",IF(대장!K382="","",대장!K382))</x:f>
        <x:v>#NAME?</x:v>
      </x:c>
    </x:row>
    <x:row r="766" ht="42" customHeight="1">
      <x:c r="A766" s="47" t="e">
        <x:f>IF(AND(대장!A382&lt;&gt;"",ISNUMBER(대장!F382),ISNUMBER(대장!G382),대장!G382&gt;=대장!F382,대장!H382&lt;&gt;""),대장!G382,"")</x:f>
        <x:v>#NAME?</x:v>
      </x:c>
      <x:c r="B766" s="27" t="e">
        <x:f>IF($A766="","",IF(발령대장_설정!$B$4="","",발령대장_설정!$B$4))</x:f>
        <x:v>#NAME?</x:v>
      </x:c>
      <x:c r="C766" s="27" t="e">
        <x:f>IF($A766="","",대장!D382)</x:f>
        <x:v>#NAME?</x:v>
      </x:c>
      <x:c r="D766" s="27" t="e">
        <x:f>IF($A766="","",대장!A382)</x:f>
        <x:v>#NAME?</x:v>
      </x:c>
      <x:c r="E766" s="27" t="e">
        <x:f>IF($A766="","",IF(OR(ISNUMBER(SEARCH("계약만료",대장!H382&amp;"")),ISNUMBER(SEARCH("기간만료",대장!H382&amp;""))),"계약기간 만료로 퇴직",IF(ISNUMBER(SEARCH("의원면직",대장!H382&amp;"")),"의원면직",IF(ISNUMBER(SEARCH("정년퇴직",대장!H382&amp;"")),"정년퇴직",대장!H382))))</x:f>
        <x:v>#NAME?</x:v>
      </x:c>
      <x:c r="F766" s="27" t="e">
        <x:f>IF($A766="","",IF(발령대장_설정!$B$5="","",발령대장_설정!$B$5))</x:f>
        <x:v>#NAME?</x:v>
      </x:c>
      <x:c r="G766" s="27" t="e">
        <x:f>IF($A766="","",IF(발령대장_설정!$B$6="","",발령대장_설정!$B$6))</x:f>
        <x:v>#NAME?</x:v>
      </x:c>
      <x:c r="H766" s="27" t="e">
        <x:f>IF($A766="","",IF(발령대장_설정!$B$7="","",발령대장_설정!$B$7))</x:f>
        <x:v>#NAME?</x:v>
      </x:c>
      <x:c r="I766" s="27" t="e">
        <x:f>IF($A766="","",IF(발령대장_설정!$B$8="","",발령대장_설정!$B$8))</x:f>
        <x:v>#NAME?</x:v>
      </x:c>
      <x:c r="J766" s="27" t="str">
        <x:f>""</x:f>
      </x:c>
    </x:row>
    <x:row r="767" ht="42" customHeight="1">
      <x:c r="A767" s="47" t="e">
        <x:f>IF(AND(대장!A383&lt;&gt;"",ISNUMBER(대장!F383),OR(대장!G383="",AND(ISNUMBER(대장!G383),대장!G383&gt;=대장!F383))),대장!F383,"")</x:f>
        <x:v>#NAME?</x:v>
      </x:c>
      <x:c r="B767" s="27" t="e">
        <x:f>IF($A767="","",IF(발령대장_설정!$B$4="","",발령대장_설정!$B$4))</x:f>
        <x:v>#NAME?</x:v>
      </x:c>
      <x:c r="C767" s="27" t="e">
        <x:f>IF($A767="","",대장!D383)</x:f>
        <x:v>#NAME?</x:v>
      </x:c>
      <x:c r="D767" s="27" t="e">
        <x:f>IF($A767="","",대장!A383)</x:f>
        <x:v>#NAME?</x:v>
      </x:c>
      <x:c r="E767" s="27" t="e">
        <x:f>IF($A767="","",IF(대장!J383&lt;&gt;"",대장!J383,대장!D383&amp;"에 임함"&amp;IF(대장!E383="","",CHAR(10)&amp;"고용형태: "&amp;대장!E383)&amp;IF(대장!I383="","",CHAR(10)&amp;"소정근로시간: "&amp;대장!I383)&amp;CHAR(10)&amp;"근로기간: "&amp;YEAR(대장!F383)&amp;"."&amp;MONTH(대장!F383)&amp;"."&amp;DAY(대장!F383)&amp;"."&amp;" ~ "&amp;IF(ISNUMBER(대장!G383),YEAR(대장!G383)&amp;"."&amp;MONTH(대장!G383)&amp;"."&amp;DAY(대장!G383)&amp;".","재직 중")))</x:f>
        <x:v>#NAME?</x:v>
      </x:c>
      <x:c r="F767" s="27" t="e">
        <x:f>IF($A767="","",IF(발령대장_설정!$B$5="","",발령대장_설정!$B$5))</x:f>
        <x:v>#NAME?</x:v>
      </x:c>
      <x:c r="G767" s="27" t="e">
        <x:f>IF($A767="","",IF(발령대장_설정!$B$6="","",발령대장_설정!$B$6))</x:f>
        <x:v>#NAME?</x:v>
      </x:c>
      <x:c r="H767" s="27" t="e">
        <x:f>IF($A767="","",IF(발령대장_설정!$B$7="","",발령대장_설정!$B$7))</x:f>
        <x:v>#NAME?</x:v>
      </x:c>
      <x:c r="I767" s="27" t="e">
        <x:f>IF($A767="","",IF(발령대장_설정!$B$8="","",발령대장_설정!$B$8))</x:f>
        <x:v>#NAME?</x:v>
      </x:c>
      <x:c r="J767" s="27" t="e">
        <x:f>IF($A767="","",IF(대장!K383="","",대장!K383))</x:f>
        <x:v>#NAME?</x:v>
      </x:c>
    </x:row>
    <x:row r="768" ht="42" customHeight="1">
      <x:c r="A768" s="47" t="e">
        <x:f>IF(AND(대장!A383&lt;&gt;"",ISNUMBER(대장!F383),ISNUMBER(대장!G383),대장!G383&gt;=대장!F383,대장!H383&lt;&gt;""),대장!G383,"")</x:f>
        <x:v>#NAME?</x:v>
      </x:c>
      <x:c r="B768" s="27" t="e">
        <x:f>IF($A768="","",IF(발령대장_설정!$B$4="","",발령대장_설정!$B$4))</x:f>
        <x:v>#NAME?</x:v>
      </x:c>
      <x:c r="C768" s="27" t="e">
        <x:f>IF($A768="","",대장!D383)</x:f>
        <x:v>#NAME?</x:v>
      </x:c>
      <x:c r="D768" s="27" t="e">
        <x:f>IF($A768="","",대장!A383)</x:f>
        <x:v>#NAME?</x:v>
      </x:c>
      <x:c r="E768" s="27" t="e">
        <x:f>IF($A768="","",IF(OR(ISNUMBER(SEARCH("계약만료",대장!H383&amp;"")),ISNUMBER(SEARCH("기간만료",대장!H383&amp;""))),"계약기간 만료로 퇴직",IF(ISNUMBER(SEARCH("의원면직",대장!H383&amp;"")),"의원면직",IF(ISNUMBER(SEARCH("정년퇴직",대장!H383&amp;"")),"정년퇴직",대장!H383))))</x:f>
        <x:v>#NAME?</x:v>
      </x:c>
      <x:c r="F768" s="27" t="e">
        <x:f>IF($A768="","",IF(발령대장_설정!$B$5="","",발령대장_설정!$B$5))</x:f>
        <x:v>#NAME?</x:v>
      </x:c>
      <x:c r="G768" s="27" t="e">
        <x:f>IF($A768="","",IF(발령대장_설정!$B$6="","",발령대장_설정!$B$6))</x:f>
        <x:v>#NAME?</x:v>
      </x:c>
      <x:c r="H768" s="27" t="e">
        <x:f>IF($A768="","",IF(발령대장_설정!$B$7="","",발령대장_설정!$B$7))</x:f>
        <x:v>#NAME?</x:v>
      </x:c>
      <x:c r="I768" s="27" t="e">
        <x:f>IF($A768="","",IF(발령대장_설정!$B$8="","",발령대장_설정!$B$8))</x:f>
        <x:v>#NAME?</x:v>
      </x:c>
      <x:c r="J768" s="27" t="str">
        <x:f>""</x:f>
      </x:c>
    </x:row>
    <x:row r="769" ht="42" customHeight="1">
      <x:c r="A769" s="47" t="e">
        <x:f>IF(AND(대장!A384&lt;&gt;"",ISNUMBER(대장!F384),OR(대장!G384="",AND(ISNUMBER(대장!G384),대장!G384&gt;=대장!F384))),대장!F384,"")</x:f>
        <x:v>#NAME?</x:v>
      </x:c>
      <x:c r="B769" s="27" t="e">
        <x:f>IF($A769="","",IF(발령대장_설정!$B$4="","",발령대장_설정!$B$4))</x:f>
        <x:v>#NAME?</x:v>
      </x:c>
      <x:c r="C769" s="27" t="e">
        <x:f>IF($A769="","",대장!D384)</x:f>
        <x:v>#NAME?</x:v>
      </x:c>
      <x:c r="D769" s="27" t="e">
        <x:f>IF($A769="","",대장!A384)</x:f>
        <x:v>#NAME?</x:v>
      </x:c>
      <x:c r="E769" s="27" t="e">
        <x:f>IF($A769="","",IF(대장!J384&lt;&gt;"",대장!J384,대장!D384&amp;"에 임함"&amp;IF(대장!E384="","",CHAR(10)&amp;"고용형태: "&amp;대장!E384)&amp;IF(대장!I384="","",CHAR(10)&amp;"소정근로시간: "&amp;대장!I384)&amp;CHAR(10)&amp;"근로기간: "&amp;YEAR(대장!F384)&amp;"."&amp;MONTH(대장!F384)&amp;"."&amp;DAY(대장!F384)&amp;"."&amp;" ~ "&amp;IF(ISNUMBER(대장!G384),YEAR(대장!G384)&amp;"."&amp;MONTH(대장!G384)&amp;"."&amp;DAY(대장!G384)&amp;".","재직 중")))</x:f>
        <x:v>#NAME?</x:v>
      </x:c>
      <x:c r="F769" s="27" t="e">
        <x:f>IF($A769="","",IF(발령대장_설정!$B$5="","",발령대장_설정!$B$5))</x:f>
        <x:v>#NAME?</x:v>
      </x:c>
      <x:c r="G769" s="27" t="e">
        <x:f>IF($A769="","",IF(발령대장_설정!$B$6="","",발령대장_설정!$B$6))</x:f>
        <x:v>#NAME?</x:v>
      </x:c>
      <x:c r="H769" s="27" t="e">
        <x:f>IF($A769="","",IF(발령대장_설정!$B$7="","",발령대장_설정!$B$7))</x:f>
        <x:v>#NAME?</x:v>
      </x:c>
      <x:c r="I769" s="27" t="e">
        <x:f>IF($A769="","",IF(발령대장_설정!$B$8="","",발령대장_설정!$B$8))</x:f>
        <x:v>#NAME?</x:v>
      </x:c>
      <x:c r="J769" s="27" t="e">
        <x:f>IF($A769="","",IF(대장!K384="","",대장!K384))</x:f>
        <x:v>#NAME?</x:v>
      </x:c>
    </x:row>
    <x:row r="770" ht="42" customHeight="1">
      <x:c r="A770" s="47" t="e">
        <x:f>IF(AND(대장!A384&lt;&gt;"",ISNUMBER(대장!F384),ISNUMBER(대장!G384),대장!G384&gt;=대장!F384,대장!H384&lt;&gt;""),대장!G384,"")</x:f>
        <x:v>#NAME?</x:v>
      </x:c>
      <x:c r="B770" s="27" t="e">
        <x:f>IF($A770="","",IF(발령대장_설정!$B$4="","",발령대장_설정!$B$4))</x:f>
        <x:v>#NAME?</x:v>
      </x:c>
      <x:c r="C770" s="27" t="e">
        <x:f>IF($A770="","",대장!D384)</x:f>
        <x:v>#NAME?</x:v>
      </x:c>
      <x:c r="D770" s="27" t="e">
        <x:f>IF($A770="","",대장!A384)</x:f>
        <x:v>#NAME?</x:v>
      </x:c>
      <x:c r="E770" s="27" t="e">
        <x:f>IF($A770="","",IF(OR(ISNUMBER(SEARCH("계약만료",대장!H384&amp;"")),ISNUMBER(SEARCH("기간만료",대장!H384&amp;""))),"계약기간 만료로 퇴직",IF(ISNUMBER(SEARCH("의원면직",대장!H384&amp;"")),"의원면직",IF(ISNUMBER(SEARCH("정년퇴직",대장!H384&amp;"")),"정년퇴직",대장!H384))))</x:f>
        <x:v>#NAME?</x:v>
      </x:c>
      <x:c r="F770" s="27" t="e">
        <x:f>IF($A770="","",IF(발령대장_설정!$B$5="","",발령대장_설정!$B$5))</x:f>
        <x:v>#NAME?</x:v>
      </x:c>
      <x:c r="G770" s="27" t="e">
        <x:f>IF($A770="","",IF(발령대장_설정!$B$6="","",발령대장_설정!$B$6))</x:f>
        <x:v>#NAME?</x:v>
      </x:c>
      <x:c r="H770" s="27" t="e">
        <x:f>IF($A770="","",IF(발령대장_설정!$B$7="","",발령대장_설정!$B$7))</x:f>
        <x:v>#NAME?</x:v>
      </x:c>
      <x:c r="I770" s="27" t="e">
        <x:f>IF($A770="","",IF(발령대장_설정!$B$8="","",발령대장_설정!$B$8))</x:f>
        <x:v>#NAME?</x:v>
      </x:c>
      <x:c r="J770" s="27" t="str">
        <x:f>""</x:f>
      </x:c>
    </x:row>
    <x:row r="771" ht="42" customHeight="1">
      <x:c r="A771" s="47" t="e">
        <x:f>IF(AND(대장!A385&lt;&gt;"",ISNUMBER(대장!F385),OR(대장!G385="",AND(ISNUMBER(대장!G385),대장!G385&gt;=대장!F385))),대장!F385,"")</x:f>
        <x:v>#NAME?</x:v>
      </x:c>
      <x:c r="B771" s="27" t="e">
        <x:f>IF($A771="","",IF(발령대장_설정!$B$4="","",발령대장_설정!$B$4))</x:f>
        <x:v>#NAME?</x:v>
      </x:c>
      <x:c r="C771" s="27" t="e">
        <x:f>IF($A771="","",대장!D385)</x:f>
        <x:v>#NAME?</x:v>
      </x:c>
      <x:c r="D771" s="27" t="e">
        <x:f>IF($A771="","",대장!A385)</x:f>
        <x:v>#NAME?</x:v>
      </x:c>
      <x:c r="E771" s="27" t="e">
        <x:f>IF($A771="","",IF(대장!J385&lt;&gt;"",대장!J385,대장!D385&amp;"에 임함"&amp;IF(대장!E385="","",CHAR(10)&amp;"고용형태: "&amp;대장!E385)&amp;IF(대장!I385="","",CHAR(10)&amp;"소정근로시간: "&amp;대장!I385)&amp;CHAR(10)&amp;"근로기간: "&amp;YEAR(대장!F385)&amp;"."&amp;MONTH(대장!F385)&amp;"."&amp;DAY(대장!F385)&amp;"."&amp;" ~ "&amp;IF(ISNUMBER(대장!G385),YEAR(대장!G385)&amp;"."&amp;MONTH(대장!G385)&amp;"."&amp;DAY(대장!G385)&amp;".","재직 중")))</x:f>
        <x:v>#NAME?</x:v>
      </x:c>
      <x:c r="F771" s="27" t="e">
        <x:f>IF($A771="","",IF(발령대장_설정!$B$5="","",발령대장_설정!$B$5))</x:f>
        <x:v>#NAME?</x:v>
      </x:c>
      <x:c r="G771" s="27" t="e">
        <x:f>IF($A771="","",IF(발령대장_설정!$B$6="","",발령대장_설정!$B$6))</x:f>
        <x:v>#NAME?</x:v>
      </x:c>
      <x:c r="H771" s="27" t="e">
        <x:f>IF($A771="","",IF(발령대장_설정!$B$7="","",발령대장_설정!$B$7))</x:f>
        <x:v>#NAME?</x:v>
      </x:c>
      <x:c r="I771" s="27" t="e">
        <x:f>IF($A771="","",IF(발령대장_설정!$B$8="","",발령대장_설정!$B$8))</x:f>
        <x:v>#NAME?</x:v>
      </x:c>
      <x:c r="J771" s="27" t="e">
        <x:f>IF($A771="","",IF(대장!K385="","",대장!K385))</x:f>
        <x:v>#NAME?</x:v>
      </x:c>
    </x:row>
    <x:row r="772" ht="42" customHeight="1">
      <x:c r="A772" s="47" t="e">
        <x:f>IF(AND(대장!A385&lt;&gt;"",ISNUMBER(대장!F385),ISNUMBER(대장!G385),대장!G385&gt;=대장!F385,대장!H385&lt;&gt;""),대장!G385,"")</x:f>
        <x:v>#NAME?</x:v>
      </x:c>
      <x:c r="B772" s="27" t="e">
        <x:f>IF($A772="","",IF(발령대장_설정!$B$4="","",발령대장_설정!$B$4))</x:f>
        <x:v>#NAME?</x:v>
      </x:c>
      <x:c r="C772" s="27" t="e">
        <x:f>IF($A772="","",대장!D385)</x:f>
        <x:v>#NAME?</x:v>
      </x:c>
      <x:c r="D772" s="27" t="e">
        <x:f>IF($A772="","",대장!A385)</x:f>
        <x:v>#NAME?</x:v>
      </x:c>
      <x:c r="E772" s="27" t="e">
        <x:f>IF($A772="","",IF(OR(ISNUMBER(SEARCH("계약만료",대장!H385&amp;"")),ISNUMBER(SEARCH("기간만료",대장!H385&amp;""))),"계약기간 만료로 퇴직",IF(ISNUMBER(SEARCH("의원면직",대장!H385&amp;"")),"의원면직",IF(ISNUMBER(SEARCH("정년퇴직",대장!H385&amp;"")),"정년퇴직",대장!H385))))</x:f>
        <x:v>#NAME?</x:v>
      </x:c>
      <x:c r="F772" s="27" t="e">
        <x:f>IF($A772="","",IF(발령대장_설정!$B$5="","",발령대장_설정!$B$5))</x:f>
        <x:v>#NAME?</x:v>
      </x:c>
      <x:c r="G772" s="27" t="e">
        <x:f>IF($A772="","",IF(발령대장_설정!$B$6="","",발령대장_설정!$B$6))</x:f>
        <x:v>#NAME?</x:v>
      </x:c>
      <x:c r="H772" s="27" t="e">
        <x:f>IF($A772="","",IF(발령대장_설정!$B$7="","",발령대장_설정!$B$7))</x:f>
        <x:v>#NAME?</x:v>
      </x:c>
      <x:c r="I772" s="27" t="e">
        <x:f>IF($A772="","",IF(발령대장_설정!$B$8="","",발령대장_설정!$B$8))</x:f>
        <x:v>#NAME?</x:v>
      </x:c>
      <x:c r="J772" s="27" t="str">
        <x:f>""</x:f>
      </x:c>
    </x:row>
    <x:row r="773" ht="42" customHeight="1">
      <x:c r="A773" s="47" t="e">
        <x:f>IF(AND(대장!A386&lt;&gt;"",ISNUMBER(대장!F386),OR(대장!G386="",AND(ISNUMBER(대장!G386),대장!G386&gt;=대장!F386))),대장!F386,"")</x:f>
        <x:v>#NAME?</x:v>
      </x:c>
      <x:c r="B773" s="27" t="e">
        <x:f>IF($A773="","",IF(발령대장_설정!$B$4="","",발령대장_설정!$B$4))</x:f>
        <x:v>#NAME?</x:v>
      </x:c>
      <x:c r="C773" s="27" t="e">
        <x:f>IF($A773="","",대장!D386)</x:f>
        <x:v>#NAME?</x:v>
      </x:c>
      <x:c r="D773" s="27" t="e">
        <x:f>IF($A773="","",대장!A386)</x:f>
        <x:v>#NAME?</x:v>
      </x:c>
      <x:c r="E773" s="27" t="e">
        <x:f>IF($A773="","",IF(대장!J386&lt;&gt;"",대장!J386,대장!D386&amp;"에 임함"&amp;IF(대장!E386="","",CHAR(10)&amp;"고용형태: "&amp;대장!E386)&amp;IF(대장!I386="","",CHAR(10)&amp;"소정근로시간: "&amp;대장!I386)&amp;CHAR(10)&amp;"근로기간: "&amp;YEAR(대장!F386)&amp;"."&amp;MONTH(대장!F386)&amp;"."&amp;DAY(대장!F386)&amp;"."&amp;" ~ "&amp;IF(ISNUMBER(대장!G386),YEAR(대장!G386)&amp;"."&amp;MONTH(대장!G386)&amp;"."&amp;DAY(대장!G386)&amp;".","재직 중")))</x:f>
        <x:v>#NAME?</x:v>
      </x:c>
      <x:c r="F773" s="27" t="e">
        <x:f>IF($A773="","",IF(발령대장_설정!$B$5="","",발령대장_설정!$B$5))</x:f>
        <x:v>#NAME?</x:v>
      </x:c>
      <x:c r="G773" s="27" t="e">
        <x:f>IF($A773="","",IF(발령대장_설정!$B$6="","",발령대장_설정!$B$6))</x:f>
        <x:v>#NAME?</x:v>
      </x:c>
      <x:c r="H773" s="27" t="e">
        <x:f>IF($A773="","",IF(발령대장_설정!$B$7="","",발령대장_설정!$B$7))</x:f>
        <x:v>#NAME?</x:v>
      </x:c>
      <x:c r="I773" s="27" t="e">
        <x:f>IF($A773="","",IF(발령대장_설정!$B$8="","",발령대장_설정!$B$8))</x:f>
        <x:v>#NAME?</x:v>
      </x:c>
      <x:c r="J773" s="27" t="e">
        <x:f>IF($A773="","",IF(대장!K386="","",대장!K386))</x:f>
        <x:v>#NAME?</x:v>
      </x:c>
    </x:row>
    <x:row r="774" ht="42" customHeight="1">
      <x:c r="A774" s="47" t="e">
        <x:f>IF(AND(대장!A386&lt;&gt;"",ISNUMBER(대장!F386),ISNUMBER(대장!G386),대장!G386&gt;=대장!F386,대장!H386&lt;&gt;""),대장!G386,"")</x:f>
        <x:v>#NAME?</x:v>
      </x:c>
      <x:c r="B774" s="27" t="e">
        <x:f>IF($A774="","",IF(발령대장_설정!$B$4="","",발령대장_설정!$B$4))</x:f>
        <x:v>#NAME?</x:v>
      </x:c>
      <x:c r="C774" s="27" t="e">
        <x:f>IF($A774="","",대장!D386)</x:f>
        <x:v>#NAME?</x:v>
      </x:c>
      <x:c r="D774" s="27" t="e">
        <x:f>IF($A774="","",대장!A386)</x:f>
        <x:v>#NAME?</x:v>
      </x:c>
      <x:c r="E774" s="27" t="e">
        <x:f>IF($A774="","",IF(OR(ISNUMBER(SEARCH("계약만료",대장!H386&amp;"")),ISNUMBER(SEARCH("기간만료",대장!H386&amp;""))),"계약기간 만료로 퇴직",IF(ISNUMBER(SEARCH("의원면직",대장!H386&amp;"")),"의원면직",IF(ISNUMBER(SEARCH("정년퇴직",대장!H386&amp;"")),"정년퇴직",대장!H386))))</x:f>
        <x:v>#NAME?</x:v>
      </x:c>
      <x:c r="F774" s="27" t="e">
        <x:f>IF($A774="","",IF(발령대장_설정!$B$5="","",발령대장_설정!$B$5))</x:f>
        <x:v>#NAME?</x:v>
      </x:c>
      <x:c r="G774" s="27" t="e">
        <x:f>IF($A774="","",IF(발령대장_설정!$B$6="","",발령대장_설정!$B$6))</x:f>
        <x:v>#NAME?</x:v>
      </x:c>
      <x:c r="H774" s="27" t="e">
        <x:f>IF($A774="","",IF(발령대장_설정!$B$7="","",발령대장_설정!$B$7))</x:f>
        <x:v>#NAME?</x:v>
      </x:c>
      <x:c r="I774" s="27" t="e">
        <x:f>IF($A774="","",IF(발령대장_설정!$B$8="","",발령대장_설정!$B$8))</x:f>
        <x:v>#NAME?</x:v>
      </x:c>
      <x:c r="J774" s="27" t="str">
        <x:f>""</x:f>
      </x:c>
    </x:row>
    <x:row r="775" ht="42" customHeight="1">
      <x:c r="A775" s="47" t="e">
        <x:f>IF(AND(대장!A387&lt;&gt;"",ISNUMBER(대장!F387),OR(대장!G387="",AND(ISNUMBER(대장!G387),대장!G387&gt;=대장!F387))),대장!F387,"")</x:f>
        <x:v>#NAME?</x:v>
      </x:c>
      <x:c r="B775" s="27" t="e">
        <x:f>IF($A775="","",IF(발령대장_설정!$B$4="","",발령대장_설정!$B$4))</x:f>
        <x:v>#NAME?</x:v>
      </x:c>
      <x:c r="C775" s="27" t="e">
        <x:f>IF($A775="","",대장!D387)</x:f>
        <x:v>#NAME?</x:v>
      </x:c>
      <x:c r="D775" s="27" t="e">
        <x:f>IF($A775="","",대장!A387)</x:f>
        <x:v>#NAME?</x:v>
      </x:c>
      <x:c r="E775" s="27" t="e">
        <x:f>IF($A775="","",IF(대장!J387&lt;&gt;"",대장!J387,대장!D387&amp;"에 임함"&amp;IF(대장!E387="","",CHAR(10)&amp;"고용형태: "&amp;대장!E387)&amp;IF(대장!I387="","",CHAR(10)&amp;"소정근로시간: "&amp;대장!I387)&amp;CHAR(10)&amp;"근로기간: "&amp;YEAR(대장!F387)&amp;"."&amp;MONTH(대장!F387)&amp;"."&amp;DAY(대장!F387)&amp;"."&amp;" ~ "&amp;IF(ISNUMBER(대장!G387),YEAR(대장!G387)&amp;"."&amp;MONTH(대장!G387)&amp;"."&amp;DAY(대장!G387)&amp;".","재직 중")))</x:f>
        <x:v>#NAME?</x:v>
      </x:c>
      <x:c r="F775" s="27" t="e">
        <x:f>IF($A775="","",IF(발령대장_설정!$B$5="","",발령대장_설정!$B$5))</x:f>
        <x:v>#NAME?</x:v>
      </x:c>
      <x:c r="G775" s="27" t="e">
        <x:f>IF($A775="","",IF(발령대장_설정!$B$6="","",발령대장_설정!$B$6))</x:f>
        <x:v>#NAME?</x:v>
      </x:c>
      <x:c r="H775" s="27" t="e">
        <x:f>IF($A775="","",IF(발령대장_설정!$B$7="","",발령대장_설정!$B$7))</x:f>
        <x:v>#NAME?</x:v>
      </x:c>
      <x:c r="I775" s="27" t="e">
        <x:f>IF($A775="","",IF(발령대장_설정!$B$8="","",발령대장_설정!$B$8))</x:f>
        <x:v>#NAME?</x:v>
      </x:c>
      <x:c r="J775" s="27" t="e">
        <x:f>IF($A775="","",IF(대장!K387="","",대장!K387))</x:f>
        <x:v>#NAME?</x:v>
      </x:c>
    </x:row>
    <x:row r="776" ht="42" customHeight="1">
      <x:c r="A776" s="47" t="e">
        <x:f>IF(AND(대장!A387&lt;&gt;"",ISNUMBER(대장!F387),ISNUMBER(대장!G387),대장!G387&gt;=대장!F387,대장!H387&lt;&gt;""),대장!G387,"")</x:f>
        <x:v>#NAME?</x:v>
      </x:c>
      <x:c r="B776" s="27" t="e">
        <x:f>IF($A776="","",IF(발령대장_설정!$B$4="","",발령대장_설정!$B$4))</x:f>
        <x:v>#NAME?</x:v>
      </x:c>
      <x:c r="C776" s="27" t="e">
        <x:f>IF($A776="","",대장!D387)</x:f>
        <x:v>#NAME?</x:v>
      </x:c>
      <x:c r="D776" s="27" t="e">
        <x:f>IF($A776="","",대장!A387)</x:f>
        <x:v>#NAME?</x:v>
      </x:c>
      <x:c r="E776" s="27" t="e">
        <x:f>IF($A776="","",IF(OR(ISNUMBER(SEARCH("계약만료",대장!H387&amp;"")),ISNUMBER(SEARCH("기간만료",대장!H387&amp;""))),"계약기간 만료로 퇴직",IF(ISNUMBER(SEARCH("의원면직",대장!H387&amp;"")),"의원면직",IF(ISNUMBER(SEARCH("정년퇴직",대장!H387&amp;"")),"정년퇴직",대장!H387))))</x:f>
        <x:v>#NAME?</x:v>
      </x:c>
      <x:c r="F776" s="27" t="e">
        <x:f>IF($A776="","",IF(발령대장_설정!$B$5="","",발령대장_설정!$B$5))</x:f>
        <x:v>#NAME?</x:v>
      </x:c>
      <x:c r="G776" s="27" t="e">
        <x:f>IF($A776="","",IF(발령대장_설정!$B$6="","",발령대장_설정!$B$6))</x:f>
        <x:v>#NAME?</x:v>
      </x:c>
      <x:c r="H776" s="27" t="e">
        <x:f>IF($A776="","",IF(발령대장_설정!$B$7="","",발령대장_설정!$B$7))</x:f>
        <x:v>#NAME?</x:v>
      </x:c>
      <x:c r="I776" s="27" t="e">
        <x:f>IF($A776="","",IF(발령대장_설정!$B$8="","",발령대장_설정!$B$8))</x:f>
        <x:v>#NAME?</x:v>
      </x:c>
      <x:c r="J776" s="27" t="str">
        <x:f>""</x:f>
      </x:c>
    </x:row>
    <x:row r="777" ht="42" customHeight="1">
      <x:c r="A777" s="47" t="e">
        <x:f>IF(AND(대장!A388&lt;&gt;"",ISNUMBER(대장!F388),OR(대장!G388="",AND(ISNUMBER(대장!G388),대장!G388&gt;=대장!F388))),대장!F388,"")</x:f>
        <x:v>#NAME?</x:v>
      </x:c>
      <x:c r="B777" s="27" t="e">
        <x:f>IF($A777="","",IF(발령대장_설정!$B$4="","",발령대장_설정!$B$4))</x:f>
        <x:v>#NAME?</x:v>
      </x:c>
      <x:c r="C777" s="27" t="e">
        <x:f>IF($A777="","",대장!D388)</x:f>
        <x:v>#NAME?</x:v>
      </x:c>
      <x:c r="D777" s="27" t="e">
        <x:f>IF($A777="","",대장!A388)</x:f>
        <x:v>#NAME?</x:v>
      </x:c>
      <x:c r="E777" s="27" t="e">
        <x:f>IF($A777="","",IF(대장!J388&lt;&gt;"",대장!J388,대장!D388&amp;"에 임함"&amp;IF(대장!E388="","",CHAR(10)&amp;"고용형태: "&amp;대장!E388)&amp;IF(대장!I388="","",CHAR(10)&amp;"소정근로시간: "&amp;대장!I388)&amp;CHAR(10)&amp;"근로기간: "&amp;YEAR(대장!F388)&amp;"."&amp;MONTH(대장!F388)&amp;"."&amp;DAY(대장!F388)&amp;"."&amp;" ~ "&amp;IF(ISNUMBER(대장!G388),YEAR(대장!G388)&amp;"."&amp;MONTH(대장!G388)&amp;"."&amp;DAY(대장!G388)&amp;".","재직 중")))</x:f>
        <x:v>#NAME?</x:v>
      </x:c>
      <x:c r="F777" s="27" t="e">
        <x:f>IF($A777="","",IF(발령대장_설정!$B$5="","",발령대장_설정!$B$5))</x:f>
        <x:v>#NAME?</x:v>
      </x:c>
      <x:c r="G777" s="27" t="e">
        <x:f>IF($A777="","",IF(발령대장_설정!$B$6="","",발령대장_설정!$B$6))</x:f>
        <x:v>#NAME?</x:v>
      </x:c>
      <x:c r="H777" s="27" t="e">
        <x:f>IF($A777="","",IF(발령대장_설정!$B$7="","",발령대장_설정!$B$7))</x:f>
        <x:v>#NAME?</x:v>
      </x:c>
      <x:c r="I777" s="27" t="e">
        <x:f>IF($A777="","",IF(발령대장_설정!$B$8="","",발령대장_설정!$B$8))</x:f>
        <x:v>#NAME?</x:v>
      </x:c>
      <x:c r="J777" s="27" t="e">
        <x:f>IF($A777="","",IF(대장!K388="","",대장!K388))</x:f>
        <x:v>#NAME?</x:v>
      </x:c>
    </x:row>
    <x:row r="778" ht="42" customHeight="1">
      <x:c r="A778" s="47" t="e">
        <x:f>IF(AND(대장!A388&lt;&gt;"",ISNUMBER(대장!F388),ISNUMBER(대장!G388),대장!G388&gt;=대장!F388,대장!H388&lt;&gt;""),대장!G388,"")</x:f>
        <x:v>#NAME?</x:v>
      </x:c>
      <x:c r="B778" s="27" t="e">
        <x:f>IF($A778="","",IF(발령대장_설정!$B$4="","",발령대장_설정!$B$4))</x:f>
        <x:v>#NAME?</x:v>
      </x:c>
      <x:c r="C778" s="27" t="e">
        <x:f>IF($A778="","",대장!D388)</x:f>
        <x:v>#NAME?</x:v>
      </x:c>
      <x:c r="D778" s="27" t="e">
        <x:f>IF($A778="","",대장!A388)</x:f>
        <x:v>#NAME?</x:v>
      </x:c>
      <x:c r="E778" s="27" t="e">
        <x:f>IF($A778="","",IF(OR(ISNUMBER(SEARCH("계약만료",대장!H388&amp;"")),ISNUMBER(SEARCH("기간만료",대장!H388&amp;""))),"계약기간 만료로 퇴직",IF(ISNUMBER(SEARCH("의원면직",대장!H388&amp;"")),"의원면직",IF(ISNUMBER(SEARCH("정년퇴직",대장!H388&amp;"")),"정년퇴직",대장!H388))))</x:f>
        <x:v>#NAME?</x:v>
      </x:c>
      <x:c r="F778" s="27" t="e">
        <x:f>IF($A778="","",IF(발령대장_설정!$B$5="","",발령대장_설정!$B$5))</x:f>
        <x:v>#NAME?</x:v>
      </x:c>
      <x:c r="G778" s="27" t="e">
        <x:f>IF($A778="","",IF(발령대장_설정!$B$6="","",발령대장_설정!$B$6))</x:f>
        <x:v>#NAME?</x:v>
      </x:c>
      <x:c r="H778" s="27" t="e">
        <x:f>IF($A778="","",IF(발령대장_설정!$B$7="","",발령대장_설정!$B$7))</x:f>
        <x:v>#NAME?</x:v>
      </x:c>
      <x:c r="I778" s="27" t="e">
        <x:f>IF($A778="","",IF(발령대장_설정!$B$8="","",발령대장_설정!$B$8))</x:f>
        <x:v>#NAME?</x:v>
      </x:c>
      <x:c r="J778" s="27" t="str">
        <x:f>""</x:f>
      </x:c>
    </x:row>
    <x:row r="779" ht="42" customHeight="1">
      <x:c r="A779" s="47" t="e">
        <x:f>IF(AND(대장!A389&lt;&gt;"",ISNUMBER(대장!F389),OR(대장!G389="",AND(ISNUMBER(대장!G389),대장!G389&gt;=대장!F389))),대장!F389,"")</x:f>
        <x:v>#NAME?</x:v>
      </x:c>
      <x:c r="B779" s="27" t="e">
        <x:f>IF($A779="","",IF(발령대장_설정!$B$4="","",발령대장_설정!$B$4))</x:f>
        <x:v>#NAME?</x:v>
      </x:c>
      <x:c r="C779" s="27" t="e">
        <x:f>IF($A779="","",대장!D389)</x:f>
        <x:v>#NAME?</x:v>
      </x:c>
      <x:c r="D779" s="27" t="e">
        <x:f>IF($A779="","",대장!A389)</x:f>
        <x:v>#NAME?</x:v>
      </x:c>
      <x:c r="E779" s="27" t="e">
        <x:f>IF($A779="","",IF(대장!J389&lt;&gt;"",대장!J389,대장!D389&amp;"에 임함"&amp;IF(대장!E389="","",CHAR(10)&amp;"고용형태: "&amp;대장!E389)&amp;IF(대장!I389="","",CHAR(10)&amp;"소정근로시간: "&amp;대장!I389)&amp;CHAR(10)&amp;"근로기간: "&amp;YEAR(대장!F389)&amp;"."&amp;MONTH(대장!F389)&amp;"."&amp;DAY(대장!F389)&amp;"."&amp;" ~ "&amp;IF(ISNUMBER(대장!G389),YEAR(대장!G389)&amp;"."&amp;MONTH(대장!G389)&amp;"."&amp;DAY(대장!G389)&amp;".","재직 중")))</x:f>
        <x:v>#NAME?</x:v>
      </x:c>
      <x:c r="F779" s="27" t="e">
        <x:f>IF($A779="","",IF(발령대장_설정!$B$5="","",발령대장_설정!$B$5))</x:f>
        <x:v>#NAME?</x:v>
      </x:c>
      <x:c r="G779" s="27" t="e">
        <x:f>IF($A779="","",IF(발령대장_설정!$B$6="","",발령대장_설정!$B$6))</x:f>
        <x:v>#NAME?</x:v>
      </x:c>
      <x:c r="H779" s="27" t="e">
        <x:f>IF($A779="","",IF(발령대장_설정!$B$7="","",발령대장_설정!$B$7))</x:f>
        <x:v>#NAME?</x:v>
      </x:c>
      <x:c r="I779" s="27" t="e">
        <x:f>IF($A779="","",IF(발령대장_설정!$B$8="","",발령대장_설정!$B$8))</x:f>
        <x:v>#NAME?</x:v>
      </x:c>
      <x:c r="J779" s="27" t="e">
        <x:f>IF($A779="","",IF(대장!K389="","",대장!K389))</x:f>
        <x:v>#NAME?</x:v>
      </x:c>
    </x:row>
    <x:row r="780" ht="42" customHeight="1">
      <x:c r="A780" s="47" t="e">
        <x:f>IF(AND(대장!A389&lt;&gt;"",ISNUMBER(대장!F389),ISNUMBER(대장!G389),대장!G389&gt;=대장!F389,대장!H389&lt;&gt;""),대장!G389,"")</x:f>
        <x:v>#NAME?</x:v>
      </x:c>
      <x:c r="B780" s="27" t="e">
        <x:f>IF($A780="","",IF(발령대장_설정!$B$4="","",발령대장_설정!$B$4))</x:f>
        <x:v>#NAME?</x:v>
      </x:c>
      <x:c r="C780" s="27" t="e">
        <x:f>IF($A780="","",대장!D389)</x:f>
        <x:v>#NAME?</x:v>
      </x:c>
      <x:c r="D780" s="27" t="e">
        <x:f>IF($A780="","",대장!A389)</x:f>
        <x:v>#NAME?</x:v>
      </x:c>
      <x:c r="E780" s="27" t="e">
        <x:f>IF($A780="","",IF(OR(ISNUMBER(SEARCH("계약만료",대장!H389&amp;"")),ISNUMBER(SEARCH("기간만료",대장!H389&amp;""))),"계약기간 만료로 퇴직",IF(ISNUMBER(SEARCH("의원면직",대장!H389&amp;"")),"의원면직",IF(ISNUMBER(SEARCH("정년퇴직",대장!H389&amp;"")),"정년퇴직",대장!H389))))</x:f>
        <x:v>#NAME?</x:v>
      </x:c>
      <x:c r="F780" s="27" t="e">
        <x:f>IF($A780="","",IF(발령대장_설정!$B$5="","",발령대장_설정!$B$5))</x:f>
        <x:v>#NAME?</x:v>
      </x:c>
      <x:c r="G780" s="27" t="e">
        <x:f>IF($A780="","",IF(발령대장_설정!$B$6="","",발령대장_설정!$B$6))</x:f>
        <x:v>#NAME?</x:v>
      </x:c>
      <x:c r="H780" s="27" t="e">
        <x:f>IF($A780="","",IF(발령대장_설정!$B$7="","",발령대장_설정!$B$7))</x:f>
        <x:v>#NAME?</x:v>
      </x:c>
      <x:c r="I780" s="27" t="e">
        <x:f>IF($A780="","",IF(발령대장_설정!$B$8="","",발령대장_설정!$B$8))</x:f>
        <x:v>#NAME?</x:v>
      </x:c>
      <x:c r="J780" s="27" t="str">
        <x:f>""</x:f>
      </x:c>
    </x:row>
    <x:row r="781" ht="42" customHeight="1">
      <x:c r="A781" s="47" t="e">
        <x:f>IF(AND(대장!A390&lt;&gt;"",ISNUMBER(대장!F390),OR(대장!G390="",AND(ISNUMBER(대장!G390),대장!G390&gt;=대장!F390))),대장!F390,"")</x:f>
        <x:v>#NAME?</x:v>
      </x:c>
      <x:c r="B781" s="27" t="e">
        <x:f>IF($A781="","",IF(발령대장_설정!$B$4="","",발령대장_설정!$B$4))</x:f>
        <x:v>#NAME?</x:v>
      </x:c>
      <x:c r="C781" s="27" t="e">
        <x:f>IF($A781="","",대장!D390)</x:f>
        <x:v>#NAME?</x:v>
      </x:c>
      <x:c r="D781" s="27" t="e">
        <x:f>IF($A781="","",대장!A390)</x:f>
        <x:v>#NAME?</x:v>
      </x:c>
      <x:c r="E781" s="27" t="e">
        <x:f>IF($A781="","",IF(대장!J390&lt;&gt;"",대장!J390,대장!D390&amp;"에 임함"&amp;IF(대장!E390="","",CHAR(10)&amp;"고용형태: "&amp;대장!E390)&amp;IF(대장!I390="","",CHAR(10)&amp;"소정근로시간: "&amp;대장!I390)&amp;CHAR(10)&amp;"근로기간: "&amp;YEAR(대장!F390)&amp;"."&amp;MONTH(대장!F390)&amp;"."&amp;DAY(대장!F390)&amp;"."&amp;" ~ "&amp;IF(ISNUMBER(대장!G390),YEAR(대장!G390)&amp;"."&amp;MONTH(대장!G390)&amp;"."&amp;DAY(대장!G390)&amp;".","재직 중")))</x:f>
        <x:v>#NAME?</x:v>
      </x:c>
      <x:c r="F781" s="27" t="e">
        <x:f>IF($A781="","",IF(발령대장_설정!$B$5="","",발령대장_설정!$B$5))</x:f>
        <x:v>#NAME?</x:v>
      </x:c>
      <x:c r="G781" s="27" t="e">
        <x:f>IF($A781="","",IF(발령대장_설정!$B$6="","",발령대장_설정!$B$6))</x:f>
        <x:v>#NAME?</x:v>
      </x:c>
      <x:c r="H781" s="27" t="e">
        <x:f>IF($A781="","",IF(발령대장_설정!$B$7="","",발령대장_설정!$B$7))</x:f>
        <x:v>#NAME?</x:v>
      </x:c>
      <x:c r="I781" s="27" t="e">
        <x:f>IF($A781="","",IF(발령대장_설정!$B$8="","",발령대장_설정!$B$8))</x:f>
        <x:v>#NAME?</x:v>
      </x:c>
      <x:c r="J781" s="27" t="e">
        <x:f>IF($A781="","",IF(대장!K390="","",대장!K390))</x:f>
        <x:v>#NAME?</x:v>
      </x:c>
    </x:row>
    <x:row r="782" ht="42" customHeight="1">
      <x:c r="A782" s="47" t="e">
        <x:f>IF(AND(대장!A390&lt;&gt;"",ISNUMBER(대장!F390),ISNUMBER(대장!G390),대장!G390&gt;=대장!F390,대장!H390&lt;&gt;""),대장!G390,"")</x:f>
        <x:v>#NAME?</x:v>
      </x:c>
      <x:c r="B782" s="27" t="e">
        <x:f>IF($A782="","",IF(발령대장_설정!$B$4="","",발령대장_설정!$B$4))</x:f>
        <x:v>#NAME?</x:v>
      </x:c>
      <x:c r="C782" s="27" t="e">
        <x:f>IF($A782="","",대장!D390)</x:f>
        <x:v>#NAME?</x:v>
      </x:c>
      <x:c r="D782" s="27" t="e">
        <x:f>IF($A782="","",대장!A390)</x:f>
        <x:v>#NAME?</x:v>
      </x:c>
      <x:c r="E782" s="27" t="e">
        <x:f>IF($A782="","",IF(OR(ISNUMBER(SEARCH("계약만료",대장!H390&amp;"")),ISNUMBER(SEARCH("기간만료",대장!H390&amp;""))),"계약기간 만료로 퇴직",IF(ISNUMBER(SEARCH("의원면직",대장!H390&amp;"")),"의원면직",IF(ISNUMBER(SEARCH("정년퇴직",대장!H390&amp;"")),"정년퇴직",대장!H390))))</x:f>
        <x:v>#NAME?</x:v>
      </x:c>
      <x:c r="F782" s="27" t="e">
        <x:f>IF($A782="","",IF(발령대장_설정!$B$5="","",발령대장_설정!$B$5))</x:f>
        <x:v>#NAME?</x:v>
      </x:c>
      <x:c r="G782" s="27" t="e">
        <x:f>IF($A782="","",IF(발령대장_설정!$B$6="","",발령대장_설정!$B$6))</x:f>
        <x:v>#NAME?</x:v>
      </x:c>
      <x:c r="H782" s="27" t="e">
        <x:f>IF($A782="","",IF(발령대장_설정!$B$7="","",발령대장_설정!$B$7))</x:f>
        <x:v>#NAME?</x:v>
      </x:c>
      <x:c r="I782" s="27" t="e">
        <x:f>IF($A782="","",IF(발령대장_설정!$B$8="","",발령대장_설정!$B$8))</x:f>
        <x:v>#NAME?</x:v>
      </x:c>
      <x:c r="J782" s="27" t="str">
        <x:f>""</x:f>
      </x:c>
    </x:row>
    <x:row r="783" ht="42" customHeight="1">
      <x:c r="A783" s="47" t="e">
        <x:f>IF(AND(대장!A391&lt;&gt;"",ISNUMBER(대장!F391),OR(대장!G391="",AND(ISNUMBER(대장!G391),대장!G391&gt;=대장!F391))),대장!F391,"")</x:f>
        <x:v>#NAME?</x:v>
      </x:c>
      <x:c r="B783" s="27" t="e">
        <x:f>IF($A783="","",IF(발령대장_설정!$B$4="","",발령대장_설정!$B$4))</x:f>
        <x:v>#NAME?</x:v>
      </x:c>
      <x:c r="C783" s="27" t="e">
        <x:f>IF($A783="","",대장!D391)</x:f>
        <x:v>#NAME?</x:v>
      </x:c>
      <x:c r="D783" s="27" t="e">
        <x:f>IF($A783="","",대장!A391)</x:f>
        <x:v>#NAME?</x:v>
      </x:c>
      <x:c r="E783" s="27" t="e">
        <x:f>IF($A783="","",IF(대장!J391&lt;&gt;"",대장!J391,대장!D391&amp;"에 임함"&amp;IF(대장!E391="","",CHAR(10)&amp;"고용형태: "&amp;대장!E391)&amp;IF(대장!I391="","",CHAR(10)&amp;"소정근로시간: "&amp;대장!I391)&amp;CHAR(10)&amp;"근로기간: "&amp;YEAR(대장!F391)&amp;"."&amp;MONTH(대장!F391)&amp;"."&amp;DAY(대장!F391)&amp;"."&amp;" ~ "&amp;IF(ISNUMBER(대장!G391),YEAR(대장!G391)&amp;"."&amp;MONTH(대장!G391)&amp;"."&amp;DAY(대장!G391)&amp;".","재직 중")))</x:f>
        <x:v>#NAME?</x:v>
      </x:c>
      <x:c r="F783" s="27" t="e">
        <x:f>IF($A783="","",IF(발령대장_설정!$B$5="","",발령대장_설정!$B$5))</x:f>
        <x:v>#NAME?</x:v>
      </x:c>
      <x:c r="G783" s="27" t="e">
        <x:f>IF($A783="","",IF(발령대장_설정!$B$6="","",발령대장_설정!$B$6))</x:f>
        <x:v>#NAME?</x:v>
      </x:c>
      <x:c r="H783" s="27" t="e">
        <x:f>IF($A783="","",IF(발령대장_설정!$B$7="","",발령대장_설정!$B$7))</x:f>
        <x:v>#NAME?</x:v>
      </x:c>
      <x:c r="I783" s="27" t="e">
        <x:f>IF($A783="","",IF(발령대장_설정!$B$8="","",발령대장_설정!$B$8))</x:f>
        <x:v>#NAME?</x:v>
      </x:c>
      <x:c r="J783" s="27" t="e">
        <x:f>IF($A783="","",IF(대장!K391="","",대장!K391))</x:f>
        <x:v>#NAME?</x:v>
      </x:c>
    </x:row>
    <x:row r="784" ht="42" customHeight="1">
      <x:c r="A784" s="47" t="e">
        <x:f>IF(AND(대장!A391&lt;&gt;"",ISNUMBER(대장!F391),ISNUMBER(대장!G391),대장!G391&gt;=대장!F391,대장!H391&lt;&gt;""),대장!G391,"")</x:f>
        <x:v>#NAME?</x:v>
      </x:c>
      <x:c r="B784" s="27" t="e">
        <x:f>IF($A784="","",IF(발령대장_설정!$B$4="","",발령대장_설정!$B$4))</x:f>
        <x:v>#NAME?</x:v>
      </x:c>
      <x:c r="C784" s="27" t="e">
        <x:f>IF($A784="","",대장!D391)</x:f>
        <x:v>#NAME?</x:v>
      </x:c>
      <x:c r="D784" s="27" t="e">
        <x:f>IF($A784="","",대장!A391)</x:f>
        <x:v>#NAME?</x:v>
      </x:c>
      <x:c r="E784" s="27" t="e">
        <x:f>IF($A784="","",IF(OR(ISNUMBER(SEARCH("계약만료",대장!H391&amp;"")),ISNUMBER(SEARCH("기간만료",대장!H391&amp;""))),"계약기간 만료로 퇴직",IF(ISNUMBER(SEARCH("의원면직",대장!H391&amp;"")),"의원면직",IF(ISNUMBER(SEARCH("정년퇴직",대장!H391&amp;"")),"정년퇴직",대장!H391))))</x:f>
        <x:v>#NAME?</x:v>
      </x:c>
      <x:c r="F784" s="27" t="e">
        <x:f>IF($A784="","",IF(발령대장_설정!$B$5="","",발령대장_설정!$B$5))</x:f>
        <x:v>#NAME?</x:v>
      </x:c>
      <x:c r="G784" s="27" t="e">
        <x:f>IF($A784="","",IF(발령대장_설정!$B$6="","",발령대장_설정!$B$6))</x:f>
        <x:v>#NAME?</x:v>
      </x:c>
      <x:c r="H784" s="27" t="e">
        <x:f>IF($A784="","",IF(발령대장_설정!$B$7="","",발령대장_설정!$B$7))</x:f>
        <x:v>#NAME?</x:v>
      </x:c>
      <x:c r="I784" s="27" t="e">
        <x:f>IF($A784="","",IF(발령대장_설정!$B$8="","",발령대장_설정!$B$8))</x:f>
        <x:v>#NAME?</x:v>
      </x:c>
      <x:c r="J784" s="27" t="str">
        <x:f>""</x:f>
      </x:c>
    </x:row>
    <x:row r="785" ht="42" customHeight="1">
      <x:c r="A785" s="47" t="e">
        <x:f>IF(AND(대장!A392&lt;&gt;"",ISNUMBER(대장!F392),OR(대장!G392="",AND(ISNUMBER(대장!G392),대장!G392&gt;=대장!F392))),대장!F392,"")</x:f>
        <x:v>#NAME?</x:v>
      </x:c>
      <x:c r="B785" s="27" t="e">
        <x:f>IF($A785="","",IF(발령대장_설정!$B$4="","",발령대장_설정!$B$4))</x:f>
        <x:v>#NAME?</x:v>
      </x:c>
      <x:c r="C785" s="27" t="e">
        <x:f>IF($A785="","",대장!D392)</x:f>
        <x:v>#NAME?</x:v>
      </x:c>
      <x:c r="D785" s="27" t="e">
        <x:f>IF($A785="","",대장!A392)</x:f>
        <x:v>#NAME?</x:v>
      </x:c>
      <x:c r="E785" s="27" t="e">
        <x:f>IF($A785="","",IF(대장!J392&lt;&gt;"",대장!J392,대장!D392&amp;"에 임함"&amp;IF(대장!E392="","",CHAR(10)&amp;"고용형태: "&amp;대장!E392)&amp;IF(대장!I392="","",CHAR(10)&amp;"소정근로시간: "&amp;대장!I392)&amp;CHAR(10)&amp;"근로기간: "&amp;YEAR(대장!F392)&amp;"."&amp;MONTH(대장!F392)&amp;"."&amp;DAY(대장!F392)&amp;"."&amp;" ~ "&amp;IF(ISNUMBER(대장!G392),YEAR(대장!G392)&amp;"."&amp;MONTH(대장!G392)&amp;"."&amp;DAY(대장!G392)&amp;".","재직 중")))</x:f>
        <x:v>#NAME?</x:v>
      </x:c>
      <x:c r="F785" s="27" t="e">
        <x:f>IF($A785="","",IF(발령대장_설정!$B$5="","",발령대장_설정!$B$5))</x:f>
        <x:v>#NAME?</x:v>
      </x:c>
      <x:c r="G785" s="27" t="e">
        <x:f>IF($A785="","",IF(발령대장_설정!$B$6="","",발령대장_설정!$B$6))</x:f>
        <x:v>#NAME?</x:v>
      </x:c>
      <x:c r="H785" s="27" t="e">
        <x:f>IF($A785="","",IF(발령대장_설정!$B$7="","",발령대장_설정!$B$7))</x:f>
        <x:v>#NAME?</x:v>
      </x:c>
      <x:c r="I785" s="27" t="e">
        <x:f>IF($A785="","",IF(발령대장_설정!$B$8="","",발령대장_설정!$B$8))</x:f>
        <x:v>#NAME?</x:v>
      </x:c>
      <x:c r="J785" s="27" t="e">
        <x:f>IF($A785="","",IF(대장!K392="","",대장!K392))</x:f>
        <x:v>#NAME?</x:v>
      </x:c>
    </x:row>
    <x:row r="786" ht="42" customHeight="1">
      <x:c r="A786" s="47" t="e">
        <x:f>IF(AND(대장!A392&lt;&gt;"",ISNUMBER(대장!F392),ISNUMBER(대장!G392),대장!G392&gt;=대장!F392,대장!H392&lt;&gt;""),대장!G392,"")</x:f>
        <x:v>#NAME?</x:v>
      </x:c>
      <x:c r="B786" s="27" t="e">
        <x:f>IF($A786="","",IF(발령대장_설정!$B$4="","",발령대장_설정!$B$4))</x:f>
        <x:v>#NAME?</x:v>
      </x:c>
      <x:c r="C786" s="27" t="e">
        <x:f>IF($A786="","",대장!D392)</x:f>
        <x:v>#NAME?</x:v>
      </x:c>
      <x:c r="D786" s="27" t="e">
        <x:f>IF($A786="","",대장!A392)</x:f>
        <x:v>#NAME?</x:v>
      </x:c>
      <x:c r="E786" s="27" t="e">
        <x:f>IF($A786="","",IF(OR(ISNUMBER(SEARCH("계약만료",대장!H392&amp;"")),ISNUMBER(SEARCH("기간만료",대장!H392&amp;""))),"계약기간 만료로 퇴직",IF(ISNUMBER(SEARCH("의원면직",대장!H392&amp;"")),"의원면직",IF(ISNUMBER(SEARCH("정년퇴직",대장!H392&amp;"")),"정년퇴직",대장!H392))))</x:f>
        <x:v>#NAME?</x:v>
      </x:c>
      <x:c r="F786" s="27" t="e">
        <x:f>IF($A786="","",IF(발령대장_설정!$B$5="","",발령대장_설정!$B$5))</x:f>
        <x:v>#NAME?</x:v>
      </x:c>
      <x:c r="G786" s="27" t="e">
        <x:f>IF($A786="","",IF(발령대장_설정!$B$6="","",발령대장_설정!$B$6))</x:f>
        <x:v>#NAME?</x:v>
      </x:c>
      <x:c r="H786" s="27" t="e">
        <x:f>IF($A786="","",IF(발령대장_설정!$B$7="","",발령대장_설정!$B$7))</x:f>
        <x:v>#NAME?</x:v>
      </x:c>
      <x:c r="I786" s="27" t="e">
        <x:f>IF($A786="","",IF(발령대장_설정!$B$8="","",발령대장_설정!$B$8))</x:f>
        <x:v>#NAME?</x:v>
      </x:c>
      <x:c r="J786" s="27" t="str">
        <x:f>""</x:f>
      </x:c>
    </x:row>
    <x:row r="787" ht="42" customHeight="1">
      <x:c r="A787" s="47" t="e">
        <x:f>IF(AND(대장!A393&lt;&gt;"",ISNUMBER(대장!F393),OR(대장!G393="",AND(ISNUMBER(대장!G393),대장!G393&gt;=대장!F393))),대장!F393,"")</x:f>
        <x:v>#NAME?</x:v>
      </x:c>
      <x:c r="B787" s="27" t="e">
        <x:f>IF($A787="","",IF(발령대장_설정!$B$4="","",발령대장_설정!$B$4))</x:f>
        <x:v>#NAME?</x:v>
      </x:c>
      <x:c r="C787" s="27" t="e">
        <x:f>IF($A787="","",대장!D393)</x:f>
        <x:v>#NAME?</x:v>
      </x:c>
      <x:c r="D787" s="27" t="e">
        <x:f>IF($A787="","",대장!A393)</x:f>
        <x:v>#NAME?</x:v>
      </x:c>
      <x:c r="E787" s="27" t="e">
        <x:f>IF($A787="","",IF(대장!J393&lt;&gt;"",대장!J393,대장!D393&amp;"에 임함"&amp;IF(대장!E393="","",CHAR(10)&amp;"고용형태: "&amp;대장!E393)&amp;IF(대장!I393="","",CHAR(10)&amp;"소정근로시간: "&amp;대장!I393)&amp;CHAR(10)&amp;"근로기간: "&amp;YEAR(대장!F393)&amp;"."&amp;MONTH(대장!F393)&amp;"."&amp;DAY(대장!F393)&amp;"."&amp;" ~ "&amp;IF(ISNUMBER(대장!G393),YEAR(대장!G393)&amp;"."&amp;MONTH(대장!G393)&amp;"."&amp;DAY(대장!G393)&amp;".","재직 중")))</x:f>
        <x:v>#NAME?</x:v>
      </x:c>
      <x:c r="F787" s="27" t="e">
        <x:f>IF($A787="","",IF(발령대장_설정!$B$5="","",발령대장_설정!$B$5))</x:f>
        <x:v>#NAME?</x:v>
      </x:c>
      <x:c r="G787" s="27" t="e">
        <x:f>IF($A787="","",IF(발령대장_설정!$B$6="","",발령대장_설정!$B$6))</x:f>
        <x:v>#NAME?</x:v>
      </x:c>
      <x:c r="H787" s="27" t="e">
        <x:f>IF($A787="","",IF(발령대장_설정!$B$7="","",발령대장_설정!$B$7))</x:f>
        <x:v>#NAME?</x:v>
      </x:c>
      <x:c r="I787" s="27" t="e">
        <x:f>IF($A787="","",IF(발령대장_설정!$B$8="","",발령대장_설정!$B$8))</x:f>
        <x:v>#NAME?</x:v>
      </x:c>
      <x:c r="J787" s="27" t="e">
        <x:f>IF($A787="","",IF(대장!K393="","",대장!K393))</x:f>
        <x:v>#NAME?</x:v>
      </x:c>
    </x:row>
    <x:row r="788" ht="42" customHeight="1">
      <x:c r="A788" s="47" t="e">
        <x:f>IF(AND(대장!A393&lt;&gt;"",ISNUMBER(대장!F393),ISNUMBER(대장!G393),대장!G393&gt;=대장!F393,대장!H393&lt;&gt;""),대장!G393,"")</x:f>
        <x:v>#NAME?</x:v>
      </x:c>
      <x:c r="B788" s="27" t="e">
        <x:f>IF($A788="","",IF(발령대장_설정!$B$4="","",발령대장_설정!$B$4))</x:f>
        <x:v>#NAME?</x:v>
      </x:c>
      <x:c r="C788" s="27" t="e">
        <x:f>IF($A788="","",대장!D393)</x:f>
        <x:v>#NAME?</x:v>
      </x:c>
      <x:c r="D788" s="27" t="e">
        <x:f>IF($A788="","",대장!A393)</x:f>
        <x:v>#NAME?</x:v>
      </x:c>
      <x:c r="E788" s="27" t="e">
        <x:f>IF($A788="","",IF(OR(ISNUMBER(SEARCH("계약만료",대장!H393&amp;"")),ISNUMBER(SEARCH("기간만료",대장!H393&amp;""))),"계약기간 만료로 퇴직",IF(ISNUMBER(SEARCH("의원면직",대장!H393&amp;"")),"의원면직",IF(ISNUMBER(SEARCH("정년퇴직",대장!H393&amp;"")),"정년퇴직",대장!H393))))</x:f>
        <x:v>#NAME?</x:v>
      </x:c>
      <x:c r="F788" s="27" t="e">
        <x:f>IF($A788="","",IF(발령대장_설정!$B$5="","",발령대장_설정!$B$5))</x:f>
        <x:v>#NAME?</x:v>
      </x:c>
      <x:c r="G788" s="27" t="e">
        <x:f>IF($A788="","",IF(발령대장_설정!$B$6="","",발령대장_설정!$B$6))</x:f>
        <x:v>#NAME?</x:v>
      </x:c>
      <x:c r="H788" s="27" t="e">
        <x:f>IF($A788="","",IF(발령대장_설정!$B$7="","",발령대장_설정!$B$7))</x:f>
        <x:v>#NAME?</x:v>
      </x:c>
      <x:c r="I788" s="27" t="e">
        <x:f>IF($A788="","",IF(발령대장_설정!$B$8="","",발령대장_설정!$B$8))</x:f>
        <x:v>#NAME?</x:v>
      </x:c>
      <x:c r="J788" s="27" t="str">
        <x:f>""</x:f>
      </x:c>
    </x:row>
    <x:row r="789" ht="42" customHeight="1">
      <x:c r="A789" s="47" t="e">
        <x:f>IF(AND(대장!A394&lt;&gt;"",ISNUMBER(대장!F394),OR(대장!G394="",AND(ISNUMBER(대장!G394),대장!G394&gt;=대장!F394))),대장!F394,"")</x:f>
        <x:v>#NAME?</x:v>
      </x:c>
      <x:c r="B789" s="27" t="e">
        <x:f>IF($A789="","",IF(발령대장_설정!$B$4="","",발령대장_설정!$B$4))</x:f>
        <x:v>#NAME?</x:v>
      </x:c>
      <x:c r="C789" s="27" t="e">
        <x:f>IF($A789="","",대장!D394)</x:f>
        <x:v>#NAME?</x:v>
      </x:c>
      <x:c r="D789" s="27" t="e">
        <x:f>IF($A789="","",대장!A394)</x:f>
        <x:v>#NAME?</x:v>
      </x:c>
      <x:c r="E789" s="27" t="e">
        <x:f>IF($A789="","",IF(대장!J394&lt;&gt;"",대장!J394,대장!D394&amp;"에 임함"&amp;IF(대장!E394="","",CHAR(10)&amp;"고용형태: "&amp;대장!E394)&amp;IF(대장!I394="","",CHAR(10)&amp;"소정근로시간: "&amp;대장!I394)&amp;CHAR(10)&amp;"근로기간: "&amp;YEAR(대장!F394)&amp;"."&amp;MONTH(대장!F394)&amp;"."&amp;DAY(대장!F394)&amp;"."&amp;" ~ "&amp;IF(ISNUMBER(대장!G394),YEAR(대장!G394)&amp;"."&amp;MONTH(대장!G394)&amp;"."&amp;DAY(대장!G394)&amp;".","재직 중")))</x:f>
        <x:v>#NAME?</x:v>
      </x:c>
      <x:c r="F789" s="27" t="e">
        <x:f>IF($A789="","",IF(발령대장_설정!$B$5="","",발령대장_설정!$B$5))</x:f>
        <x:v>#NAME?</x:v>
      </x:c>
      <x:c r="G789" s="27" t="e">
        <x:f>IF($A789="","",IF(발령대장_설정!$B$6="","",발령대장_설정!$B$6))</x:f>
        <x:v>#NAME?</x:v>
      </x:c>
      <x:c r="H789" s="27" t="e">
        <x:f>IF($A789="","",IF(발령대장_설정!$B$7="","",발령대장_설정!$B$7))</x:f>
        <x:v>#NAME?</x:v>
      </x:c>
      <x:c r="I789" s="27" t="e">
        <x:f>IF($A789="","",IF(발령대장_설정!$B$8="","",발령대장_설정!$B$8))</x:f>
        <x:v>#NAME?</x:v>
      </x:c>
      <x:c r="J789" s="27" t="e">
        <x:f>IF($A789="","",IF(대장!K394="","",대장!K394))</x:f>
        <x:v>#NAME?</x:v>
      </x:c>
    </x:row>
    <x:row r="790" ht="42" customHeight="1">
      <x:c r="A790" s="47" t="e">
        <x:f>IF(AND(대장!A394&lt;&gt;"",ISNUMBER(대장!F394),ISNUMBER(대장!G394),대장!G394&gt;=대장!F394,대장!H394&lt;&gt;""),대장!G394,"")</x:f>
        <x:v>#NAME?</x:v>
      </x:c>
      <x:c r="B790" s="27" t="e">
        <x:f>IF($A790="","",IF(발령대장_설정!$B$4="","",발령대장_설정!$B$4))</x:f>
        <x:v>#NAME?</x:v>
      </x:c>
      <x:c r="C790" s="27" t="e">
        <x:f>IF($A790="","",대장!D394)</x:f>
        <x:v>#NAME?</x:v>
      </x:c>
      <x:c r="D790" s="27" t="e">
        <x:f>IF($A790="","",대장!A394)</x:f>
        <x:v>#NAME?</x:v>
      </x:c>
      <x:c r="E790" s="27" t="e">
        <x:f>IF($A790="","",IF(OR(ISNUMBER(SEARCH("계약만료",대장!H394&amp;"")),ISNUMBER(SEARCH("기간만료",대장!H394&amp;""))),"계약기간 만료로 퇴직",IF(ISNUMBER(SEARCH("의원면직",대장!H394&amp;"")),"의원면직",IF(ISNUMBER(SEARCH("정년퇴직",대장!H394&amp;"")),"정년퇴직",대장!H394))))</x:f>
        <x:v>#NAME?</x:v>
      </x:c>
      <x:c r="F790" s="27" t="e">
        <x:f>IF($A790="","",IF(발령대장_설정!$B$5="","",발령대장_설정!$B$5))</x:f>
        <x:v>#NAME?</x:v>
      </x:c>
      <x:c r="G790" s="27" t="e">
        <x:f>IF($A790="","",IF(발령대장_설정!$B$6="","",발령대장_설정!$B$6))</x:f>
        <x:v>#NAME?</x:v>
      </x:c>
      <x:c r="H790" s="27" t="e">
        <x:f>IF($A790="","",IF(발령대장_설정!$B$7="","",발령대장_설정!$B$7))</x:f>
        <x:v>#NAME?</x:v>
      </x:c>
      <x:c r="I790" s="27" t="e">
        <x:f>IF($A790="","",IF(발령대장_설정!$B$8="","",발령대장_설정!$B$8))</x:f>
        <x:v>#NAME?</x:v>
      </x:c>
      <x:c r="J790" s="27" t="str">
        <x:f>""</x:f>
      </x:c>
    </x:row>
    <x:row r="791" ht="42" customHeight="1">
      <x:c r="A791" s="47" t="e">
        <x:f>IF(AND(대장!A395&lt;&gt;"",ISNUMBER(대장!F395),OR(대장!G395="",AND(ISNUMBER(대장!G395),대장!G395&gt;=대장!F395))),대장!F395,"")</x:f>
        <x:v>#NAME?</x:v>
      </x:c>
      <x:c r="B791" s="27" t="e">
        <x:f>IF($A791="","",IF(발령대장_설정!$B$4="","",발령대장_설정!$B$4))</x:f>
        <x:v>#NAME?</x:v>
      </x:c>
      <x:c r="C791" s="27" t="e">
        <x:f>IF($A791="","",대장!D395)</x:f>
        <x:v>#NAME?</x:v>
      </x:c>
      <x:c r="D791" s="27" t="e">
        <x:f>IF($A791="","",대장!A395)</x:f>
        <x:v>#NAME?</x:v>
      </x:c>
      <x:c r="E791" s="27" t="e">
        <x:f>IF($A791="","",IF(대장!J395&lt;&gt;"",대장!J395,대장!D395&amp;"에 임함"&amp;IF(대장!E395="","",CHAR(10)&amp;"고용형태: "&amp;대장!E395)&amp;IF(대장!I395="","",CHAR(10)&amp;"소정근로시간: "&amp;대장!I395)&amp;CHAR(10)&amp;"근로기간: "&amp;YEAR(대장!F395)&amp;"."&amp;MONTH(대장!F395)&amp;"."&amp;DAY(대장!F395)&amp;"."&amp;" ~ "&amp;IF(ISNUMBER(대장!G395),YEAR(대장!G395)&amp;"."&amp;MONTH(대장!G395)&amp;"."&amp;DAY(대장!G395)&amp;".","재직 중")))</x:f>
        <x:v>#NAME?</x:v>
      </x:c>
      <x:c r="F791" s="27" t="e">
        <x:f>IF($A791="","",IF(발령대장_설정!$B$5="","",발령대장_설정!$B$5))</x:f>
        <x:v>#NAME?</x:v>
      </x:c>
      <x:c r="G791" s="27" t="e">
        <x:f>IF($A791="","",IF(발령대장_설정!$B$6="","",발령대장_설정!$B$6))</x:f>
        <x:v>#NAME?</x:v>
      </x:c>
      <x:c r="H791" s="27" t="e">
        <x:f>IF($A791="","",IF(발령대장_설정!$B$7="","",발령대장_설정!$B$7))</x:f>
        <x:v>#NAME?</x:v>
      </x:c>
      <x:c r="I791" s="27" t="e">
        <x:f>IF($A791="","",IF(발령대장_설정!$B$8="","",발령대장_설정!$B$8))</x:f>
        <x:v>#NAME?</x:v>
      </x:c>
      <x:c r="J791" s="27" t="e">
        <x:f>IF($A791="","",IF(대장!K395="","",대장!K395))</x:f>
        <x:v>#NAME?</x:v>
      </x:c>
    </x:row>
    <x:row r="792" ht="42" customHeight="1">
      <x:c r="A792" s="47" t="e">
        <x:f>IF(AND(대장!A395&lt;&gt;"",ISNUMBER(대장!F395),ISNUMBER(대장!G395),대장!G395&gt;=대장!F395,대장!H395&lt;&gt;""),대장!G395,"")</x:f>
        <x:v>#NAME?</x:v>
      </x:c>
      <x:c r="B792" s="27" t="e">
        <x:f>IF($A792="","",IF(발령대장_설정!$B$4="","",발령대장_설정!$B$4))</x:f>
        <x:v>#NAME?</x:v>
      </x:c>
      <x:c r="C792" s="27" t="e">
        <x:f>IF($A792="","",대장!D395)</x:f>
        <x:v>#NAME?</x:v>
      </x:c>
      <x:c r="D792" s="27" t="e">
        <x:f>IF($A792="","",대장!A395)</x:f>
        <x:v>#NAME?</x:v>
      </x:c>
      <x:c r="E792" s="27" t="e">
        <x:f>IF($A792="","",IF(OR(ISNUMBER(SEARCH("계약만료",대장!H395&amp;"")),ISNUMBER(SEARCH("기간만료",대장!H395&amp;""))),"계약기간 만료로 퇴직",IF(ISNUMBER(SEARCH("의원면직",대장!H395&amp;"")),"의원면직",IF(ISNUMBER(SEARCH("정년퇴직",대장!H395&amp;"")),"정년퇴직",대장!H395))))</x:f>
        <x:v>#NAME?</x:v>
      </x:c>
      <x:c r="F792" s="27" t="e">
        <x:f>IF($A792="","",IF(발령대장_설정!$B$5="","",발령대장_설정!$B$5))</x:f>
        <x:v>#NAME?</x:v>
      </x:c>
      <x:c r="G792" s="27" t="e">
        <x:f>IF($A792="","",IF(발령대장_설정!$B$6="","",발령대장_설정!$B$6))</x:f>
        <x:v>#NAME?</x:v>
      </x:c>
      <x:c r="H792" s="27" t="e">
        <x:f>IF($A792="","",IF(발령대장_설정!$B$7="","",발령대장_설정!$B$7))</x:f>
        <x:v>#NAME?</x:v>
      </x:c>
      <x:c r="I792" s="27" t="e">
        <x:f>IF($A792="","",IF(발령대장_설정!$B$8="","",발령대장_설정!$B$8))</x:f>
        <x:v>#NAME?</x:v>
      </x:c>
      <x:c r="J792" s="27" t="str">
        <x:f>""</x:f>
      </x:c>
    </x:row>
    <x:row r="793" ht="42" customHeight="1">
      <x:c r="A793" s="47" t="e">
        <x:f>IF(AND(대장!A396&lt;&gt;"",ISNUMBER(대장!F396),OR(대장!G396="",AND(ISNUMBER(대장!G396),대장!G396&gt;=대장!F396))),대장!F396,"")</x:f>
        <x:v>#NAME?</x:v>
      </x:c>
      <x:c r="B793" s="27" t="e">
        <x:f>IF($A793="","",IF(발령대장_설정!$B$4="","",발령대장_설정!$B$4))</x:f>
        <x:v>#NAME?</x:v>
      </x:c>
      <x:c r="C793" s="27" t="e">
        <x:f>IF($A793="","",대장!D396)</x:f>
        <x:v>#NAME?</x:v>
      </x:c>
      <x:c r="D793" s="27" t="e">
        <x:f>IF($A793="","",대장!A396)</x:f>
        <x:v>#NAME?</x:v>
      </x:c>
      <x:c r="E793" s="27" t="e">
        <x:f>IF($A793="","",IF(대장!J396&lt;&gt;"",대장!J396,대장!D396&amp;"에 임함"&amp;IF(대장!E396="","",CHAR(10)&amp;"고용형태: "&amp;대장!E396)&amp;IF(대장!I396="","",CHAR(10)&amp;"소정근로시간: "&amp;대장!I396)&amp;CHAR(10)&amp;"근로기간: "&amp;YEAR(대장!F396)&amp;"."&amp;MONTH(대장!F396)&amp;"."&amp;DAY(대장!F396)&amp;"."&amp;" ~ "&amp;IF(ISNUMBER(대장!G396),YEAR(대장!G396)&amp;"."&amp;MONTH(대장!G396)&amp;"."&amp;DAY(대장!G396)&amp;".","재직 중")))</x:f>
        <x:v>#NAME?</x:v>
      </x:c>
      <x:c r="F793" s="27" t="e">
        <x:f>IF($A793="","",IF(발령대장_설정!$B$5="","",발령대장_설정!$B$5))</x:f>
        <x:v>#NAME?</x:v>
      </x:c>
      <x:c r="G793" s="27" t="e">
        <x:f>IF($A793="","",IF(발령대장_설정!$B$6="","",발령대장_설정!$B$6))</x:f>
        <x:v>#NAME?</x:v>
      </x:c>
      <x:c r="H793" s="27" t="e">
        <x:f>IF($A793="","",IF(발령대장_설정!$B$7="","",발령대장_설정!$B$7))</x:f>
        <x:v>#NAME?</x:v>
      </x:c>
      <x:c r="I793" s="27" t="e">
        <x:f>IF($A793="","",IF(발령대장_설정!$B$8="","",발령대장_설정!$B$8))</x:f>
        <x:v>#NAME?</x:v>
      </x:c>
      <x:c r="J793" s="27" t="e">
        <x:f>IF($A793="","",IF(대장!K396="","",대장!K396))</x:f>
        <x:v>#NAME?</x:v>
      </x:c>
    </x:row>
    <x:row r="794" ht="42" customHeight="1">
      <x:c r="A794" s="47" t="e">
        <x:f>IF(AND(대장!A396&lt;&gt;"",ISNUMBER(대장!F396),ISNUMBER(대장!G396),대장!G396&gt;=대장!F396,대장!H396&lt;&gt;""),대장!G396,"")</x:f>
        <x:v>#NAME?</x:v>
      </x:c>
      <x:c r="B794" s="27" t="e">
        <x:f>IF($A794="","",IF(발령대장_설정!$B$4="","",발령대장_설정!$B$4))</x:f>
        <x:v>#NAME?</x:v>
      </x:c>
      <x:c r="C794" s="27" t="e">
        <x:f>IF($A794="","",대장!D396)</x:f>
        <x:v>#NAME?</x:v>
      </x:c>
      <x:c r="D794" s="27" t="e">
        <x:f>IF($A794="","",대장!A396)</x:f>
        <x:v>#NAME?</x:v>
      </x:c>
      <x:c r="E794" s="27" t="e">
        <x:f>IF($A794="","",IF(OR(ISNUMBER(SEARCH("계약만료",대장!H396&amp;"")),ISNUMBER(SEARCH("기간만료",대장!H396&amp;""))),"계약기간 만료로 퇴직",IF(ISNUMBER(SEARCH("의원면직",대장!H396&amp;"")),"의원면직",IF(ISNUMBER(SEARCH("정년퇴직",대장!H396&amp;"")),"정년퇴직",대장!H396))))</x:f>
        <x:v>#NAME?</x:v>
      </x:c>
      <x:c r="F794" s="27" t="e">
        <x:f>IF($A794="","",IF(발령대장_설정!$B$5="","",발령대장_설정!$B$5))</x:f>
        <x:v>#NAME?</x:v>
      </x:c>
      <x:c r="G794" s="27" t="e">
        <x:f>IF($A794="","",IF(발령대장_설정!$B$6="","",발령대장_설정!$B$6))</x:f>
        <x:v>#NAME?</x:v>
      </x:c>
      <x:c r="H794" s="27" t="e">
        <x:f>IF($A794="","",IF(발령대장_설정!$B$7="","",발령대장_설정!$B$7))</x:f>
        <x:v>#NAME?</x:v>
      </x:c>
      <x:c r="I794" s="27" t="e">
        <x:f>IF($A794="","",IF(발령대장_설정!$B$8="","",발령대장_설정!$B$8))</x:f>
        <x:v>#NAME?</x:v>
      </x:c>
      <x:c r="J794" s="27" t="str">
        <x:f>""</x:f>
      </x:c>
    </x:row>
    <x:row r="795" ht="42" customHeight="1">
      <x:c r="A795" s="47" t="e">
        <x:f>IF(AND(대장!A397&lt;&gt;"",ISNUMBER(대장!F397),OR(대장!G397="",AND(ISNUMBER(대장!G397),대장!G397&gt;=대장!F397))),대장!F397,"")</x:f>
        <x:v>#NAME?</x:v>
      </x:c>
      <x:c r="B795" s="27" t="e">
        <x:f>IF($A795="","",IF(발령대장_설정!$B$4="","",발령대장_설정!$B$4))</x:f>
        <x:v>#NAME?</x:v>
      </x:c>
      <x:c r="C795" s="27" t="e">
        <x:f>IF($A795="","",대장!D397)</x:f>
        <x:v>#NAME?</x:v>
      </x:c>
      <x:c r="D795" s="27" t="e">
        <x:f>IF($A795="","",대장!A397)</x:f>
        <x:v>#NAME?</x:v>
      </x:c>
      <x:c r="E795" s="27" t="e">
        <x:f>IF($A795="","",IF(대장!J397&lt;&gt;"",대장!J397,대장!D397&amp;"에 임함"&amp;IF(대장!E397="","",CHAR(10)&amp;"고용형태: "&amp;대장!E397)&amp;IF(대장!I397="","",CHAR(10)&amp;"소정근로시간: "&amp;대장!I397)&amp;CHAR(10)&amp;"근로기간: "&amp;YEAR(대장!F397)&amp;"."&amp;MONTH(대장!F397)&amp;"."&amp;DAY(대장!F397)&amp;"."&amp;" ~ "&amp;IF(ISNUMBER(대장!G397),YEAR(대장!G397)&amp;"."&amp;MONTH(대장!G397)&amp;"."&amp;DAY(대장!G397)&amp;".","재직 중")))</x:f>
        <x:v>#NAME?</x:v>
      </x:c>
      <x:c r="F795" s="27" t="e">
        <x:f>IF($A795="","",IF(발령대장_설정!$B$5="","",발령대장_설정!$B$5))</x:f>
        <x:v>#NAME?</x:v>
      </x:c>
      <x:c r="G795" s="27" t="e">
        <x:f>IF($A795="","",IF(발령대장_설정!$B$6="","",발령대장_설정!$B$6))</x:f>
        <x:v>#NAME?</x:v>
      </x:c>
      <x:c r="H795" s="27" t="e">
        <x:f>IF($A795="","",IF(발령대장_설정!$B$7="","",발령대장_설정!$B$7))</x:f>
        <x:v>#NAME?</x:v>
      </x:c>
      <x:c r="I795" s="27" t="e">
        <x:f>IF($A795="","",IF(발령대장_설정!$B$8="","",발령대장_설정!$B$8))</x:f>
        <x:v>#NAME?</x:v>
      </x:c>
      <x:c r="J795" s="27" t="e">
        <x:f>IF($A795="","",IF(대장!K397="","",대장!K397))</x:f>
        <x:v>#NAME?</x:v>
      </x:c>
    </x:row>
    <x:row r="796" ht="42" customHeight="1">
      <x:c r="A796" s="47" t="e">
        <x:f>IF(AND(대장!A397&lt;&gt;"",ISNUMBER(대장!F397),ISNUMBER(대장!G397),대장!G397&gt;=대장!F397,대장!H397&lt;&gt;""),대장!G397,"")</x:f>
        <x:v>#NAME?</x:v>
      </x:c>
      <x:c r="B796" s="27" t="e">
        <x:f>IF($A796="","",IF(발령대장_설정!$B$4="","",발령대장_설정!$B$4))</x:f>
        <x:v>#NAME?</x:v>
      </x:c>
      <x:c r="C796" s="27" t="e">
        <x:f>IF($A796="","",대장!D397)</x:f>
        <x:v>#NAME?</x:v>
      </x:c>
      <x:c r="D796" s="27" t="e">
        <x:f>IF($A796="","",대장!A397)</x:f>
        <x:v>#NAME?</x:v>
      </x:c>
      <x:c r="E796" s="27" t="e">
        <x:f>IF($A796="","",IF(OR(ISNUMBER(SEARCH("계약만료",대장!H397&amp;"")),ISNUMBER(SEARCH("기간만료",대장!H397&amp;""))),"계약기간 만료로 퇴직",IF(ISNUMBER(SEARCH("의원면직",대장!H397&amp;"")),"의원면직",IF(ISNUMBER(SEARCH("정년퇴직",대장!H397&amp;"")),"정년퇴직",대장!H397))))</x:f>
        <x:v>#NAME?</x:v>
      </x:c>
      <x:c r="F796" s="27" t="e">
        <x:f>IF($A796="","",IF(발령대장_설정!$B$5="","",발령대장_설정!$B$5))</x:f>
        <x:v>#NAME?</x:v>
      </x:c>
      <x:c r="G796" s="27" t="e">
        <x:f>IF($A796="","",IF(발령대장_설정!$B$6="","",발령대장_설정!$B$6))</x:f>
        <x:v>#NAME?</x:v>
      </x:c>
      <x:c r="H796" s="27" t="e">
        <x:f>IF($A796="","",IF(발령대장_설정!$B$7="","",발령대장_설정!$B$7))</x:f>
        <x:v>#NAME?</x:v>
      </x:c>
      <x:c r="I796" s="27" t="e">
        <x:f>IF($A796="","",IF(발령대장_설정!$B$8="","",발령대장_설정!$B$8))</x:f>
        <x:v>#NAME?</x:v>
      </x:c>
      <x:c r="J796" s="27" t="str">
        <x:f>""</x:f>
      </x:c>
    </x:row>
    <x:row r="797" ht="42" customHeight="1">
      <x:c r="A797" s="47" t="e">
        <x:f>IF(AND(대장!A398&lt;&gt;"",ISNUMBER(대장!F398),OR(대장!G398="",AND(ISNUMBER(대장!G398),대장!G398&gt;=대장!F398))),대장!F398,"")</x:f>
        <x:v>#NAME?</x:v>
      </x:c>
      <x:c r="B797" s="27" t="e">
        <x:f>IF($A797="","",IF(발령대장_설정!$B$4="","",발령대장_설정!$B$4))</x:f>
        <x:v>#NAME?</x:v>
      </x:c>
      <x:c r="C797" s="27" t="e">
        <x:f>IF($A797="","",대장!D398)</x:f>
        <x:v>#NAME?</x:v>
      </x:c>
      <x:c r="D797" s="27" t="e">
        <x:f>IF($A797="","",대장!A398)</x:f>
        <x:v>#NAME?</x:v>
      </x:c>
      <x:c r="E797" s="27" t="e">
        <x:f>IF($A797="","",IF(대장!J398&lt;&gt;"",대장!J398,대장!D398&amp;"에 임함"&amp;IF(대장!E398="","",CHAR(10)&amp;"고용형태: "&amp;대장!E398)&amp;IF(대장!I398="","",CHAR(10)&amp;"소정근로시간: "&amp;대장!I398)&amp;CHAR(10)&amp;"근로기간: "&amp;YEAR(대장!F398)&amp;"."&amp;MONTH(대장!F398)&amp;"."&amp;DAY(대장!F398)&amp;"."&amp;" ~ "&amp;IF(ISNUMBER(대장!G398),YEAR(대장!G398)&amp;"."&amp;MONTH(대장!G398)&amp;"."&amp;DAY(대장!G398)&amp;".","재직 중")))</x:f>
        <x:v>#NAME?</x:v>
      </x:c>
      <x:c r="F797" s="27" t="e">
        <x:f>IF($A797="","",IF(발령대장_설정!$B$5="","",발령대장_설정!$B$5))</x:f>
        <x:v>#NAME?</x:v>
      </x:c>
      <x:c r="G797" s="27" t="e">
        <x:f>IF($A797="","",IF(발령대장_설정!$B$6="","",발령대장_설정!$B$6))</x:f>
        <x:v>#NAME?</x:v>
      </x:c>
      <x:c r="H797" s="27" t="e">
        <x:f>IF($A797="","",IF(발령대장_설정!$B$7="","",발령대장_설정!$B$7))</x:f>
        <x:v>#NAME?</x:v>
      </x:c>
      <x:c r="I797" s="27" t="e">
        <x:f>IF($A797="","",IF(발령대장_설정!$B$8="","",발령대장_설정!$B$8))</x:f>
        <x:v>#NAME?</x:v>
      </x:c>
      <x:c r="J797" s="27" t="e">
        <x:f>IF($A797="","",IF(대장!K398="","",대장!K398))</x:f>
        <x:v>#NAME?</x:v>
      </x:c>
    </x:row>
    <x:row r="798" ht="42" customHeight="1">
      <x:c r="A798" s="47" t="e">
        <x:f>IF(AND(대장!A398&lt;&gt;"",ISNUMBER(대장!F398),ISNUMBER(대장!G398),대장!G398&gt;=대장!F398,대장!H398&lt;&gt;""),대장!G398,"")</x:f>
        <x:v>#NAME?</x:v>
      </x:c>
      <x:c r="B798" s="27" t="e">
        <x:f>IF($A798="","",IF(발령대장_설정!$B$4="","",발령대장_설정!$B$4))</x:f>
        <x:v>#NAME?</x:v>
      </x:c>
      <x:c r="C798" s="27" t="e">
        <x:f>IF($A798="","",대장!D398)</x:f>
        <x:v>#NAME?</x:v>
      </x:c>
      <x:c r="D798" s="27" t="e">
        <x:f>IF($A798="","",대장!A398)</x:f>
        <x:v>#NAME?</x:v>
      </x:c>
      <x:c r="E798" s="27" t="e">
        <x:f>IF($A798="","",IF(OR(ISNUMBER(SEARCH("계약만료",대장!H398&amp;"")),ISNUMBER(SEARCH("기간만료",대장!H398&amp;""))),"계약기간 만료로 퇴직",IF(ISNUMBER(SEARCH("의원면직",대장!H398&amp;"")),"의원면직",IF(ISNUMBER(SEARCH("정년퇴직",대장!H398&amp;"")),"정년퇴직",대장!H398))))</x:f>
        <x:v>#NAME?</x:v>
      </x:c>
      <x:c r="F798" s="27" t="e">
        <x:f>IF($A798="","",IF(발령대장_설정!$B$5="","",발령대장_설정!$B$5))</x:f>
        <x:v>#NAME?</x:v>
      </x:c>
      <x:c r="G798" s="27" t="e">
        <x:f>IF($A798="","",IF(발령대장_설정!$B$6="","",발령대장_설정!$B$6))</x:f>
        <x:v>#NAME?</x:v>
      </x:c>
      <x:c r="H798" s="27" t="e">
        <x:f>IF($A798="","",IF(발령대장_설정!$B$7="","",발령대장_설정!$B$7))</x:f>
        <x:v>#NAME?</x:v>
      </x:c>
      <x:c r="I798" s="27" t="e">
        <x:f>IF($A798="","",IF(발령대장_설정!$B$8="","",발령대장_설정!$B$8))</x:f>
        <x:v>#NAME?</x:v>
      </x:c>
      <x:c r="J798" s="27" t="str">
        <x:f>""</x:f>
      </x:c>
    </x:row>
    <x:row r="799" ht="42" customHeight="1">
      <x:c r="A799" s="47" t="e">
        <x:f>IF(AND(대장!A399&lt;&gt;"",ISNUMBER(대장!F399),OR(대장!G399="",AND(ISNUMBER(대장!G399),대장!G399&gt;=대장!F399))),대장!F399,"")</x:f>
        <x:v>#NAME?</x:v>
      </x:c>
      <x:c r="B799" s="27" t="e">
        <x:f>IF($A799="","",IF(발령대장_설정!$B$4="","",발령대장_설정!$B$4))</x:f>
        <x:v>#NAME?</x:v>
      </x:c>
      <x:c r="C799" s="27" t="e">
        <x:f>IF($A799="","",대장!D399)</x:f>
        <x:v>#NAME?</x:v>
      </x:c>
      <x:c r="D799" s="27" t="e">
        <x:f>IF($A799="","",대장!A399)</x:f>
        <x:v>#NAME?</x:v>
      </x:c>
      <x:c r="E799" s="27" t="e">
        <x:f>IF($A799="","",IF(대장!J399&lt;&gt;"",대장!J399,대장!D399&amp;"에 임함"&amp;IF(대장!E399="","",CHAR(10)&amp;"고용형태: "&amp;대장!E399)&amp;IF(대장!I399="","",CHAR(10)&amp;"소정근로시간: "&amp;대장!I399)&amp;CHAR(10)&amp;"근로기간: "&amp;YEAR(대장!F399)&amp;"."&amp;MONTH(대장!F399)&amp;"."&amp;DAY(대장!F399)&amp;"."&amp;" ~ "&amp;IF(ISNUMBER(대장!G399),YEAR(대장!G399)&amp;"."&amp;MONTH(대장!G399)&amp;"."&amp;DAY(대장!G399)&amp;".","재직 중")))</x:f>
        <x:v>#NAME?</x:v>
      </x:c>
      <x:c r="F799" s="27" t="e">
        <x:f>IF($A799="","",IF(발령대장_설정!$B$5="","",발령대장_설정!$B$5))</x:f>
        <x:v>#NAME?</x:v>
      </x:c>
      <x:c r="G799" s="27" t="e">
        <x:f>IF($A799="","",IF(발령대장_설정!$B$6="","",발령대장_설정!$B$6))</x:f>
        <x:v>#NAME?</x:v>
      </x:c>
      <x:c r="H799" s="27" t="e">
        <x:f>IF($A799="","",IF(발령대장_설정!$B$7="","",발령대장_설정!$B$7))</x:f>
        <x:v>#NAME?</x:v>
      </x:c>
      <x:c r="I799" s="27" t="e">
        <x:f>IF($A799="","",IF(발령대장_설정!$B$8="","",발령대장_설정!$B$8))</x:f>
        <x:v>#NAME?</x:v>
      </x:c>
      <x:c r="J799" s="27" t="e">
        <x:f>IF($A799="","",IF(대장!K399="","",대장!K399))</x:f>
        <x:v>#NAME?</x:v>
      </x:c>
    </x:row>
    <x:row r="800" ht="42" customHeight="1">
      <x:c r="A800" s="47" t="e">
        <x:f>IF(AND(대장!A399&lt;&gt;"",ISNUMBER(대장!F399),ISNUMBER(대장!G399),대장!G399&gt;=대장!F399,대장!H399&lt;&gt;""),대장!G399,"")</x:f>
        <x:v>#NAME?</x:v>
      </x:c>
      <x:c r="B800" s="27" t="e">
        <x:f>IF($A800="","",IF(발령대장_설정!$B$4="","",발령대장_설정!$B$4))</x:f>
        <x:v>#NAME?</x:v>
      </x:c>
      <x:c r="C800" s="27" t="e">
        <x:f>IF($A800="","",대장!D399)</x:f>
        <x:v>#NAME?</x:v>
      </x:c>
      <x:c r="D800" s="27" t="e">
        <x:f>IF($A800="","",대장!A399)</x:f>
        <x:v>#NAME?</x:v>
      </x:c>
      <x:c r="E800" s="27" t="e">
        <x:f>IF($A800="","",IF(OR(ISNUMBER(SEARCH("계약만료",대장!H399&amp;"")),ISNUMBER(SEARCH("기간만료",대장!H399&amp;""))),"계약기간 만료로 퇴직",IF(ISNUMBER(SEARCH("의원면직",대장!H399&amp;"")),"의원면직",IF(ISNUMBER(SEARCH("정년퇴직",대장!H399&amp;"")),"정년퇴직",대장!H399))))</x:f>
        <x:v>#NAME?</x:v>
      </x:c>
      <x:c r="F800" s="27" t="e">
        <x:f>IF($A800="","",IF(발령대장_설정!$B$5="","",발령대장_설정!$B$5))</x:f>
        <x:v>#NAME?</x:v>
      </x:c>
      <x:c r="G800" s="27" t="e">
        <x:f>IF($A800="","",IF(발령대장_설정!$B$6="","",발령대장_설정!$B$6))</x:f>
        <x:v>#NAME?</x:v>
      </x:c>
      <x:c r="H800" s="27" t="e">
        <x:f>IF($A800="","",IF(발령대장_설정!$B$7="","",발령대장_설정!$B$7))</x:f>
        <x:v>#NAME?</x:v>
      </x:c>
      <x:c r="I800" s="27" t="e">
        <x:f>IF($A800="","",IF(발령대장_설정!$B$8="","",발령대장_설정!$B$8))</x:f>
        <x:v>#NAME?</x:v>
      </x:c>
      <x:c r="J800" s="27" t="str">
        <x:f>""</x:f>
      </x:c>
    </x:row>
    <x:row r="801" ht="42" customHeight="1">
      <x:c r="A801" s="47" t="e">
        <x:f>IF(AND(대장!A400&lt;&gt;"",ISNUMBER(대장!F400),OR(대장!G400="",AND(ISNUMBER(대장!G400),대장!G400&gt;=대장!F400))),대장!F400,"")</x:f>
        <x:v>#NAME?</x:v>
      </x:c>
      <x:c r="B801" s="27" t="e">
        <x:f>IF($A801="","",IF(발령대장_설정!$B$4="","",발령대장_설정!$B$4))</x:f>
        <x:v>#NAME?</x:v>
      </x:c>
      <x:c r="C801" s="27" t="e">
        <x:f>IF($A801="","",대장!D400)</x:f>
        <x:v>#NAME?</x:v>
      </x:c>
      <x:c r="D801" s="27" t="e">
        <x:f>IF($A801="","",대장!A400)</x:f>
        <x:v>#NAME?</x:v>
      </x:c>
      <x:c r="E801" s="27" t="e">
        <x:f>IF($A801="","",IF(대장!J400&lt;&gt;"",대장!J400,대장!D400&amp;"에 임함"&amp;IF(대장!E400="","",CHAR(10)&amp;"고용형태: "&amp;대장!E400)&amp;IF(대장!I400="","",CHAR(10)&amp;"소정근로시간: "&amp;대장!I400)&amp;CHAR(10)&amp;"근로기간: "&amp;YEAR(대장!F400)&amp;"."&amp;MONTH(대장!F400)&amp;"."&amp;DAY(대장!F400)&amp;"."&amp;" ~ "&amp;IF(ISNUMBER(대장!G400),YEAR(대장!G400)&amp;"."&amp;MONTH(대장!G400)&amp;"."&amp;DAY(대장!G400)&amp;".","재직 중")))</x:f>
        <x:v>#NAME?</x:v>
      </x:c>
      <x:c r="F801" s="27" t="e">
        <x:f>IF($A801="","",IF(발령대장_설정!$B$5="","",발령대장_설정!$B$5))</x:f>
        <x:v>#NAME?</x:v>
      </x:c>
      <x:c r="G801" s="27" t="e">
        <x:f>IF($A801="","",IF(발령대장_설정!$B$6="","",발령대장_설정!$B$6))</x:f>
        <x:v>#NAME?</x:v>
      </x:c>
      <x:c r="H801" s="27" t="e">
        <x:f>IF($A801="","",IF(발령대장_설정!$B$7="","",발령대장_설정!$B$7))</x:f>
        <x:v>#NAME?</x:v>
      </x:c>
      <x:c r="I801" s="27" t="e">
        <x:f>IF($A801="","",IF(발령대장_설정!$B$8="","",발령대장_설정!$B$8))</x:f>
        <x:v>#NAME?</x:v>
      </x:c>
      <x:c r="J801" s="27" t="e">
        <x:f>IF($A801="","",IF(대장!K400="","",대장!K400))</x:f>
        <x:v>#NAME?</x:v>
      </x:c>
    </x:row>
    <x:row r="802" ht="42" customHeight="1">
      <x:c r="A802" s="47" t="e">
        <x:f>IF(AND(대장!A400&lt;&gt;"",ISNUMBER(대장!F400),ISNUMBER(대장!G400),대장!G400&gt;=대장!F400,대장!H400&lt;&gt;""),대장!G400,"")</x:f>
        <x:v>#NAME?</x:v>
      </x:c>
      <x:c r="B802" s="27" t="e">
        <x:f>IF($A802="","",IF(발령대장_설정!$B$4="","",발령대장_설정!$B$4))</x:f>
        <x:v>#NAME?</x:v>
      </x:c>
      <x:c r="C802" s="27" t="e">
        <x:f>IF($A802="","",대장!D400)</x:f>
        <x:v>#NAME?</x:v>
      </x:c>
      <x:c r="D802" s="27" t="e">
        <x:f>IF($A802="","",대장!A400)</x:f>
        <x:v>#NAME?</x:v>
      </x:c>
      <x:c r="E802" s="27" t="e">
        <x:f>IF($A802="","",IF(OR(ISNUMBER(SEARCH("계약만료",대장!H400&amp;"")),ISNUMBER(SEARCH("기간만료",대장!H400&amp;""))),"계약기간 만료로 퇴직",IF(ISNUMBER(SEARCH("의원면직",대장!H400&amp;"")),"의원면직",IF(ISNUMBER(SEARCH("정년퇴직",대장!H400&amp;"")),"정년퇴직",대장!H400))))</x:f>
        <x:v>#NAME?</x:v>
      </x:c>
      <x:c r="F802" s="27" t="e">
        <x:f>IF($A802="","",IF(발령대장_설정!$B$5="","",발령대장_설정!$B$5))</x:f>
        <x:v>#NAME?</x:v>
      </x:c>
      <x:c r="G802" s="27" t="e">
        <x:f>IF($A802="","",IF(발령대장_설정!$B$6="","",발령대장_설정!$B$6))</x:f>
        <x:v>#NAME?</x:v>
      </x:c>
      <x:c r="H802" s="27" t="e">
        <x:f>IF($A802="","",IF(발령대장_설정!$B$7="","",발령대장_설정!$B$7))</x:f>
        <x:v>#NAME?</x:v>
      </x:c>
      <x:c r="I802" s="27" t="e">
        <x:f>IF($A802="","",IF(발령대장_설정!$B$8="","",발령대장_설정!$B$8))</x:f>
        <x:v>#NAME?</x:v>
      </x:c>
      <x:c r="J802" s="27" t="str">
        <x:f>""</x:f>
      </x:c>
    </x:row>
    <x:row r="803" ht="42" customHeight="1">
      <x:c r="A803" s="47" t="e">
        <x:f>IF(AND(대장!A401&lt;&gt;"",ISNUMBER(대장!F401),OR(대장!G401="",AND(ISNUMBER(대장!G401),대장!G401&gt;=대장!F401))),대장!F401,"")</x:f>
        <x:v>#NAME?</x:v>
      </x:c>
      <x:c r="B803" s="27" t="e">
        <x:f>IF($A803="","",IF(발령대장_설정!$B$4="","",발령대장_설정!$B$4))</x:f>
        <x:v>#NAME?</x:v>
      </x:c>
      <x:c r="C803" s="27" t="e">
        <x:f>IF($A803="","",대장!D401)</x:f>
        <x:v>#NAME?</x:v>
      </x:c>
      <x:c r="D803" s="27" t="e">
        <x:f>IF($A803="","",대장!A401)</x:f>
        <x:v>#NAME?</x:v>
      </x:c>
      <x:c r="E803" s="27" t="e">
        <x:f>IF($A803="","",IF(대장!J401&lt;&gt;"",대장!J401,대장!D401&amp;"에 임함"&amp;IF(대장!E401="","",CHAR(10)&amp;"고용형태: "&amp;대장!E401)&amp;IF(대장!I401="","",CHAR(10)&amp;"소정근로시간: "&amp;대장!I401)&amp;CHAR(10)&amp;"근로기간: "&amp;YEAR(대장!F401)&amp;"."&amp;MONTH(대장!F401)&amp;"."&amp;DAY(대장!F401)&amp;"."&amp;" ~ "&amp;IF(ISNUMBER(대장!G401),YEAR(대장!G401)&amp;"."&amp;MONTH(대장!G401)&amp;"."&amp;DAY(대장!G401)&amp;".","재직 중")))</x:f>
        <x:v>#NAME?</x:v>
      </x:c>
      <x:c r="F803" s="27" t="e">
        <x:f>IF($A803="","",IF(발령대장_설정!$B$5="","",발령대장_설정!$B$5))</x:f>
        <x:v>#NAME?</x:v>
      </x:c>
      <x:c r="G803" s="27" t="e">
        <x:f>IF($A803="","",IF(발령대장_설정!$B$6="","",발령대장_설정!$B$6))</x:f>
        <x:v>#NAME?</x:v>
      </x:c>
      <x:c r="H803" s="27" t="e">
        <x:f>IF($A803="","",IF(발령대장_설정!$B$7="","",발령대장_설정!$B$7))</x:f>
        <x:v>#NAME?</x:v>
      </x:c>
      <x:c r="I803" s="27" t="e">
        <x:f>IF($A803="","",IF(발령대장_설정!$B$8="","",발령대장_설정!$B$8))</x:f>
        <x:v>#NAME?</x:v>
      </x:c>
      <x:c r="J803" s="27" t="e">
        <x:f>IF($A803="","",IF(대장!K401="","",대장!K401))</x:f>
        <x:v>#NAME?</x:v>
      </x:c>
    </x:row>
    <x:row r="804" ht="42" customHeight="1">
      <x:c r="A804" s="47" t="e">
        <x:f>IF(AND(대장!A401&lt;&gt;"",ISNUMBER(대장!F401),ISNUMBER(대장!G401),대장!G401&gt;=대장!F401,대장!H401&lt;&gt;""),대장!G401,"")</x:f>
        <x:v>#NAME?</x:v>
      </x:c>
      <x:c r="B804" s="27" t="e">
        <x:f>IF($A804="","",IF(발령대장_설정!$B$4="","",발령대장_설정!$B$4))</x:f>
        <x:v>#NAME?</x:v>
      </x:c>
      <x:c r="C804" s="27" t="e">
        <x:f>IF($A804="","",대장!D401)</x:f>
        <x:v>#NAME?</x:v>
      </x:c>
      <x:c r="D804" s="27" t="e">
        <x:f>IF($A804="","",대장!A401)</x:f>
        <x:v>#NAME?</x:v>
      </x:c>
      <x:c r="E804" s="27" t="e">
        <x:f>IF($A804="","",IF(OR(ISNUMBER(SEARCH("계약만료",대장!H401&amp;"")),ISNUMBER(SEARCH("기간만료",대장!H401&amp;""))),"계약기간 만료로 퇴직",IF(ISNUMBER(SEARCH("의원면직",대장!H401&amp;"")),"의원면직",IF(ISNUMBER(SEARCH("정년퇴직",대장!H401&amp;"")),"정년퇴직",대장!H401))))</x:f>
        <x:v>#NAME?</x:v>
      </x:c>
      <x:c r="F804" s="27" t="e">
        <x:f>IF($A804="","",IF(발령대장_설정!$B$5="","",발령대장_설정!$B$5))</x:f>
        <x:v>#NAME?</x:v>
      </x:c>
      <x:c r="G804" s="27" t="e">
        <x:f>IF($A804="","",IF(발령대장_설정!$B$6="","",발령대장_설정!$B$6))</x:f>
        <x:v>#NAME?</x:v>
      </x:c>
      <x:c r="H804" s="27" t="e">
        <x:f>IF($A804="","",IF(발령대장_설정!$B$7="","",발령대장_설정!$B$7))</x:f>
        <x:v>#NAME?</x:v>
      </x:c>
      <x:c r="I804" s="27" t="e">
        <x:f>IF($A804="","",IF(발령대장_설정!$B$8="","",발령대장_설정!$B$8))</x:f>
        <x:v>#NAME?</x:v>
      </x:c>
      <x:c r="J804" s="27" t="str">
        <x:f>""</x:f>
      </x:c>
    </x:row>
    <x:row r="805" ht="42" customHeight="1">
      <x:c r="A805" s="47" t="e">
        <x:f>IF(AND(대장!A402&lt;&gt;"",ISNUMBER(대장!F402),OR(대장!G402="",AND(ISNUMBER(대장!G402),대장!G402&gt;=대장!F402))),대장!F402,"")</x:f>
        <x:v>#NAME?</x:v>
      </x:c>
      <x:c r="B805" s="27" t="e">
        <x:f>IF($A805="","",IF(발령대장_설정!$B$4="","",발령대장_설정!$B$4))</x:f>
        <x:v>#NAME?</x:v>
      </x:c>
      <x:c r="C805" s="27" t="e">
        <x:f>IF($A805="","",대장!D402)</x:f>
        <x:v>#NAME?</x:v>
      </x:c>
      <x:c r="D805" s="27" t="e">
        <x:f>IF($A805="","",대장!A402)</x:f>
        <x:v>#NAME?</x:v>
      </x:c>
      <x:c r="E805" s="27" t="e">
        <x:f>IF($A805="","",IF(대장!J402&lt;&gt;"",대장!J402,대장!D402&amp;"에 임함"&amp;IF(대장!E402="","",CHAR(10)&amp;"고용형태: "&amp;대장!E402)&amp;IF(대장!I402="","",CHAR(10)&amp;"소정근로시간: "&amp;대장!I402)&amp;CHAR(10)&amp;"근로기간: "&amp;YEAR(대장!F402)&amp;"."&amp;MONTH(대장!F402)&amp;"."&amp;DAY(대장!F402)&amp;"."&amp;" ~ "&amp;IF(ISNUMBER(대장!G402),YEAR(대장!G402)&amp;"."&amp;MONTH(대장!G402)&amp;"."&amp;DAY(대장!G402)&amp;".","재직 중")))</x:f>
        <x:v>#NAME?</x:v>
      </x:c>
      <x:c r="F805" s="27" t="e">
        <x:f>IF($A805="","",IF(발령대장_설정!$B$5="","",발령대장_설정!$B$5))</x:f>
        <x:v>#NAME?</x:v>
      </x:c>
      <x:c r="G805" s="27" t="e">
        <x:f>IF($A805="","",IF(발령대장_설정!$B$6="","",발령대장_설정!$B$6))</x:f>
        <x:v>#NAME?</x:v>
      </x:c>
      <x:c r="H805" s="27" t="e">
        <x:f>IF($A805="","",IF(발령대장_설정!$B$7="","",발령대장_설정!$B$7))</x:f>
        <x:v>#NAME?</x:v>
      </x:c>
      <x:c r="I805" s="27" t="e">
        <x:f>IF($A805="","",IF(발령대장_설정!$B$8="","",발령대장_설정!$B$8))</x:f>
        <x:v>#NAME?</x:v>
      </x:c>
      <x:c r="J805" s="27" t="e">
        <x:f>IF($A805="","",IF(대장!K402="","",대장!K402))</x:f>
        <x:v>#NAME?</x:v>
      </x:c>
    </x:row>
    <x:row r="806" ht="42" customHeight="1">
      <x:c r="A806" s="47" t="e">
        <x:f>IF(AND(대장!A402&lt;&gt;"",ISNUMBER(대장!F402),ISNUMBER(대장!G402),대장!G402&gt;=대장!F402,대장!H402&lt;&gt;""),대장!G402,"")</x:f>
        <x:v>#NAME?</x:v>
      </x:c>
      <x:c r="B806" s="27" t="e">
        <x:f>IF($A806="","",IF(발령대장_설정!$B$4="","",발령대장_설정!$B$4))</x:f>
        <x:v>#NAME?</x:v>
      </x:c>
      <x:c r="C806" s="27" t="e">
        <x:f>IF($A806="","",대장!D402)</x:f>
        <x:v>#NAME?</x:v>
      </x:c>
      <x:c r="D806" s="27" t="e">
        <x:f>IF($A806="","",대장!A402)</x:f>
        <x:v>#NAME?</x:v>
      </x:c>
      <x:c r="E806" s="27" t="e">
        <x:f>IF($A806="","",IF(OR(ISNUMBER(SEARCH("계약만료",대장!H402&amp;"")),ISNUMBER(SEARCH("기간만료",대장!H402&amp;""))),"계약기간 만료로 퇴직",IF(ISNUMBER(SEARCH("의원면직",대장!H402&amp;"")),"의원면직",IF(ISNUMBER(SEARCH("정년퇴직",대장!H402&amp;"")),"정년퇴직",대장!H402))))</x:f>
        <x:v>#NAME?</x:v>
      </x:c>
      <x:c r="F806" s="27" t="e">
        <x:f>IF($A806="","",IF(발령대장_설정!$B$5="","",발령대장_설정!$B$5))</x:f>
        <x:v>#NAME?</x:v>
      </x:c>
      <x:c r="G806" s="27" t="e">
        <x:f>IF($A806="","",IF(발령대장_설정!$B$6="","",발령대장_설정!$B$6))</x:f>
        <x:v>#NAME?</x:v>
      </x:c>
      <x:c r="H806" s="27" t="e">
        <x:f>IF($A806="","",IF(발령대장_설정!$B$7="","",발령대장_설정!$B$7))</x:f>
        <x:v>#NAME?</x:v>
      </x:c>
      <x:c r="I806" s="27" t="e">
        <x:f>IF($A806="","",IF(발령대장_설정!$B$8="","",발령대장_설정!$B$8))</x:f>
        <x:v>#NAME?</x:v>
      </x:c>
      <x:c r="J806" s="27" t="str">
        <x:f>""</x:f>
      </x:c>
    </x:row>
    <x:row r="807" ht="42" customHeight="1">
      <x:c r="A807" s="47" t="e">
        <x:f>IF(AND(대장!A403&lt;&gt;"",ISNUMBER(대장!F403),OR(대장!G403="",AND(ISNUMBER(대장!G403),대장!G403&gt;=대장!F403))),대장!F403,"")</x:f>
        <x:v>#NAME?</x:v>
      </x:c>
      <x:c r="B807" s="27" t="e">
        <x:f>IF($A807="","",IF(발령대장_설정!$B$4="","",발령대장_설정!$B$4))</x:f>
        <x:v>#NAME?</x:v>
      </x:c>
      <x:c r="C807" s="27" t="e">
        <x:f>IF($A807="","",대장!D403)</x:f>
        <x:v>#NAME?</x:v>
      </x:c>
      <x:c r="D807" s="27" t="e">
        <x:f>IF($A807="","",대장!A403)</x:f>
        <x:v>#NAME?</x:v>
      </x:c>
      <x:c r="E807" s="27" t="e">
        <x:f>IF($A807="","",IF(대장!J403&lt;&gt;"",대장!J403,대장!D403&amp;"에 임함"&amp;IF(대장!E403="","",CHAR(10)&amp;"고용형태: "&amp;대장!E403)&amp;IF(대장!I403="","",CHAR(10)&amp;"소정근로시간: "&amp;대장!I403)&amp;CHAR(10)&amp;"근로기간: "&amp;YEAR(대장!F403)&amp;"."&amp;MONTH(대장!F403)&amp;"."&amp;DAY(대장!F403)&amp;"."&amp;" ~ "&amp;IF(ISNUMBER(대장!G403),YEAR(대장!G403)&amp;"."&amp;MONTH(대장!G403)&amp;"."&amp;DAY(대장!G403)&amp;".","재직 중")))</x:f>
        <x:v>#NAME?</x:v>
      </x:c>
      <x:c r="F807" s="27" t="e">
        <x:f>IF($A807="","",IF(발령대장_설정!$B$5="","",발령대장_설정!$B$5))</x:f>
        <x:v>#NAME?</x:v>
      </x:c>
      <x:c r="G807" s="27" t="e">
        <x:f>IF($A807="","",IF(발령대장_설정!$B$6="","",발령대장_설정!$B$6))</x:f>
        <x:v>#NAME?</x:v>
      </x:c>
      <x:c r="H807" s="27" t="e">
        <x:f>IF($A807="","",IF(발령대장_설정!$B$7="","",발령대장_설정!$B$7))</x:f>
        <x:v>#NAME?</x:v>
      </x:c>
      <x:c r="I807" s="27" t="e">
        <x:f>IF($A807="","",IF(발령대장_설정!$B$8="","",발령대장_설정!$B$8))</x:f>
        <x:v>#NAME?</x:v>
      </x:c>
      <x:c r="J807" s="27" t="e">
        <x:f>IF($A807="","",IF(대장!K403="","",대장!K403))</x:f>
        <x:v>#NAME?</x:v>
      </x:c>
    </x:row>
    <x:row r="808" ht="42" customHeight="1">
      <x:c r="A808" s="47" t="e">
        <x:f>IF(AND(대장!A403&lt;&gt;"",ISNUMBER(대장!F403),ISNUMBER(대장!G403),대장!G403&gt;=대장!F403,대장!H403&lt;&gt;""),대장!G403,"")</x:f>
        <x:v>#NAME?</x:v>
      </x:c>
      <x:c r="B808" s="27" t="e">
        <x:f>IF($A808="","",IF(발령대장_설정!$B$4="","",발령대장_설정!$B$4))</x:f>
        <x:v>#NAME?</x:v>
      </x:c>
      <x:c r="C808" s="27" t="e">
        <x:f>IF($A808="","",대장!D403)</x:f>
        <x:v>#NAME?</x:v>
      </x:c>
      <x:c r="D808" s="27" t="e">
        <x:f>IF($A808="","",대장!A403)</x:f>
        <x:v>#NAME?</x:v>
      </x:c>
      <x:c r="E808" s="27" t="e">
        <x:f>IF($A808="","",IF(OR(ISNUMBER(SEARCH("계약만료",대장!H403&amp;"")),ISNUMBER(SEARCH("기간만료",대장!H403&amp;""))),"계약기간 만료로 퇴직",IF(ISNUMBER(SEARCH("의원면직",대장!H403&amp;"")),"의원면직",IF(ISNUMBER(SEARCH("정년퇴직",대장!H403&amp;"")),"정년퇴직",대장!H403))))</x:f>
        <x:v>#NAME?</x:v>
      </x:c>
      <x:c r="F808" s="27" t="e">
        <x:f>IF($A808="","",IF(발령대장_설정!$B$5="","",발령대장_설정!$B$5))</x:f>
        <x:v>#NAME?</x:v>
      </x:c>
      <x:c r="G808" s="27" t="e">
        <x:f>IF($A808="","",IF(발령대장_설정!$B$6="","",발령대장_설정!$B$6))</x:f>
        <x:v>#NAME?</x:v>
      </x:c>
      <x:c r="H808" s="27" t="e">
        <x:f>IF($A808="","",IF(발령대장_설정!$B$7="","",발령대장_설정!$B$7))</x:f>
        <x:v>#NAME?</x:v>
      </x:c>
      <x:c r="I808" s="27" t="e">
        <x:f>IF($A808="","",IF(발령대장_설정!$B$8="","",발령대장_설정!$B$8))</x:f>
        <x:v>#NAME?</x:v>
      </x:c>
      <x:c r="J808" s="27" t="str">
        <x:f>""</x:f>
      </x:c>
    </x:row>
    <x:row r="809" ht="42" customHeight="1">
      <x:c r="A809" s="47" t="e">
        <x:f>IF(AND(대장!A404&lt;&gt;"",ISNUMBER(대장!F404),OR(대장!G404="",AND(ISNUMBER(대장!G404),대장!G404&gt;=대장!F404))),대장!F404,"")</x:f>
        <x:v>#NAME?</x:v>
      </x:c>
      <x:c r="B809" s="27" t="e">
        <x:f>IF($A809="","",IF(발령대장_설정!$B$4="","",발령대장_설정!$B$4))</x:f>
        <x:v>#NAME?</x:v>
      </x:c>
      <x:c r="C809" s="27" t="e">
        <x:f>IF($A809="","",대장!D404)</x:f>
        <x:v>#NAME?</x:v>
      </x:c>
      <x:c r="D809" s="27" t="e">
        <x:f>IF($A809="","",대장!A404)</x:f>
        <x:v>#NAME?</x:v>
      </x:c>
      <x:c r="E809" s="27" t="e">
        <x:f>IF($A809="","",IF(대장!J404&lt;&gt;"",대장!J404,대장!D404&amp;"에 임함"&amp;IF(대장!E404="","",CHAR(10)&amp;"고용형태: "&amp;대장!E404)&amp;IF(대장!I404="","",CHAR(10)&amp;"소정근로시간: "&amp;대장!I404)&amp;CHAR(10)&amp;"근로기간: "&amp;YEAR(대장!F404)&amp;"."&amp;MONTH(대장!F404)&amp;"."&amp;DAY(대장!F404)&amp;"."&amp;" ~ "&amp;IF(ISNUMBER(대장!G404),YEAR(대장!G404)&amp;"."&amp;MONTH(대장!G404)&amp;"."&amp;DAY(대장!G404)&amp;".","재직 중")))</x:f>
        <x:v>#NAME?</x:v>
      </x:c>
      <x:c r="F809" s="27" t="e">
        <x:f>IF($A809="","",IF(발령대장_설정!$B$5="","",발령대장_설정!$B$5))</x:f>
        <x:v>#NAME?</x:v>
      </x:c>
      <x:c r="G809" s="27" t="e">
        <x:f>IF($A809="","",IF(발령대장_설정!$B$6="","",발령대장_설정!$B$6))</x:f>
        <x:v>#NAME?</x:v>
      </x:c>
      <x:c r="H809" s="27" t="e">
        <x:f>IF($A809="","",IF(발령대장_설정!$B$7="","",발령대장_설정!$B$7))</x:f>
        <x:v>#NAME?</x:v>
      </x:c>
      <x:c r="I809" s="27" t="e">
        <x:f>IF($A809="","",IF(발령대장_설정!$B$8="","",발령대장_설정!$B$8))</x:f>
        <x:v>#NAME?</x:v>
      </x:c>
      <x:c r="J809" s="27" t="e">
        <x:f>IF($A809="","",IF(대장!K404="","",대장!K404))</x:f>
        <x:v>#NAME?</x:v>
      </x:c>
    </x:row>
    <x:row r="810" ht="42" customHeight="1">
      <x:c r="A810" s="47" t="e">
        <x:f>IF(AND(대장!A404&lt;&gt;"",ISNUMBER(대장!F404),ISNUMBER(대장!G404),대장!G404&gt;=대장!F404,대장!H404&lt;&gt;""),대장!G404,"")</x:f>
        <x:v>#NAME?</x:v>
      </x:c>
      <x:c r="B810" s="27" t="e">
        <x:f>IF($A810="","",IF(발령대장_설정!$B$4="","",발령대장_설정!$B$4))</x:f>
        <x:v>#NAME?</x:v>
      </x:c>
      <x:c r="C810" s="27" t="e">
        <x:f>IF($A810="","",대장!D404)</x:f>
        <x:v>#NAME?</x:v>
      </x:c>
      <x:c r="D810" s="27" t="e">
        <x:f>IF($A810="","",대장!A404)</x:f>
        <x:v>#NAME?</x:v>
      </x:c>
      <x:c r="E810" s="27" t="e">
        <x:f>IF($A810="","",IF(OR(ISNUMBER(SEARCH("계약만료",대장!H404&amp;"")),ISNUMBER(SEARCH("기간만료",대장!H404&amp;""))),"계약기간 만료로 퇴직",IF(ISNUMBER(SEARCH("의원면직",대장!H404&amp;"")),"의원면직",IF(ISNUMBER(SEARCH("정년퇴직",대장!H404&amp;"")),"정년퇴직",대장!H404))))</x:f>
        <x:v>#NAME?</x:v>
      </x:c>
      <x:c r="F810" s="27" t="e">
        <x:f>IF($A810="","",IF(발령대장_설정!$B$5="","",발령대장_설정!$B$5))</x:f>
        <x:v>#NAME?</x:v>
      </x:c>
      <x:c r="G810" s="27" t="e">
        <x:f>IF($A810="","",IF(발령대장_설정!$B$6="","",발령대장_설정!$B$6))</x:f>
        <x:v>#NAME?</x:v>
      </x:c>
      <x:c r="H810" s="27" t="e">
        <x:f>IF($A810="","",IF(발령대장_설정!$B$7="","",발령대장_설정!$B$7))</x:f>
        <x:v>#NAME?</x:v>
      </x:c>
      <x:c r="I810" s="27" t="e">
        <x:f>IF($A810="","",IF(발령대장_설정!$B$8="","",발령대장_설정!$B$8))</x:f>
        <x:v>#NAME?</x:v>
      </x:c>
      <x:c r="J810" s="27" t="str">
        <x:f>""</x:f>
      </x:c>
    </x:row>
    <x:row r="811" ht="42" customHeight="1">
      <x:c r="A811" s="47" t="e">
        <x:f>IF(AND(대장!A405&lt;&gt;"",ISNUMBER(대장!F405),OR(대장!G405="",AND(ISNUMBER(대장!G405),대장!G405&gt;=대장!F405))),대장!F405,"")</x:f>
        <x:v>#NAME?</x:v>
      </x:c>
      <x:c r="B811" s="27" t="e">
        <x:f>IF($A811="","",IF(발령대장_설정!$B$4="","",발령대장_설정!$B$4))</x:f>
        <x:v>#NAME?</x:v>
      </x:c>
      <x:c r="C811" s="27" t="e">
        <x:f>IF($A811="","",대장!D405)</x:f>
        <x:v>#NAME?</x:v>
      </x:c>
      <x:c r="D811" s="27" t="e">
        <x:f>IF($A811="","",대장!A405)</x:f>
        <x:v>#NAME?</x:v>
      </x:c>
      <x:c r="E811" s="27" t="e">
        <x:f>IF($A811="","",IF(대장!J405&lt;&gt;"",대장!J405,대장!D405&amp;"에 임함"&amp;IF(대장!E405="","",CHAR(10)&amp;"고용형태: "&amp;대장!E405)&amp;IF(대장!I405="","",CHAR(10)&amp;"소정근로시간: "&amp;대장!I405)&amp;CHAR(10)&amp;"근로기간: "&amp;YEAR(대장!F405)&amp;"."&amp;MONTH(대장!F405)&amp;"."&amp;DAY(대장!F405)&amp;"."&amp;" ~ "&amp;IF(ISNUMBER(대장!G405),YEAR(대장!G405)&amp;"."&amp;MONTH(대장!G405)&amp;"."&amp;DAY(대장!G405)&amp;".","재직 중")))</x:f>
        <x:v>#NAME?</x:v>
      </x:c>
      <x:c r="F811" s="27" t="e">
        <x:f>IF($A811="","",IF(발령대장_설정!$B$5="","",발령대장_설정!$B$5))</x:f>
        <x:v>#NAME?</x:v>
      </x:c>
      <x:c r="G811" s="27" t="e">
        <x:f>IF($A811="","",IF(발령대장_설정!$B$6="","",발령대장_설정!$B$6))</x:f>
        <x:v>#NAME?</x:v>
      </x:c>
      <x:c r="H811" s="27" t="e">
        <x:f>IF($A811="","",IF(발령대장_설정!$B$7="","",발령대장_설정!$B$7))</x:f>
        <x:v>#NAME?</x:v>
      </x:c>
      <x:c r="I811" s="27" t="e">
        <x:f>IF($A811="","",IF(발령대장_설정!$B$8="","",발령대장_설정!$B$8))</x:f>
        <x:v>#NAME?</x:v>
      </x:c>
      <x:c r="J811" s="27" t="e">
        <x:f>IF($A811="","",IF(대장!K405="","",대장!K405))</x:f>
        <x:v>#NAME?</x:v>
      </x:c>
    </x:row>
    <x:row r="812" ht="42" customHeight="1">
      <x:c r="A812" s="47" t="e">
        <x:f>IF(AND(대장!A405&lt;&gt;"",ISNUMBER(대장!F405),ISNUMBER(대장!G405),대장!G405&gt;=대장!F405,대장!H405&lt;&gt;""),대장!G405,"")</x:f>
        <x:v>#NAME?</x:v>
      </x:c>
      <x:c r="B812" s="27" t="e">
        <x:f>IF($A812="","",IF(발령대장_설정!$B$4="","",발령대장_설정!$B$4))</x:f>
        <x:v>#NAME?</x:v>
      </x:c>
      <x:c r="C812" s="27" t="e">
        <x:f>IF($A812="","",대장!D405)</x:f>
        <x:v>#NAME?</x:v>
      </x:c>
      <x:c r="D812" s="27" t="e">
        <x:f>IF($A812="","",대장!A405)</x:f>
        <x:v>#NAME?</x:v>
      </x:c>
      <x:c r="E812" s="27" t="e">
        <x:f>IF($A812="","",IF(OR(ISNUMBER(SEARCH("계약만료",대장!H405&amp;"")),ISNUMBER(SEARCH("기간만료",대장!H405&amp;""))),"계약기간 만료로 퇴직",IF(ISNUMBER(SEARCH("의원면직",대장!H405&amp;"")),"의원면직",IF(ISNUMBER(SEARCH("정년퇴직",대장!H405&amp;"")),"정년퇴직",대장!H405))))</x:f>
        <x:v>#NAME?</x:v>
      </x:c>
      <x:c r="F812" s="27" t="e">
        <x:f>IF($A812="","",IF(발령대장_설정!$B$5="","",발령대장_설정!$B$5))</x:f>
        <x:v>#NAME?</x:v>
      </x:c>
      <x:c r="G812" s="27" t="e">
        <x:f>IF($A812="","",IF(발령대장_설정!$B$6="","",발령대장_설정!$B$6))</x:f>
        <x:v>#NAME?</x:v>
      </x:c>
      <x:c r="H812" s="27" t="e">
        <x:f>IF($A812="","",IF(발령대장_설정!$B$7="","",발령대장_설정!$B$7))</x:f>
        <x:v>#NAME?</x:v>
      </x:c>
      <x:c r="I812" s="27" t="e">
        <x:f>IF($A812="","",IF(발령대장_설정!$B$8="","",발령대장_설정!$B$8))</x:f>
        <x:v>#NAME?</x:v>
      </x:c>
      <x:c r="J812" s="27" t="str">
        <x:f>""</x:f>
      </x:c>
    </x:row>
    <x:row r="813" ht="42" customHeight="1">
      <x:c r="A813" s="47" t="e">
        <x:f>IF(AND(대장!A406&lt;&gt;"",ISNUMBER(대장!F406),OR(대장!G406="",AND(ISNUMBER(대장!G406),대장!G406&gt;=대장!F406))),대장!F406,"")</x:f>
        <x:v>#NAME?</x:v>
      </x:c>
      <x:c r="B813" s="27" t="e">
        <x:f>IF($A813="","",IF(발령대장_설정!$B$4="","",발령대장_설정!$B$4))</x:f>
        <x:v>#NAME?</x:v>
      </x:c>
      <x:c r="C813" s="27" t="e">
        <x:f>IF($A813="","",대장!D406)</x:f>
        <x:v>#NAME?</x:v>
      </x:c>
      <x:c r="D813" s="27" t="e">
        <x:f>IF($A813="","",대장!A406)</x:f>
        <x:v>#NAME?</x:v>
      </x:c>
      <x:c r="E813" s="27" t="e">
        <x:f>IF($A813="","",IF(대장!J406&lt;&gt;"",대장!J406,대장!D406&amp;"에 임함"&amp;IF(대장!E406="","",CHAR(10)&amp;"고용형태: "&amp;대장!E406)&amp;IF(대장!I406="","",CHAR(10)&amp;"소정근로시간: "&amp;대장!I406)&amp;CHAR(10)&amp;"근로기간: "&amp;YEAR(대장!F406)&amp;"."&amp;MONTH(대장!F406)&amp;"."&amp;DAY(대장!F406)&amp;"."&amp;" ~ "&amp;IF(ISNUMBER(대장!G406),YEAR(대장!G406)&amp;"."&amp;MONTH(대장!G406)&amp;"."&amp;DAY(대장!G406)&amp;".","재직 중")))</x:f>
        <x:v>#NAME?</x:v>
      </x:c>
      <x:c r="F813" s="27" t="e">
        <x:f>IF($A813="","",IF(발령대장_설정!$B$5="","",발령대장_설정!$B$5))</x:f>
        <x:v>#NAME?</x:v>
      </x:c>
      <x:c r="G813" s="27" t="e">
        <x:f>IF($A813="","",IF(발령대장_설정!$B$6="","",발령대장_설정!$B$6))</x:f>
        <x:v>#NAME?</x:v>
      </x:c>
      <x:c r="H813" s="27" t="e">
        <x:f>IF($A813="","",IF(발령대장_설정!$B$7="","",발령대장_설정!$B$7))</x:f>
        <x:v>#NAME?</x:v>
      </x:c>
      <x:c r="I813" s="27" t="e">
        <x:f>IF($A813="","",IF(발령대장_설정!$B$8="","",발령대장_설정!$B$8))</x:f>
        <x:v>#NAME?</x:v>
      </x:c>
      <x:c r="J813" s="27" t="e">
        <x:f>IF($A813="","",IF(대장!K406="","",대장!K406))</x:f>
        <x:v>#NAME?</x:v>
      </x:c>
    </x:row>
    <x:row r="814" ht="42" customHeight="1">
      <x:c r="A814" s="47" t="e">
        <x:f>IF(AND(대장!A406&lt;&gt;"",ISNUMBER(대장!F406),ISNUMBER(대장!G406),대장!G406&gt;=대장!F406,대장!H406&lt;&gt;""),대장!G406,"")</x:f>
        <x:v>#NAME?</x:v>
      </x:c>
      <x:c r="B814" s="27" t="e">
        <x:f>IF($A814="","",IF(발령대장_설정!$B$4="","",발령대장_설정!$B$4))</x:f>
        <x:v>#NAME?</x:v>
      </x:c>
      <x:c r="C814" s="27" t="e">
        <x:f>IF($A814="","",대장!D406)</x:f>
        <x:v>#NAME?</x:v>
      </x:c>
      <x:c r="D814" s="27" t="e">
        <x:f>IF($A814="","",대장!A406)</x:f>
        <x:v>#NAME?</x:v>
      </x:c>
      <x:c r="E814" s="27" t="e">
        <x:f>IF($A814="","",IF(OR(ISNUMBER(SEARCH("계약만료",대장!H406&amp;"")),ISNUMBER(SEARCH("기간만료",대장!H406&amp;""))),"계약기간 만료로 퇴직",IF(ISNUMBER(SEARCH("의원면직",대장!H406&amp;"")),"의원면직",IF(ISNUMBER(SEARCH("정년퇴직",대장!H406&amp;"")),"정년퇴직",대장!H406))))</x:f>
        <x:v>#NAME?</x:v>
      </x:c>
      <x:c r="F814" s="27" t="e">
        <x:f>IF($A814="","",IF(발령대장_설정!$B$5="","",발령대장_설정!$B$5))</x:f>
        <x:v>#NAME?</x:v>
      </x:c>
      <x:c r="G814" s="27" t="e">
        <x:f>IF($A814="","",IF(발령대장_설정!$B$6="","",발령대장_설정!$B$6))</x:f>
        <x:v>#NAME?</x:v>
      </x:c>
      <x:c r="H814" s="27" t="e">
        <x:f>IF($A814="","",IF(발령대장_설정!$B$7="","",발령대장_설정!$B$7))</x:f>
        <x:v>#NAME?</x:v>
      </x:c>
      <x:c r="I814" s="27" t="e">
        <x:f>IF($A814="","",IF(발령대장_설정!$B$8="","",발령대장_설정!$B$8))</x:f>
        <x:v>#NAME?</x:v>
      </x:c>
      <x:c r="J814" s="27" t="str">
        <x:f>""</x:f>
      </x:c>
    </x:row>
    <x:row r="815" ht="42" customHeight="1">
      <x:c r="A815" s="47" t="e">
        <x:f>IF(AND(대장!A407&lt;&gt;"",ISNUMBER(대장!F407),OR(대장!G407="",AND(ISNUMBER(대장!G407),대장!G407&gt;=대장!F407))),대장!F407,"")</x:f>
        <x:v>#NAME?</x:v>
      </x:c>
      <x:c r="B815" s="27" t="e">
        <x:f>IF($A815="","",IF(발령대장_설정!$B$4="","",발령대장_설정!$B$4))</x:f>
        <x:v>#NAME?</x:v>
      </x:c>
      <x:c r="C815" s="27" t="e">
        <x:f>IF($A815="","",대장!D407)</x:f>
        <x:v>#NAME?</x:v>
      </x:c>
      <x:c r="D815" s="27" t="e">
        <x:f>IF($A815="","",대장!A407)</x:f>
        <x:v>#NAME?</x:v>
      </x:c>
      <x:c r="E815" s="27" t="e">
        <x:f>IF($A815="","",IF(대장!J407&lt;&gt;"",대장!J407,대장!D407&amp;"에 임함"&amp;IF(대장!E407="","",CHAR(10)&amp;"고용형태: "&amp;대장!E407)&amp;IF(대장!I407="","",CHAR(10)&amp;"소정근로시간: "&amp;대장!I407)&amp;CHAR(10)&amp;"근로기간: "&amp;YEAR(대장!F407)&amp;"."&amp;MONTH(대장!F407)&amp;"."&amp;DAY(대장!F407)&amp;"."&amp;" ~ "&amp;IF(ISNUMBER(대장!G407),YEAR(대장!G407)&amp;"."&amp;MONTH(대장!G407)&amp;"."&amp;DAY(대장!G407)&amp;".","재직 중")))</x:f>
        <x:v>#NAME?</x:v>
      </x:c>
      <x:c r="F815" s="27" t="e">
        <x:f>IF($A815="","",IF(발령대장_설정!$B$5="","",발령대장_설정!$B$5))</x:f>
        <x:v>#NAME?</x:v>
      </x:c>
      <x:c r="G815" s="27" t="e">
        <x:f>IF($A815="","",IF(발령대장_설정!$B$6="","",발령대장_설정!$B$6))</x:f>
        <x:v>#NAME?</x:v>
      </x:c>
      <x:c r="H815" s="27" t="e">
        <x:f>IF($A815="","",IF(발령대장_설정!$B$7="","",발령대장_설정!$B$7))</x:f>
        <x:v>#NAME?</x:v>
      </x:c>
      <x:c r="I815" s="27" t="e">
        <x:f>IF($A815="","",IF(발령대장_설정!$B$8="","",발령대장_설정!$B$8))</x:f>
        <x:v>#NAME?</x:v>
      </x:c>
      <x:c r="J815" s="27" t="e">
        <x:f>IF($A815="","",IF(대장!K407="","",대장!K407))</x:f>
        <x:v>#NAME?</x:v>
      </x:c>
    </x:row>
    <x:row r="816" ht="42" customHeight="1">
      <x:c r="A816" s="47" t="e">
        <x:f>IF(AND(대장!A407&lt;&gt;"",ISNUMBER(대장!F407),ISNUMBER(대장!G407),대장!G407&gt;=대장!F407,대장!H407&lt;&gt;""),대장!G407,"")</x:f>
        <x:v>#NAME?</x:v>
      </x:c>
      <x:c r="B816" s="27" t="e">
        <x:f>IF($A816="","",IF(발령대장_설정!$B$4="","",발령대장_설정!$B$4))</x:f>
        <x:v>#NAME?</x:v>
      </x:c>
      <x:c r="C816" s="27" t="e">
        <x:f>IF($A816="","",대장!D407)</x:f>
        <x:v>#NAME?</x:v>
      </x:c>
      <x:c r="D816" s="27" t="e">
        <x:f>IF($A816="","",대장!A407)</x:f>
        <x:v>#NAME?</x:v>
      </x:c>
      <x:c r="E816" s="27" t="e">
        <x:f>IF($A816="","",IF(OR(ISNUMBER(SEARCH("계약만료",대장!H407&amp;"")),ISNUMBER(SEARCH("기간만료",대장!H407&amp;""))),"계약기간 만료로 퇴직",IF(ISNUMBER(SEARCH("의원면직",대장!H407&amp;"")),"의원면직",IF(ISNUMBER(SEARCH("정년퇴직",대장!H407&amp;"")),"정년퇴직",대장!H407))))</x:f>
        <x:v>#NAME?</x:v>
      </x:c>
      <x:c r="F816" s="27" t="e">
        <x:f>IF($A816="","",IF(발령대장_설정!$B$5="","",발령대장_설정!$B$5))</x:f>
        <x:v>#NAME?</x:v>
      </x:c>
      <x:c r="G816" s="27" t="e">
        <x:f>IF($A816="","",IF(발령대장_설정!$B$6="","",발령대장_설정!$B$6))</x:f>
        <x:v>#NAME?</x:v>
      </x:c>
      <x:c r="H816" s="27" t="e">
        <x:f>IF($A816="","",IF(발령대장_설정!$B$7="","",발령대장_설정!$B$7))</x:f>
        <x:v>#NAME?</x:v>
      </x:c>
      <x:c r="I816" s="27" t="e">
        <x:f>IF($A816="","",IF(발령대장_설정!$B$8="","",발령대장_설정!$B$8))</x:f>
        <x:v>#NAME?</x:v>
      </x:c>
      <x:c r="J816" s="27" t="str">
        <x:f>""</x:f>
      </x:c>
    </x:row>
    <x:row r="817" ht="42" customHeight="1">
      <x:c r="A817" s="47" t="e">
        <x:f>IF(AND(대장!A408&lt;&gt;"",ISNUMBER(대장!F408),OR(대장!G408="",AND(ISNUMBER(대장!G408),대장!G408&gt;=대장!F408))),대장!F408,"")</x:f>
        <x:v>#NAME?</x:v>
      </x:c>
      <x:c r="B817" s="27" t="e">
        <x:f>IF($A817="","",IF(발령대장_설정!$B$4="","",발령대장_설정!$B$4))</x:f>
        <x:v>#NAME?</x:v>
      </x:c>
      <x:c r="C817" s="27" t="e">
        <x:f>IF($A817="","",대장!D408)</x:f>
        <x:v>#NAME?</x:v>
      </x:c>
      <x:c r="D817" s="27" t="e">
        <x:f>IF($A817="","",대장!A408)</x:f>
        <x:v>#NAME?</x:v>
      </x:c>
      <x:c r="E817" s="27" t="e">
        <x:f>IF($A817="","",IF(대장!J408&lt;&gt;"",대장!J408,대장!D408&amp;"에 임함"&amp;IF(대장!E408="","",CHAR(10)&amp;"고용형태: "&amp;대장!E408)&amp;IF(대장!I408="","",CHAR(10)&amp;"소정근로시간: "&amp;대장!I408)&amp;CHAR(10)&amp;"근로기간: "&amp;YEAR(대장!F408)&amp;"."&amp;MONTH(대장!F408)&amp;"."&amp;DAY(대장!F408)&amp;"."&amp;" ~ "&amp;IF(ISNUMBER(대장!G408),YEAR(대장!G408)&amp;"."&amp;MONTH(대장!G408)&amp;"."&amp;DAY(대장!G408)&amp;".","재직 중")))</x:f>
        <x:v>#NAME?</x:v>
      </x:c>
      <x:c r="F817" s="27" t="e">
        <x:f>IF($A817="","",IF(발령대장_설정!$B$5="","",발령대장_설정!$B$5))</x:f>
        <x:v>#NAME?</x:v>
      </x:c>
      <x:c r="G817" s="27" t="e">
        <x:f>IF($A817="","",IF(발령대장_설정!$B$6="","",발령대장_설정!$B$6))</x:f>
        <x:v>#NAME?</x:v>
      </x:c>
      <x:c r="H817" s="27" t="e">
        <x:f>IF($A817="","",IF(발령대장_설정!$B$7="","",발령대장_설정!$B$7))</x:f>
        <x:v>#NAME?</x:v>
      </x:c>
      <x:c r="I817" s="27" t="e">
        <x:f>IF($A817="","",IF(발령대장_설정!$B$8="","",발령대장_설정!$B$8))</x:f>
        <x:v>#NAME?</x:v>
      </x:c>
      <x:c r="J817" s="27" t="e">
        <x:f>IF($A817="","",IF(대장!K408="","",대장!K408))</x:f>
        <x:v>#NAME?</x:v>
      </x:c>
    </x:row>
    <x:row r="818" ht="42" customHeight="1">
      <x:c r="A818" s="47" t="e">
        <x:f>IF(AND(대장!A408&lt;&gt;"",ISNUMBER(대장!F408),ISNUMBER(대장!G408),대장!G408&gt;=대장!F408,대장!H408&lt;&gt;""),대장!G408,"")</x:f>
        <x:v>#NAME?</x:v>
      </x:c>
      <x:c r="B818" s="27" t="e">
        <x:f>IF($A818="","",IF(발령대장_설정!$B$4="","",발령대장_설정!$B$4))</x:f>
        <x:v>#NAME?</x:v>
      </x:c>
      <x:c r="C818" s="27" t="e">
        <x:f>IF($A818="","",대장!D408)</x:f>
        <x:v>#NAME?</x:v>
      </x:c>
      <x:c r="D818" s="27" t="e">
        <x:f>IF($A818="","",대장!A408)</x:f>
        <x:v>#NAME?</x:v>
      </x:c>
      <x:c r="E818" s="27" t="e">
        <x:f>IF($A818="","",IF(OR(ISNUMBER(SEARCH("계약만료",대장!H408&amp;"")),ISNUMBER(SEARCH("기간만료",대장!H408&amp;""))),"계약기간 만료로 퇴직",IF(ISNUMBER(SEARCH("의원면직",대장!H408&amp;"")),"의원면직",IF(ISNUMBER(SEARCH("정년퇴직",대장!H408&amp;"")),"정년퇴직",대장!H408))))</x:f>
        <x:v>#NAME?</x:v>
      </x:c>
      <x:c r="F818" s="27" t="e">
        <x:f>IF($A818="","",IF(발령대장_설정!$B$5="","",발령대장_설정!$B$5))</x:f>
        <x:v>#NAME?</x:v>
      </x:c>
      <x:c r="G818" s="27" t="e">
        <x:f>IF($A818="","",IF(발령대장_설정!$B$6="","",발령대장_설정!$B$6))</x:f>
        <x:v>#NAME?</x:v>
      </x:c>
      <x:c r="H818" s="27" t="e">
        <x:f>IF($A818="","",IF(발령대장_설정!$B$7="","",발령대장_설정!$B$7))</x:f>
        <x:v>#NAME?</x:v>
      </x:c>
      <x:c r="I818" s="27" t="e">
        <x:f>IF($A818="","",IF(발령대장_설정!$B$8="","",발령대장_설정!$B$8))</x:f>
        <x:v>#NAME?</x:v>
      </x:c>
      <x:c r="J818" s="27" t="str">
        <x:f>""</x:f>
      </x:c>
    </x:row>
    <x:row r="819" ht="42" customHeight="1">
      <x:c r="A819" s="47" t="e">
        <x:f>IF(AND(대장!A409&lt;&gt;"",ISNUMBER(대장!F409),OR(대장!G409="",AND(ISNUMBER(대장!G409),대장!G409&gt;=대장!F409))),대장!F409,"")</x:f>
        <x:v>#NAME?</x:v>
      </x:c>
      <x:c r="B819" s="27" t="e">
        <x:f>IF($A819="","",IF(발령대장_설정!$B$4="","",발령대장_설정!$B$4))</x:f>
        <x:v>#NAME?</x:v>
      </x:c>
      <x:c r="C819" s="27" t="e">
        <x:f>IF($A819="","",대장!D409)</x:f>
        <x:v>#NAME?</x:v>
      </x:c>
      <x:c r="D819" s="27" t="e">
        <x:f>IF($A819="","",대장!A409)</x:f>
        <x:v>#NAME?</x:v>
      </x:c>
      <x:c r="E819" s="27" t="e">
        <x:f>IF($A819="","",IF(대장!J409&lt;&gt;"",대장!J409,대장!D409&amp;"에 임함"&amp;IF(대장!E409="","",CHAR(10)&amp;"고용형태: "&amp;대장!E409)&amp;IF(대장!I409="","",CHAR(10)&amp;"소정근로시간: "&amp;대장!I409)&amp;CHAR(10)&amp;"근로기간: "&amp;YEAR(대장!F409)&amp;"."&amp;MONTH(대장!F409)&amp;"."&amp;DAY(대장!F409)&amp;"."&amp;" ~ "&amp;IF(ISNUMBER(대장!G409),YEAR(대장!G409)&amp;"."&amp;MONTH(대장!G409)&amp;"."&amp;DAY(대장!G409)&amp;".","재직 중")))</x:f>
        <x:v>#NAME?</x:v>
      </x:c>
      <x:c r="F819" s="27" t="e">
        <x:f>IF($A819="","",IF(발령대장_설정!$B$5="","",발령대장_설정!$B$5))</x:f>
        <x:v>#NAME?</x:v>
      </x:c>
      <x:c r="G819" s="27" t="e">
        <x:f>IF($A819="","",IF(발령대장_설정!$B$6="","",발령대장_설정!$B$6))</x:f>
        <x:v>#NAME?</x:v>
      </x:c>
      <x:c r="H819" s="27" t="e">
        <x:f>IF($A819="","",IF(발령대장_설정!$B$7="","",발령대장_설정!$B$7))</x:f>
        <x:v>#NAME?</x:v>
      </x:c>
      <x:c r="I819" s="27" t="e">
        <x:f>IF($A819="","",IF(발령대장_설정!$B$8="","",발령대장_설정!$B$8))</x:f>
        <x:v>#NAME?</x:v>
      </x:c>
      <x:c r="J819" s="27" t="e">
        <x:f>IF($A819="","",IF(대장!K409="","",대장!K409))</x:f>
        <x:v>#NAME?</x:v>
      </x:c>
    </x:row>
    <x:row r="820" ht="42" customHeight="1">
      <x:c r="A820" s="47" t="e">
        <x:f>IF(AND(대장!A409&lt;&gt;"",ISNUMBER(대장!F409),ISNUMBER(대장!G409),대장!G409&gt;=대장!F409,대장!H409&lt;&gt;""),대장!G409,"")</x:f>
        <x:v>#NAME?</x:v>
      </x:c>
      <x:c r="B820" s="27" t="e">
        <x:f>IF($A820="","",IF(발령대장_설정!$B$4="","",발령대장_설정!$B$4))</x:f>
        <x:v>#NAME?</x:v>
      </x:c>
      <x:c r="C820" s="27" t="e">
        <x:f>IF($A820="","",대장!D409)</x:f>
        <x:v>#NAME?</x:v>
      </x:c>
      <x:c r="D820" s="27" t="e">
        <x:f>IF($A820="","",대장!A409)</x:f>
        <x:v>#NAME?</x:v>
      </x:c>
      <x:c r="E820" s="27" t="e">
        <x:f>IF($A820="","",IF(OR(ISNUMBER(SEARCH("계약만료",대장!H409&amp;"")),ISNUMBER(SEARCH("기간만료",대장!H409&amp;""))),"계약기간 만료로 퇴직",IF(ISNUMBER(SEARCH("의원면직",대장!H409&amp;"")),"의원면직",IF(ISNUMBER(SEARCH("정년퇴직",대장!H409&amp;"")),"정년퇴직",대장!H409))))</x:f>
        <x:v>#NAME?</x:v>
      </x:c>
      <x:c r="F820" s="27" t="e">
        <x:f>IF($A820="","",IF(발령대장_설정!$B$5="","",발령대장_설정!$B$5))</x:f>
        <x:v>#NAME?</x:v>
      </x:c>
      <x:c r="G820" s="27" t="e">
        <x:f>IF($A820="","",IF(발령대장_설정!$B$6="","",발령대장_설정!$B$6))</x:f>
        <x:v>#NAME?</x:v>
      </x:c>
      <x:c r="H820" s="27" t="e">
        <x:f>IF($A820="","",IF(발령대장_설정!$B$7="","",발령대장_설정!$B$7))</x:f>
        <x:v>#NAME?</x:v>
      </x:c>
      <x:c r="I820" s="27" t="e">
        <x:f>IF($A820="","",IF(발령대장_설정!$B$8="","",발령대장_설정!$B$8))</x:f>
        <x:v>#NAME?</x:v>
      </x:c>
      <x:c r="J820" s="27" t="str">
        <x:f>""</x:f>
      </x:c>
    </x:row>
    <x:row r="821" ht="42" customHeight="1">
      <x:c r="A821" s="47" t="e">
        <x:f>IF(AND(대장!A410&lt;&gt;"",ISNUMBER(대장!F410),OR(대장!G410="",AND(ISNUMBER(대장!G410),대장!G410&gt;=대장!F410))),대장!F410,"")</x:f>
        <x:v>#NAME?</x:v>
      </x:c>
      <x:c r="B821" s="27" t="e">
        <x:f>IF($A821="","",IF(발령대장_설정!$B$4="","",발령대장_설정!$B$4))</x:f>
        <x:v>#NAME?</x:v>
      </x:c>
      <x:c r="C821" s="27" t="e">
        <x:f>IF($A821="","",대장!D410)</x:f>
        <x:v>#NAME?</x:v>
      </x:c>
      <x:c r="D821" s="27" t="e">
        <x:f>IF($A821="","",대장!A410)</x:f>
        <x:v>#NAME?</x:v>
      </x:c>
      <x:c r="E821" s="27" t="e">
        <x:f>IF($A821="","",IF(대장!J410&lt;&gt;"",대장!J410,대장!D410&amp;"에 임함"&amp;IF(대장!E410="","",CHAR(10)&amp;"고용형태: "&amp;대장!E410)&amp;IF(대장!I410="","",CHAR(10)&amp;"소정근로시간: "&amp;대장!I410)&amp;CHAR(10)&amp;"근로기간: "&amp;YEAR(대장!F410)&amp;"."&amp;MONTH(대장!F410)&amp;"."&amp;DAY(대장!F410)&amp;"."&amp;" ~ "&amp;IF(ISNUMBER(대장!G410),YEAR(대장!G410)&amp;"."&amp;MONTH(대장!G410)&amp;"."&amp;DAY(대장!G410)&amp;".","재직 중")))</x:f>
        <x:v>#NAME?</x:v>
      </x:c>
      <x:c r="F821" s="27" t="e">
        <x:f>IF($A821="","",IF(발령대장_설정!$B$5="","",발령대장_설정!$B$5))</x:f>
        <x:v>#NAME?</x:v>
      </x:c>
      <x:c r="G821" s="27" t="e">
        <x:f>IF($A821="","",IF(발령대장_설정!$B$6="","",발령대장_설정!$B$6))</x:f>
        <x:v>#NAME?</x:v>
      </x:c>
      <x:c r="H821" s="27" t="e">
        <x:f>IF($A821="","",IF(발령대장_설정!$B$7="","",발령대장_설정!$B$7))</x:f>
        <x:v>#NAME?</x:v>
      </x:c>
      <x:c r="I821" s="27" t="e">
        <x:f>IF($A821="","",IF(발령대장_설정!$B$8="","",발령대장_설정!$B$8))</x:f>
        <x:v>#NAME?</x:v>
      </x:c>
      <x:c r="J821" s="27" t="e">
        <x:f>IF($A821="","",IF(대장!K410="","",대장!K410))</x:f>
        <x:v>#NAME?</x:v>
      </x:c>
    </x:row>
    <x:row r="822" ht="42" customHeight="1">
      <x:c r="A822" s="47" t="e">
        <x:f>IF(AND(대장!A410&lt;&gt;"",ISNUMBER(대장!F410),ISNUMBER(대장!G410),대장!G410&gt;=대장!F410,대장!H410&lt;&gt;""),대장!G410,"")</x:f>
        <x:v>#NAME?</x:v>
      </x:c>
      <x:c r="B822" s="27" t="e">
        <x:f>IF($A822="","",IF(발령대장_설정!$B$4="","",발령대장_설정!$B$4))</x:f>
        <x:v>#NAME?</x:v>
      </x:c>
      <x:c r="C822" s="27" t="e">
        <x:f>IF($A822="","",대장!D410)</x:f>
        <x:v>#NAME?</x:v>
      </x:c>
      <x:c r="D822" s="27" t="e">
        <x:f>IF($A822="","",대장!A410)</x:f>
        <x:v>#NAME?</x:v>
      </x:c>
      <x:c r="E822" s="27" t="e">
        <x:f>IF($A822="","",IF(OR(ISNUMBER(SEARCH("계약만료",대장!H410&amp;"")),ISNUMBER(SEARCH("기간만료",대장!H410&amp;""))),"계약기간 만료로 퇴직",IF(ISNUMBER(SEARCH("의원면직",대장!H410&amp;"")),"의원면직",IF(ISNUMBER(SEARCH("정년퇴직",대장!H410&amp;"")),"정년퇴직",대장!H410))))</x:f>
        <x:v>#NAME?</x:v>
      </x:c>
      <x:c r="F822" s="27" t="e">
        <x:f>IF($A822="","",IF(발령대장_설정!$B$5="","",발령대장_설정!$B$5))</x:f>
        <x:v>#NAME?</x:v>
      </x:c>
      <x:c r="G822" s="27" t="e">
        <x:f>IF($A822="","",IF(발령대장_설정!$B$6="","",발령대장_설정!$B$6))</x:f>
        <x:v>#NAME?</x:v>
      </x:c>
      <x:c r="H822" s="27" t="e">
        <x:f>IF($A822="","",IF(발령대장_설정!$B$7="","",발령대장_설정!$B$7))</x:f>
        <x:v>#NAME?</x:v>
      </x:c>
      <x:c r="I822" s="27" t="e">
        <x:f>IF($A822="","",IF(발령대장_설정!$B$8="","",발령대장_설정!$B$8))</x:f>
        <x:v>#NAME?</x:v>
      </x:c>
      <x:c r="J822" s="27" t="str">
        <x:f>""</x:f>
      </x:c>
    </x:row>
    <x:row r="823" ht="42" customHeight="1">
      <x:c r="A823" s="47" t="e">
        <x:f>IF(AND(대장!A411&lt;&gt;"",ISNUMBER(대장!F411),OR(대장!G411="",AND(ISNUMBER(대장!G411),대장!G411&gt;=대장!F411))),대장!F411,"")</x:f>
        <x:v>#NAME?</x:v>
      </x:c>
      <x:c r="B823" s="27" t="e">
        <x:f>IF($A823="","",IF(발령대장_설정!$B$4="","",발령대장_설정!$B$4))</x:f>
        <x:v>#NAME?</x:v>
      </x:c>
      <x:c r="C823" s="27" t="e">
        <x:f>IF($A823="","",대장!D411)</x:f>
        <x:v>#NAME?</x:v>
      </x:c>
      <x:c r="D823" s="27" t="e">
        <x:f>IF($A823="","",대장!A411)</x:f>
        <x:v>#NAME?</x:v>
      </x:c>
      <x:c r="E823" s="27" t="e">
        <x:f>IF($A823="","",IF(대장!J411&lt;&gt;"",대장!J411,대장!D411&amp;"에 임함"&amp;IF(대장!E411="","",CHAR(10)&amp;"고용형태: "&amp;대장!E411)&amp;IF(대장!I411="","",CHAR(10)&amp;"소정근로시간: "&amp;대장!I411)&amp;CHAR(10)&amp;"근로기간: "&amp;YEAR(대장!F411)&amp;"."&amp;MONTH(대장!F411)&amp;"."&amp;DAY(대장!F411)&amp;"."&amp;" ~ "&amp;IF(ISNUMBER(대장!G411),YEAR(대장!G411)&amp;"."&amp;MONTH(대장!G411)&amp;"."&amp;DAY(대장!G411)&amp;".","재직 중")))</x:f>
        <x:v>#NAME?</x:v>
      </x:c>
      <x:c r="F823" s="27" t="e">
        <x:f>IF($A823="","",IF(발령대장_설정!$B$5="","",발령대장_설정!$B$5))</x:f>
        <x:v>#NAME?</x:v>
      </x:c>
      <x:c r="G823" s="27" t="e">
        <x:f>IF($A823="","",IF(발령대장_설정!$B$6="","",발령대장_설정!$B$6))</x:f>
        <x:v>#NAME?</x:v>
      </x:c>
      <x:c r="H823" s="27" t="e">
        <x:f>IF($A823="","",IF(발령대장_설정!$B$7="","",발령대장_설정!$B$7))</x:f>
        <x:v>#NAME?</x:v>
      </x:c>
      <x:c r="I823" s="27" t="e">
        <x:f>IF($A823="","",IF(발령대장_설정!$B$8="","",발령대장_설정!$B$8))</x:f>
        <x:v>#NAME?</x:v>
      </x:c>
      <x:c r="J823" s="27" t="e">
        <x:f>IF($A823="","",IF(대장!K411="","",대장!K411))</x:f>
        <x:v>#NAME?</x:v>
      </x:c>
    </x:row>
    <x:row r="824" ht="42" customHeight="1">
      <x:c r="A824" s="47" t="e">
        <x:f>IF(AND(대장!A411&lt;&gt;"",ISNUMBER(대장!F411),ISNUMBER(대장!G411),대장!G411&gt;=대장!F411,대장!H411&lt;&gt;""),대장!G411,"")</x:f>
        <x:v>#NAME?</x:v>
      </x:c>
      <x:c r="B824" s="27" t="e">
        <x:f>IF($A824="","",IF(발령대장_설정!$B$4="","",발령대장_설정!$B$4))</x:f>
        <x:v>#NAME?</x:v>
      </x:c>
      <x:c r="C824" s="27" t="e">
        <x:f>IF($A824="","",대장!D411)</x:f>
        <x:v>#NAME?</x:v>
      </x:c>
      <x:c r="D824" s="27" t="e">
        <x:f>IF($A824="","",대장!A411)</x:f>
        <x:v>#NAME?</x:v>
      </x:c>
      <x:c r="E824" s="27" t="e">
        <x:f>IF($A824="","",IF(OR(ISNUMBER(SEARCH("계약만료",대장!H411&amp;"")),ISNUMBER(SEARCH("기간만료",대장!H411&amp;""))),"계약기간 만료로 퇴직",IF(ISNUMBER(SEARCH("의원면직",대장!H411&amp;"")),"의원면직",IF(ISNUMBER(SEARCH("정년퇴직",대장!H411&amp;"")),"정년퇴직",대장!H411))))</x:f>
        <x:v>#NAME?</x:v>
      </x:c>
      <x:c r="F824" s="27" t="e">
        <x:f>IF($A824="","",IF(발령대장_설정!$B$5="","",발령대장_설정!$B$5))</x:f>
        <x:v>#NAME?</x:v>
      </x:c>
      <x:c r="G824" s="27" t="e">
        <x:f>IF($A824="","",IF(발령대장_설정!$B$6="","",발령대장_설정!$B$6))</x:f>
        <x:v>#NAME?</x:v>
      </x:c>
      <x:c r="H824" s="27" t="e">
        <x:f>IF($A824="","",IF(발령대장_설정!$B$7="","",발령대장_설정!$B$7))</x:f>
        <x:v>#NAME?</x:v>
      </x:c>
      <x:c r="I824" s="27" t="e">
        <x:f>IF($A824="","",IF(발령대장_설정!$B$8="","",발령대장_설정!$B$8))</x:f>
        <x:v>#NAME?</x:v>
      </x:c>
      <x:c r="J824" s="27" t="str">
        <x:f>""</x:f>
      </x:c>
    </x:row>
    <x:row r="825" ht="42" customHeight="1">
      <x:c r="A825" s="47" t="e">
        <x:f>IF(AND(대장!A412&lt;&gt;"",ISNUMBER(대장!F412),OR(대장!G412="",AND(ISNUMBER(대장!G412),대장!G412&gt;=대장!F412))),대장!F412,"")</x:f>
        <x:v>#NAME?</x:v>
      </x:c>
      <x:c r="B825" s="27" t="e">
        <x:f>IF($A825="","",IF(발령대장_설정!$B$4="","",발령대장_설정!$B$4))</x:f>
        <x:v>#NAME?</x:v>
      </x:c>
      <x:c r="C825" s="27" t="e">
        <x:f>IF($A825="","",대장!D412)</x:f>
        <x:v>#NAME?</x:v>
      </x:c>
      <x:c r="D825" s="27" t="e">
        <x:f>IF($A825="","",대장!A412)</x:f>
        <x:v>#NAME?</x:v>
      </x:c>
      <x:c r="E825" s="27" t="e">
        <x:f>IF($A825="","",IF(대장!J412&lt;&gt;"",대장!J412,대장!D412&amp;"에 임함"&amp;IF(대장!E412="","",CHAR(10)&amp;"고용형태: "&amp;대장!E412)&amp;IF(대장!I412="","",CHAR(10)&amp;"소정근로시간: "&amp;대장!I412)&amp;CHAR(10)&amp;"근로기간: "&amp;YEAR(대장!F412)&amp;"."&amp;MONTH(대장!F412)&amp;"."&amp;DAY(대장!F412)&amp;"."&amp;" ~ "&amp;IF(ISNUMBER(대장!G412),YEAR(대장!G412)&amp;"."&amp;MONTH(대장!G412)&amp;"."&amp;DAY(대장!G412)&amp;".","재직 중")))</x:f>
        <x:v>#NAME?</x:v>
      </x:c>
      <x:c r="F825" s="27" t="e">
        <x:f>IF($A825="","",IF(발령대장_설정!$B$5="","",발령대장_설정!$B$5))</x:f>
        <x:v>#NAME?</x:v>
      </x:c>
      <x:c r="G825" s="27" t="e">
        <x:f>IF($A825="","",IF(발령대장_설정!$B$6="","",발령대장_설정!$B$6))</x:f>
        <x:v>#NAME?</x:v>
      </x:c>
      <x:c r="H825" s="27" t="e">
        <x:f>IF($A825="","",IF(발령대장_설정!$B$7="","",발령대장_설정!$B$7))</x:f>
        <x:v>#NAME?</x:v>
      </x:c>
      <x:c r="I825" s="27" t="e">
        <x:f>IF($A825="","",IF(발령대장_설정!$B$8="","",발령대장_설정!$B$8))</x:f>
        <x:v>#NAME?</x:v>
      </x:c>
      <x:c r="J825" s="27" t="e">
        <x:f>IF($A825="","",IF(대장!K412="","",대장!K412))</x:f>
        <x:v>#NAME?</x:v>
      </x:c>
    </x:row>
    <x:row r="826" ht="42" customHeight="1">
      <x:c r="A826" s="47" t="e">
        <x:f>IF(AND(대장!A412&lt;&gt;"",ISNUMBER(대장!F412),ISNUMBER(대장!G412),대장!G412&gt;=대장!F412,대장!H412&lt;&gt;""),대장!G412,"")</x:f>
        <x:v>#NAME?</x:v>
      </x:c>
      <x:c r="B826" s="27" t="e">
        <x:f>IF($A826="","",IF(발령대장_설정!$B$4="","",발령대장_설정!$B$4))</x:f>
        <x:v>#NAME?</x:v>
      </x:c>
      <x:c r="C826" s="27" t="e">
        <x:f>IF($A826="","",대장!D412)</x:f>
        <x:v>#NAME?</x:v>
      </x:c>
      <x:c r="D826" s="27" t="e">
        <x:f>IF($A826="","",대장!A412)</x:f>
        <x:v>#NAME?</x:v>
      </x:c>
      <x:c r="E826" s="27" t="e">
        <x:f>IF($A826="","",IF(OR(ISNUMBER(SEARCH("계약만료",대장!H412&amp;"")),ISNUMBER(SEARCH("기간만료",대장!H412&amp;""))),"계약기간 만료로 퇴직",IF(ISNUMBER(SEARCH("의원면직",대장!H412&amp;"")),"의원면직",IF(ISNUMBER(SEARCH("정년퇴직",대장!H412&amp;"")),"정년퇴직",대장!H412))))</x:f>
        <x:v>#NAME?</x:v>
      </x:c>
      <x:c r="F826" s="27" t="e">
        <x:f>IF($A826="","",IF(발령대장_설정!$B$5="","",발령대장_설정!$B$5))</x:f>
        <x:v>#NAME?</x:v>
      </x:c>
      <x:c r="G826" s="27" t="e">
        <x:f>IF($A826="","",IF(발령대장_설정!$B$6="","",발령대장_설정!$B$6))</x:f>
        <x:v>#NAME?</x:v>
      </x:c>
      <x:c r="H826" s="27" t="e">
        <x:f>IF($A826="","",IF(발령대장_설정!$B$7="","",발령대장_설정!$B$7))</x:f>
        <x:v>#NAME?</x:v>
      </x:c>
      <x:c r="I826" s="27" t="e">
        <x:f>IF($A826="","",IF(발령대장_설정!$B$8="","",발령대장_설정!$B$8))</x:f>
        <x:v>#NAME?</x:v>
      </x:c>
      <x:c r="J826" s="27" t="str">
        <x:f>""</x:f>
      </x:c>
    </x:row>
    <x:row r="827" ht="42" customHeight="1">
      <x:c r="A827" s="47" t="e">
        <x:f>IF(AND(대장!A413&lt;&gt;"",ISNUMBER(대장!F413),OR(대장!G413="",AND(ISNUMBER(대장!G413),대장!G413&gt;=대장!F413))),대장!F413,"")</x:f>
        <x:v>#NAME?</x:v>
      </x:c>
      <x:c r="B827" s="27" t="e">
        <x:f>IF($A827="","",IF(발령대장_설정!$B$4="","",발령대장_설정!$B$4))</x:f>
        <x:v>#NAME?</x:v>
      </x:c>
      <x:c r="C827" s="27" t="e">
        <x:f>IF($A827="","",대장!D413)</x:f>
        <x:v>#NAME?</x:v>
      </x:c>
      <x:c r="D827" s="27" t="e">
        <x:f>IF($A827="","",대장!A413)</x:f>
        <x:v>#NAME?</x:v>
      </x:c>
      <x:c r="E827" s="27" t="e">
        <x:f>IF($A827="","",IF(대장!J413&lt;&gt;"",대장!J413,대장!D413&amp;"에 임함"&amp;IF(대장!E413="","",CHAR(10)&amp;"고용형태: "&amp;대장!E413)&amp;IF(대장!I413="","",CHAR(10)&amp;"소정근로시간: "&amp;대장!I413)&amp;CHAR(10)&amp;"근로기간: "&amp;YEAR(대장!F413)&amp;"."&amp;MONTH(대장!F413)&amp;"."&amp;DAY(대장!F413)&amp;"."&amp;" ~ "&amp;IF(ISNUMBER(대장!G413),YEAR(대장!G413)&amp;"."&amp;MONTH(대장!G413)&amp;"."&amp;DAY(대장!G413)&amp;".","재직 중")))</x:f>
        <x:v>#NAME?</x:v>
      </x:c>
      <x:c r="F827" s="27" t="e">
        <x:f>IF($A827="","",IF(발령대장_설정!$B$5="","",발령대장_설정!$B$5))</x:f>
        <x:v>#NAME?</x:v>
      </x:c>
      <x:c r="G827" s="27" t="e">
        <x:f>IF($A827="","",IF(발령대장_설정!$B$6="","",발령대장_설정!$B$6))</x:f>
        <x:v>#NAME?</x:v>
      </x:c>
      <x:c r="H827" s="27" t="e">
        <x:f>IF($A827="","",IF(발령대장_설정!$B$7="","",발령대장_설정!$B$7))</x:f>
        <x:v>#NAME?</x:v>
      </x:c>
      <x:c r="I827" s="27" t="e">
        <x:f>IF($A827="","",IF(발령대장_설정!$B$8="","",발령대장_설정!$B$8))</x:f>
        <x:v>#NAME?</x:v>
      </x:c>
      <x:c r="J827" s="27" t="e">
        <x:f>IF($A827="","",IF(대장!K413="","",대장!K413))</x:f>
        <x:v>#NAME?</x:v>
      </x:c>
    </x:row>
    <x:row r="828" ht="42" customHeight="1">
      <x:c r="A828" s="47" t="e">
        <x:f>IF(AND(대장!A413&lt;&gt;"",ISNUMBER(대장!F413),ISNUMBER(대장!G413),대장!G413&gt;=대장!F413,대장!H413&lt;&gt;""),대장!G413,"")</x:f>
        <x:v>#NAME?</x:v>
      </x:c>
      <x:c r="B828" s="27" t="e">
        <x:f>IF($A828="","",IF(발령대장_설정!$B$4="","",발령대장_설정!$B$4))</x:f>
        <x:v>#NAME?</x:v>
      </x:c>
      <x:c r="C828" s="27" t="e">
        <x:f>IF($A828="","",대장!D413)</x:f>
        <x:v>#NAME?</x:v>
      </x:c>
      <x:c r="D828" s="27" t="e">
        <x:f>IF($A828="","",대장!A413)</x:f>
        <x:v>#NAME?</x:v>
      </x:c>
      <x:c r="E828" s="27" t="e">
        <x:f>IF($A828="","",IF(OR(ISNUMBER(SEARCH("계약만료",대장!H413&amp;"")),ISNUMBER(SEARCH("기간만료",대장!H413&amp;""))),"계약기간 만료로 퇴직",IF(ISNUMBER(SEARCH("의원면직",대장!H413&amp;"")),"의원면직",IF(ISNUMBER(SEARCH("정년퇴직",대장!H413&amp;"")),"정년퇴직",대장!H413))))</x:f>
        <x:v>#NAME?</x:v>
      </x:c>
      <x:c r="F828" s="27" t="e">
        <x:f>IF($A828="","",IF(발령대장_설정!$B$5="","",발령대장_설정!$B$5))</x:f>
        <x:v>#NAME?</x:v>
      </x:c>
      <x:c r="G828" s="27" t="e">
        <x:f>IF($A828="","",IF(발령대장_설정!$B$6="","",발령대장_설정!$B$6))</x:f>
        <x:v>#NAME?</x:v>
      </x:c>
      <x:c r="H828" s="27" t="e">
        <x:f>IF($A828="","",IF(발령대장_설정!$B$7="","",발령대장_설정!$B$7))</x:f>
        <x:v>#NAME?</x:v>
      </x:c>
      <x:c r="I828" s="27" t="e">
        <x:f>IF($A828="","",IF(발령대장_설정!$B$8="","",발령대장_설정!$B$8))</x:f>
        <x:v>#NAME?</x:v>
      </x:c>
      <x:c r="J828" s="27" t="str">
        <x:f>""</x:f>
      </x:c>
    </x:row>
    <x:row r="829" ht="42" customHeight="1">
      <x:c r="A829" s="47" t="e">
        <x:f>IF(AND(대장!A414&lt;&gt;"",ISNUMBER(대장!F414),OR(대장!G414="",AND(ISNUMBER(대장!G414),대장!G414&gt;=대장!F414))),대장!F414,"")</x:f>
        <x:v>#NAME?</x:v>
      </x:c>
      <x:c r="B829" s="27" t="e">
        <x:f>IF($A829="","",IF(발령대장_설정!$B$4="","",발령대장_설정!$B$4))</x:f>
        <x:v>#NAME?</x:v>
      </x:c>
      <x:c r="C829" s="27" t="e">
        <x:f>IF($A829="","",대장!D414)</x:f>
        <x:v>#NAME?</x:v>
      </x:c>
      <x:c r="D829" s="27" t="e">
        <x:f>IF($A829="","",대장!A414)</x:f>
        <x:v>#NAME?</x:v>
      </x:c>
      <x:c r="E829" s="27" t="e">
        <x:f>IF($A829="","",IF(대장!J414&lt;&gt;"",대장!J414,대장!D414&amp;"에 임함"&amp;IF(대장!E414="","",CHAR(10)&amp;"고용형태: "&amp;대장!E414)&amp;IF(대장!I414="","",CHAR(10)&amp;"소정근로시간: "&amp;대장!I414)&amp;CHAR(10)&amp;"근로기간: "&amp;YEAR(대장!F414)&amp;"."&amp;MONTH(대장!F414)&amp;"."&amp;DAY(대장!F414)&amp;"."&amp;" ~ "&amp;IF(ISNUMBER(대장!G414),YEAR(대장!G414)&amp;"."&amp;MONTH(대장!G414)&amp;"."&amp;DAY(대장!G414)&amp;".","재직 중")))</x:f>
        <x:v>#NAME?</x:v>
      </x:c>
      <x:c r="F829" s="27" t="e">
        <x:f>IF($A829="","",IF(발령대장_설정!$B$5="","",발령대장_설정!$B$5))</x:f>
        <x:v>#NAME?</x:v>
      </x:c>
      <x:c r="G829" s="27" t="e">
        <x:f>IF($A829="","",IF(발령대장_설정!$B$6="","",발령대장_설정!$B$6))</x:f>
        <x:v>#NAME?</x:v>
      </x:c>
      <x:c r="H829" s="27" t="e">
        <x:f>IF($A829="","",IF(발령대장_설정!$B$7="","",발령대장_설정!$B$7))</x:f>
        <x:v>#NAME?</x:v>
      </x:c>
      <x:c r="I829" s="27" t="e">
        <x:f>IF($A829="","",IF(발령대장_설정!$B$8="","",발령대장_설정!$B$8))</x:f>
        <x:v>#NAME?</x:v>
      </x:c>
      <x:c r="J829" s="27" t="e">
        <x:f>IF($A829="","",IF(대장!K414="","",대장!K414))</x:f>
        <x:v>#NAME?</x:v>
      </x:c>
    </x:row>
    <x:row r="830" ht="42" customHeight="1">
      <x:c r="A830" s="47" t="e">
        <x:f>IF(AND(대장!A414&lt;&gt;"",ISNUMBER(대장!F414),ISNUMBER(대장!G414),대장!G414&gt;=대장!F414,대장!H414&lt;&gt;""),대장!G414,"")</x:f>
        <x:v>#NAME?</x:v>
      </x:c>
      <x:c r="B830" s="27" t="e">
        <x:f>IF($A830="","",IF(발령대장_설정!$B$4="","",발령대장_설정!$B$4))</x:f>
        <x:v>#NAME?</x:v>
      </x:c>
      <x:c r="C830" s="27" t="e">
        <x:f>IF($A830="","",대장!D414)</x:f>
        <x:v>#NAME?</x:v>
      </x:c>
      <x:c r="D830" s="27" t="e">
        <x:f>IF($A830="","",대장!A414)</x:f>
        <x:v>#NAME?</x:v>
      </x:c>
      <x:c r="E830" s="27" t="e">
        <x:f>IF($A830="","",IF(OR(ISNUMBER(SEARCH("계약만료",대장!H414&amp;"")),ISNUMBER(SEARCH("기간만료",대장!H414&amp;""))),"계약기간 만료로 퇴직",IF(ISNUMBER(SEARCH("의원면직",대장!H414&amp;"")),"의원면직",IF(ISNUMBER(SEARCH("정년퇴직",대장!H414&amp;"")),"정년퇴직",대장!H414))))</x:f>
        <x:v>#NAME?</x:v>
      </x:c>
      <x:c r="F830" s="27" t="e">
        <x:f>IF($A830="","",IF(발령대장_설정!$B$5="","",발령대장_설정!$B$5))</x:f>
        <x:v>#NAME?</x:v>
      </x:c>
      <x:c r="G830" s="27" t="e">
        <x:f>IF($A830="","",IF(발령대장_설정!$B$6="","",발령대장_설정!$B$6))</x:f>
        <x:v>#NAME?</x:v>
      </x:c>
      <x:c r="H830" s="27" t="e">
        <x:f>IF($A830="","",IF(발령대장_설정!$B$7="","",발령대장_설정!$B$7))</x:f>
        <x:v>#NAME?</x:v>
      </x:c>
      <x:c r="I830" s="27" t="e">
        <x:f>IF($A830="","",IF(발령대장_설정!$B$8="","",발령대장_설정!$B$8))</x:f>
        <x:v>#NAME?</x:v>
      </x:c>
      <x:c r="J830" s="27" t="str">
        <x:f>""</x:f>
      </x:c>
    </x:row>
    <x:row r="831" ht="42" customHeight="1">
      <x:c r="A831" s="47" t="e">
        <x:f>IF(AND(대장!A415&lt;&gt;"",ISNUMBER(대장!F415),OR(대장!G415="",AND(ISNUMBER(대장!G415),대장!G415&gt;=대장!F415))),대장!F415,"")</x:f>
        <x:v>#NAME?</x:v>
      </x:c>
      <x:c r="B831" s="27" t="e">
        <x:f>IF($A831="","",IF(발령대장_설정!$B$4="","",발령대장_설정!$B$4))</x:f>
        <x:v>#NAME?</x:v>
      </x:c>
      <x:c r="C831" s="27" t="e">
        <x:f>IF($A831="","",대장!D415)</x:f>
        <x:v>#NAME?</x:v>
      </x:c>
      <x:c r="D831" s="27" t="e">
        <x:f>IF($A831="","",대장!A415)</x:f>
        <x:v>#NAME?</x:v>
      </x:c>
      <x:c r="E831" s="27" t="e">
        <x:f>IF($A831="","",IF(대장!J415&lt;&gt;"",대장!J415,대장!D415&amp;"에 임함"&amp;IF(대장!E415="","",CHAR(10)&amp;"고용형태: "&amp;대장!E415)&amp;IF(대장!I415="","",CHAR(10)&amp;"소정근로시간: "&amp;대장!I415)&amp;CHAR(10)&amp;"근로기간: "&amp;YEAR(대장!F415)&amp;"."&amp;MONTH(대장!F415)&amp;"."&amp;DAY(대장!F415)&amp;"."&amp;" ~ "&amp;IF(ISNUMBER(대장!G415),YEAR(대장!G415)&amp;"."&amp;MONTH(대장!G415)&amp;"."&amp;DAY(대장!G415)&amp;".","재직 중")))</x:f>
        <x:v>#NAME?</x:v>
      </x:c>
      <x:c r="F831" s="27" t="e">
        <x:f>IF($A831="","",IF(발령대장_설정!$B$5="","",발령대장_설정!$B$5))</x:f>
        <x:v>#NAME?</x:v>
      </x:c>
      <x:c r="G831" s="27" t="e">
        <x:f>IF($A831="","",IF(발령대장_설정!$B$6="","",발령대장_설정!$B$6))</x:f>
        <x:v>#NAME?</x:v>
      </x:c>
      <x:c r="H831" s="27" t="e">
        <x:f>IF($A831="","",IF(발령대장_설정!$B$7="","",발령대장_설정!$B$7))</x:f>
        <x:v>#NAME?</x:v>
      </x:c>
      <x:c r="I831" s="27" t="e">
        <x:f>IF($A831="","",IF(발령대장_설정!$B$8="","",발령대장_설정!$B$8))</x:f>
        <x:v>#NAME?</x:v>
      </x:c>
      <x:c r="J831" s="27" t="e">
        <x:f>IF($A831="","",IF(대장!K415="","",대장!K415))</x:f>
        <x:v>#NAME?</x:v>
      </x:c>
    </x:row>
    <x:row r="832" ht="42" customHeight="1">
      <x:c r="A832" s="47" t="e">
        <x:f>IF(AND(대장!A415&lt;&gt;"",ISNUMBER(대장!F415),ISNUMBER(대장!G415),대장!G415&gt;=대장!F415,대장!H415&lt;&gt;""),대장!G415,"")</x:f>
        <x:v>#NAME?</x:v>
      </x:c>
      <x:c r="B832" s="27" t="e">
        <x:f>IF($A832="","",IF(발령대장_설정!$B$4="","",발령대장_설정!$B$4))</x:f>
        <x:v>#NAME?</x:v>
      </x:c>
      <x:c r="C832" s="27" t="e">
        <x:f>IF($A832="","",대장!D415)</x:f>
        <x:v>#NAME?</x:v>
      </x:c>
      <x:c r="D832" s="27" t="e">
        <x:f>IF($A832="","",대장!A415)</x:f>
        <x:v>#NAME?</x:v>
      </x:c>
      <x:c r="E832" s="27" t="e">
        <x:f>IF($A832="","",IF(OR(ISNUMBER(SEARCH("계약만료",대장!H415&amp;"")),ISNUMBER(SEARCH("기간만료",대장!H415&amp;""))),"계약기간 만료로 퇴직",IF(ISNUMBER(SEARCH("의원면직",대장!H415&amp;"")),"의원면직",IF(ISNUMBER(SEARCH("정년퇴직",대장!H415&amp;"")),"정년퇴직",대장!H415))))</x:f>
        <x:v>#NAME?</x:v>
      </x:c>
      <x:c r="F832" s="27" t="e">
        <x:f>IF($A832="","",IF(발령대장_설정!$B$5="","",발령대장_설정!$B$5))</x:f>
        <x:v>#NAME?</x:v>
      </x:c>
      <x:c r="G832" s="27" t="e">
        <x:f>IF($A832="","",IF(발령대장_설정!$B$6="","",발령대장_설정!$B$6))</x:f>
        <x:v>#NAME?</x:v>
      </x:c>
      <x:c r="H832" s="27" t="e">
        <x:f>IF($A832="","",IF(발령대장_설정!$B$7="","",발령대장_설정!$B$7))</x:f>
        <x:v>#NAME?</x:v>
      </x:c>
      <x:c r="I832" s="27" t="e">
        <x:f>IF($A832="","",IF(발령대장_설정!$B$8="","",발령대장_설정!$B$8))</x:f>
        <x:v>#NAME?</x:v>
      </x:c>
      <x:c r="J832" s="27" t="str">
        <x:f>""</x:f>
      </x:c>
    </x:row>
    <x:row r="833" ht="42" customHeight="1">
      <x:c r="A833" s="47" t="e">
        <x:f>IF(AND(대장!A416&lt;&gt;"",ISNUMBER(대장!F416),OR(대장!G416="",AND(ISNUMBER(대장!G416),대장!G416&gt;=대장!F416))),대장!F416,"")</x:f>
        <x:v>#NAME?</x:v>
      </x:c>
      <x:c r="B833" s="27" t="e">
        <x:f>IF($A833="","",IF(발령대장_설정!$B$4="","",발령대장_설정!$B$4))</x:f>
        <x:v>#NAME?</x:v>
      </x:c>
      <x:c r="C833" s="27" t="e">
        <x:f>IF($A833="","",대장!D416)</x:f>
        <x:v>#NAME?</x:v>
      </x:c>
      <x:c r="D833" s="27" t="e">
        <x:f>IF($A833="","",대장!A416)</x:f>
        <x:v>#NAME?</x:v>
      </x:c>
      <x:c r="E833" s="27" t="e">
        <x:f>IF($A833="","",IF(대장!J416&lt;&gt;"",대장!J416,대장!D416&amp;"에 임함"&amp;IF(대장!E416="","",CHAR(10)&amp;"고용형태: "&amp;대장!E416)&amp;IF(대장!I416="","",CHAR(10)&amp;"소정근로시간: "&amp;대장!I416)&amp;CHAR(10)&amp;"근로기간: "&amp;YEAR(대장!F416)&amp;"."&amp;MONTH(대장!F416)&amp;"."&amp;DAY(대장!F416)&amp;"."&amp;" ~ "&amp;IF(ISNUMBER(대장!G416),YEAR(대장!G416)&amp;"."&amp;MONTH(대장!G416)&amp;"."&amp;DAY(대장!G416)&amp;".","재직 중")))</x:f>
        <x:v>#NAME?</x:v>
      </x:c>
      <x:c r="F833" s="27" t="e">
        <x:f>IF($A833="","",IF(발령대장_설정!$B$5="","",발령대장_설정!$B$5))</x:f>
        <x:v>#NAME?</x:v>
      </x:c>
      <x:c r="G833" s="27" t="e">
        <x:f>IF($A833="","",IF(발령대장_설정!$B$6="","",발령대장_설정!$B$6))</x:f>
        <x:v>#NAME?</x:v>
      </x:c>
      <x:c r="H833" s="27" t="e">
        <x:f>IF($A833="","",IF(발령대장_설정!$B$7="","",발령대장_설정!$B$7))</x:f>
        <x:v>#NAME?</x:v>
      </x:c>
      <x:c r="I833" s="27" t="e">
        <x:f>IF($A833="","",IF(발령대장_설정!$B$8="","",발령대장_설정!$B$8))</x:f>
        <x:v>#NAME?</x:v>
      </x:c>
      <x:c r="J833" s="27" t="e">
        <x:f>IF($A833="","",IF(대장!K416="","",대장!K416))</x:f>
        <x:v>#NAME?</x:v>
      </x:c>
    </x:row>
    <x:row r="834" ht="42" customHeight="1">
      <x:c r="A834" s="47" t="e">
        <x:f>IF(AND(대장!A416&lt;&gt;"",ISNUMBER(대장!F416),ISNUMBER(대장!G416),대장!G416&gt;=대장!F416,대장!H416&lt;&gt;""),대장!G416,"")</x:f>
        <x:v>#NAME?</x:v>
      </x:c>
      <x:c r="B834" s="27" t="e">
        <x:f>IF($A834="","",IF(발령대장_설정!$B$4="","",발령대장_설정!$B$4))</x:f>
        <x:v>#NAME?</x:v>
      </x:c>
      <x:c r="C834" s="27" t="e">
        <x:f>IF($A834="","",대장!D416)</x:f>
        <x:v>#NAME?</x:v>
      </x:c>
      <x:c r="D834" s="27" t="e">
        <x:f>IF($A834="","",대장!A416)</x:f>
        <x:v>#NAME?</x:v>
      </x:c>
      <x:c r="E834" s="27" t="e">
        <x:f>IF($A834="","",IF(OR(ISNUMBER(SEARCH("계약만료",대장!H416&amp;"")),ISNUMBER(SEARCH("기간만료",대장!H416&amp;""))),"계약기간 만료로 퇴직",IF(ISNUMBER(SEARCH("의원면직",대장!H416&amp;"")),"의원면직",IF(ISNUMBER(SEARCH("정년퇴직",대장!H416&amp;"")),"정년퇴직",대장!H416))))</x:f>
        <x:v>#NAME?</x:v>
      </x:c>
      <x:c r="F834" s="27" t="e">
        <x:f>IF($A834="","",IF(발령대장_설정!$B$5="","",발령대장_설정!$B$5))</x:f>
        <x:v>#NAME?</x:v>
      </x:c>
      <x:c r="G834" s="27" t="e">
        <x:f>IF($A834="","",IF(발령대장_설정!$B$6="","",발령대장_설정!$B$6))</x:f>
        <x:v>#NAME?</x:v>
      </x:c>
      <x:c r="H834" s="27" t="e">
        <x:f>IF($A834="","",IF(발령대장_설정!$B$7="","",발령대장_설정!$B$7))</x:f>
        <x:v>#NAME?</x:v>
      </x:c>
      <x:c r="I834" s="27" t="e">
        <x:f>IF($A834="","",IF(발령대장_설정!$B$8="","",발령대장_설정!$B$8))</x:f>
        <x:v>#NAME?</x:v>
      </x:c>
      <x:c r="J834" s="27" t="str">
        <x:f>""</x:f>
      </x:c>
    </x:row>
    <x:row r="835" ht="42" customHeight="1">
      <x:c r="A835" s="47" t="e">
        <x:f>IF(AND(대장!A417&lt;&gt;"",ISNUMBER(대장!F417),OR(대장!G417="",AND(ISNUMBER(대장!G417),대장!G417&gt;=대장!F417))),대장!F417,"")</x:f>
        <x:v>#NAME?</x:v>
      </x:c>
      <x:c r="B835" s="27" t="e">
        <x:f>IF($A835="","",IF(발령대장_설정!$B$4="","",발령대장_설정!$B$4))</x:f>
        <x:v>#NAME?</x:v>
      </x:c>
      <x:c r="C835" s="27" t="e">
        <x:f>IF($A835="","",대장!D417)</x:f>
        <x:v>#NAME?</x:v>
      </x:c>
      <x:c r="D835" s="27" t="e">
        <x:f>IF($A835="","",대장!A417)</x:f>
        <x:v>#NAME?</x:v>
      </x:c>
      <x:c r="E835" s="27" t="e">
        <x:f>IF($A835="","",IF(대장!J417&lt;&gt;"",대장!J417,대장!D417&amp;"에 임함"&amp;IF(대장!E417="","",CHAR(10)&amp;"고용형태: "&amp;대장!E417)&amp;IF(대장!I417="","",CHAR(10)&amp;"소정근로시간: "&amp;대장!I417)&amp;CHAR(10)&amp;"근로기간: "&amp;YEAR(대장!F417)&amp;"."&amp;MONTH(대장!F417)&amp;"."&amp;DAY(대장!F417)&amp;"."&amp;" ~ "&amp;IF(ISNUMBER(대장!G417),YEAR(대장!G417)&amp;"."&amp;MONTH(대장!G417)&amp;"."&amp;DAY(대장!G417)&amp;".","재직 중")))</x:f>
        <x:v>#NAME?</x:v>
      </x:c>
      <x:c r="F835" s="27" t="e">
        <x:f>IF($A835="","",IF(발령대장_설정!$B$5="","",발령대장_설정!$B$5))</x:f>
        <x:v>#NAME?</x:v>
      </x:c>
      <x:c r="G835" s="27" t="e">
        <x:f>IF($A835="","",IF(발령대장_설정!$B$6="","",발령대장_설정!$B$6))</x:f>
        <x:v>#NAME?</x:v>
      </x:c>
      <x:c r="H835" s="27" t="e">
        <x:f>IF($A835="","",IF(발령대장_설정!$B$7="","",발령대장_설정!$B$7))</x:f>
        <x:v>#NAME?</x:v>
      </x:c>
      <x:c r="I835" s="27" t="e">
        <x:f>IF($A835="","",IF(발령대장_설정!$B$8="","",발령대장_설정!$B$8))</x:f>
        <x:v>#NAME?</x:v>
      </x:c>
      <x:c r="J835" s="27" t="e">
        <x:f>IF($A835="","",IF(대장!K417="","",대장!K417))</x:f>
        <x:v>#NAME?</x:v>
      </x:c>
    </x:row>
    <x:row r="836" ht="42" customHeight="1">
      <x:c r="A836" s="47" t="e">
        <x:f>IF(AND(대장!A417&lt;&gt;"",ISNUMBER(대장!F417),ISNUMBER(대장!G417),대장!G417&gt;=대장!F417,대장!H417&lt;&gt;""),대장!G417,"")</x:f>
        <x:v>#NAME?</x:v>
      </x:c>
      <x:c r="B836" s="27" t="e">
        <x:f>IF($A836="","",IF(발령대장_설정!$B$4="","",발령대장_설정!$B$4))</x:f>
        <x:v>#NAME?</x:v>
      </x:c>
      <x:c r="C836" s="27" t="e">
        <x:f>IF($A836="","",대장!D417)</x:f>
        <x:v>#NAME?</x:v>
      </x:c>
      <x:c r="D836" s="27" t="e">
        <x:f>IF($A836="","",대장!A417)</x:f>
        <x:v>#NAME?</x:v>
      </x:c>
      <x:c r="E836" s="27" t="e">
        <x:f>IF($A836="","",IF(OR(ISNUMBER(SEARCH("계약만료",대장!H417&amp;"")),ISNUMBER(SEARCH("기간만료",대장!H417&amp;""))),"계약기간 만료로 퇴직",IF(ISNUMBER(SEARCH("의원면직",대장!H417&amp;"")),"의원면직",IF(ISNUMBER(SEARCH("정년퇴직",대장!H417&amp;"")),"정년퇴직",대장!H417))))</x:f>
        <x:v>#NAME?</x:v>
      </x:c>
      <x:c r="F836" s="27" t="e">
        <x:f>IF($A836="","",IF(발령대장_설정!$B$5="","",발령대장_설정!$B$5))</x:f>
        <x:v>#NAME?</x:v>
      </x:c>
      <x:c r="G836" s="27" t="e">
        <x:f>IF($A836="","",IF(발령대장_설정!$B$6="","",발령대장_설정!$B$6))</x:f>
        <x:v>#NAME?</x:v>
      </x:c>
      <x:c r="H836" s="27" t="e">
        <x:f>IF($A836="","",IF(발령대장_설정!$B$7="","",발령대장_설정!$B$7))</x:f>
        <x:v>#NAME?</x:v>
      </x:c>
      <x:c r="I836" s="27" t="e">
        <x:f>IF($A836="","",IF(발령대장_설정!$B$8="","",발령대장_설정!$B$8))</x:f>
        <x:v>#NAME?</x:v>
      </x:c>
      <x:c r="J836" s="27" t="str">
        <x:f>""</x:f>
      </x:c>
    </x:row>
    <x:row r="837" ht="42" customHeight="1">
      <x:c r="A837" s="47" t="e">
        <x:f>IF(AND(대장!A418&lt;&gt;"",ISNUMBER(대장!F418),OR(대장!G418="",AND(ISNUMBER(대장!G418),대장!G418&gt;=대장!F418))),대장!F418,"")</x:f>
        <x:v>#NAME?</x:v>
      </x:c>
      <x:c r="B837" s="27" t="e">
        <x:f>IF($A837="","",IF(발령대장_설정!$B$4="","",발령대장_설정!$B$4))</x:f>
        <x:v>#NAME?</x:v>
      </x:c>
      <x:c r="C837" s="27" t="e">
        <x:f>IF($A837="","",대장!D418)</x:f>
        <x:v>#NAME?</x:v>
      </x:c>
      <x:c r="D837" s="27" t="e">
        <x:f>IF($A837="","",대장!A418)</x:f>
        <x:v>#NAME?</x:v>
      </x:c>
      <x:c r="E837" s="27" t="e">
        <x:f>IF($A837="","",IF(대장!J418&lt;&gt;"",대장!J418,대장!D418&amp;"에 임함"&amp;IF(대장!E418="","",CHAR(10)&amp;"고용형태: "&amp;대장!E418)&amp;IF(대장!I418="","",CHAR(10)&amp;"소정근로시간: "&amp;대장!I418)&amp;CHAR(10)&amp;"근로기간: "&amp;YEAR(대장!F418)&amp;"."&amp;MONTH(대장!F418)&amp;"."&amp;DAY(대장!F418)&amp;"."&amp;" ~ "&amp;IF(ISNUMBER(대장!G418),YEAR(대장!G418)&amp;"."&amp;MONTH(대장!G418)&amp;"."&amp;DAY(대장!G418)&amp;".","재직 중")))</x:f>
        <x:v>#NAME?</x:v>
      </x:c>
      <x:c r="F837" s="27" t="e">
        <x:f>IF($A837="","",IF(발령대장_설정!$B$5="","",발령대장_설정!$B$5))</x:f>
        <x:v>#NAME?</x:v>
      </x:c>
      <x:c r="G837" s="27" t="e">
        <x:f>IF($A837="","",IF(발령대장_설정!$B$6="","",발령대장_설정!$B$6))</x:f>
        <x:v>#NAME?</x:v>
      </x:c>
      <x:c r="H837" s="27" t="e">
        <x:f>IF($A837="","",IF(발령대장_설정!$B$7="","",발령대장_설정!$B$7))</x:f>
        <x:v>#NAME?</x:v>
      </x:c>
      <x:c r="I837" s="27" t="e">
        <x:f>IF($A837="","",IF(발령대장_설정!$B$8="","",발령대장_설정!$B$8))</x:f>
        <x:v>#NAME?</x:v>
      </x:c>
      <x:c r="J837" s="27" t="e">
        <x:f>IF($A837="","",IF(대장!K418="","",대장!K418))</x:f>
        <x:v>#NAME?</x:v>
      </x:c>
    </x:row>
    <x:row r="838" ht="42" customHeight="1">
      <x:c r="A838" s="47" t="e">
        <x:f>IF(AND(대장!A418&lt;&gt;"",ISNUMBER(대장!F418),ISNUMBER(대장!G418),대장!G418&gt;=대장!F418,대장!H418&lt;&gt;""),대장!G418,"")</x:f>
        <x:v>#NAME?</x:v>
      </x:c>
      <x:c r="B838" s="27" t="e">
        <x:f>IF($A838="","",IF(발령대장_설정!$B$4="","",발령대장_설정!$B$4))</x:f>
        <x:v>#NAME?</x:v>
      </x:c>
      <x:c r="C838" s="27" t="e">
        <x:f>IF($A838="","",대장!D418)</x:f>
        <x:v>#NAME?</x:v>
      </x:c>
      <x:c r="D838" s="27" t="e">
        <x:f>IF($A838="","",대장!A418)</x:f>
        <x:v>#NAME?</x:v>
      </x:c>
      <x:c r="E838" s="27" t="e">
        <x:f>IF($A838="","",IF(OR(ISNUMBER(SEARCH("계약만료",대장!H418&amp;"")),ISNUMBER(SEARCH("기간만료",대장!H418&amp;""))),"계약기간 만료로 퇴직",IF(ISNUMBER(SEARCH("의원면직",대장!H418&amp;"")),"의원면직",IF(ISNUMBER(SEARCH("정년퇴직",대장!H418&amp;"")),"정년퇴직",대장!H418))))</x:f>
        <x:v>#NAME?</x:v>
      </x:c>
      <x:c r="F838" s="27" t="e">
        <x:f>IF($A838="","",IF(발령대장_설정!$B$5="","",발령대장_설정!$B$5))</x:f>
        <x:v>#NAME?</x:v>
      </x:c>
      <x:c r="G838" s="27" t="e">
        <x:f>IF($A838="","",IF(발령대장_설정!$B$6="","",발령대장_설정!$B$6))</x:f>
        <x:v>#NAME?</x:v>
      </x:c>
      <x:c r="H838" s="27" t="e">
        <x:f>IF($A838="","",IF(발령대장_설정!$B$7="","",발령대장_설정!$B$7))</x:f>
        <x:v>#NAME?</x:v>
      </x:c>
      <x:c r="I838" s="27" t="e">
        <x:f>IF($A838="","",IF(발령대장_설정!$B$8="","",발령대장_설정!$B$8))</x:f>
        <x:v>#NAME?</x:v>
      </x:c>
      <x:c r="J838" s="27" t="str">
        <x:f>""</x:f>
      </x:c>
    </x:row>
    <x:row r="839" ht="42" customHeight="1">
      <x:c r="A839" s="47" t="e">
        <x:f>IF(AND(대장!A419&lt;&gt;"",ISNUMBER(대장!F419),OR(대장!G419="",AND(ISNUMBER(대장!G419),대장!G419&gt;=대장!F419))),대장!F419,"")</x:f>
        <x:v>#NAME?</x:v>
      </x:c>
      <x:c r="B839" s="27" t="e">
        <x:f>IF($A839="","",IF(발령대장_설정!$B$4="","",발령대장_설정!$B$4))</x:f>
        <x:v>#NAME?</x:v>
      </x:c>
      <x:c r="C839" s="27" t="e">
        <x:f>IF($A839="","",대장!D419)</x:f>
        <x:v>#NAME?</x:v>
      </x:c>
      <x:c r="D839" s="27" t="e">
        <x:f>IF($A839="","",대장!A419)</x:f>
        <x:v>#NAME?</x:v>
      </x:c>
      <x:c r="E839" s="27" t="e">
        <x:f>IF($A839="","",IF(대장!J419&lt;&gt;"",대장!J419,대장!D419&amp;"에 임함"&amp;IF(대장!E419="","",CHAR(10)&amp;"고용형태: "&amp;대장!E419)&amp;IF(대장!I419="","",CHAR(10)&amp;"소정근로시간: "&amp;대장!I419)&amp;CHAR(10)&amp;"근로기간: "&amp;YEAR(대장!F419)&amp;"."&amp;MONTH(대장!F419)&amp;"."&amp;DAY(대장!F419)&amp;"."&amp;" ~ "&amp;IF(ISNUMBER(대장!G419),YEAR(대장!G419)&amp;"."&amp;MONTH(대장!G419)&amp;"."&amp;DAY(대장!G419)&amp;".","재직 중")))</x:f>
        <x:v>#NAME?</x:v>
      </x:c>
      <x:c r="F839" s="27" t="e">
        <x:f>IF($A839="","",IF(발령대장_설정!$B$5="","",발령대장_설정!$B$5))</x:f>
        <x:v>#NAME?</x:v>
      </x:c>
      <x:c r="G839" s="27" t="e">
        <x:f>IF($A839="","",IF(발령대장_설정!$B$6="","",발령대장_설정!$B$6))</x:f>
        <x:v>#NAME?</x:v>
      </x:c>
      <x:c r="H839" s="27" t="e">
        <x:f>IF($A839="","",IF(발령대장_설정!$B$7="","",발령대장_설정!$B$7))</x:f>
        <x:v>#NAME?</x:v>
      </x:c>
      <x:c r="I839" s="27" t="e">
        <x:f>IF($A839="","",IF(발령대장_설정!$B$8="","",발령대장_설정!$B$8))</x:f>
        <x:v>#NAME?</x:v>
      </x:c>
      <x:c r="J839" s="27" t="e">
        <x:f>IF($A839="","",IF(대장!K419="","",대장!K419))</x:f>
        <x:v>#NAME?</x:v>
      </x:c>
    </x:row>
    <x:row r="840" ht="42" customHeight="1">
      <x:c r="A840" s="47" t="e">
        <x:f>IF(AND(대장!A419&lt;&gt;"",ISNUMBER(대장!F419),ISNUMBER(대장!G419),대장!G419&gt;=대장!F419,대장!H419&lt;&gt;""),대장!G419,"")</x:f>
        <x:v>#NAME?</x:v>
      </x:c>
      <x:c r="B840" s="27" t="e">
        <x:f>IF($A840="","",IF(발령대장_설정!$B$4="","",발령대장_설정!$B$4))</x:f>
        <x:v>#NAME?</x:v>
      </x:c>
      <x:c r="C840" s="27" t="e">
        <x:f>IF($A840="","",대장!D419)</x:f>
        <x:v>#NAME?</x:v>
      </x:c>
      <x:c r="D840" s="27" t="e">
        <x:f>IF($A840="","",대장!A419)</x:f>
        <x:v>#NAME?</x:v>
      </x:c>
      <x:c r="E840" s="27" t="e">
        <x:f>IF($A840="","",IF(OR(ISNUMBER(SEARCH("계약만료",대장!H419&amp;"")),ISNUMBER(SEARCH("기간만료",대장!H419&amp;""))),"계약기간 만료로 퇴직",IF(ISNUMBER(SEARCH("의원면직",대장!H419&amp;"")),"의원면직",IF(ISNUMBER(SEARCH("정년퇴직",대장!H419&amp;"")),"정년퇴직",대장!H419))))</x:f>
        <x:v>#NAME?</x:v>
      </x:c>
      <x:c r="F840" s="27" t="e">
        <x:f>IF($A840="","",IF(발령대장_설정!$B$5="","",발령대장_설정!$B$5))</x:f>
        <x:v>#NAME?</x:v>
      </x:c>
      <x:c r="G840" s="27" t="e">
        <x:f>IF($A840="","",IF(발령대장_설정!$B$6="","",발령대장_설정!$B$6))</x:f>
        <x:v>#NAME?</x:v>
      </x:c>
      <x:c r="H840" s="27" t="e">
        <x:f>IF($A840="","",IF(발령대장_설정!$B$7="","",발령대장_설정!$B$7))</x:f>
        <x:v>#NAME?</x:v>
      </x:c>
      <x:c r="I840" s="27" t="e">
        <x:f>IF($A840="","",IF(발령대장_설정!$B$8="","",발령대장_설정!$B$8))</x:f>
        <x:v>#NAME?</x:v>
      </x:c>
      <x:c r="J840" s="27" t="str">
        <x:f>""</x:f>
      </x:c>
    </x:row>
    <x:row r="841" ht="42" customHeight="1">
      <x:c r="A841" s="47" t="e">
        <x:f>IF(AND(대장!A420&lt;&gt;"",ISNUMBER(대장!F420),OR(대장!G420="",AND(ISNUMBER(대장!G420),대장!G420&gt;=대장!F420))),대장!F420,"")</x:f>
        <x:v>#NAME?</x:v>
      </x:c>
      <x:c r="B841" s="27" t="e">
        <x:f>IF($A841="","",IF(발령대장_설정!$B$4="","",발령대장_설정!$B$4))</x:f>
        <x:v>#NAME?</x:v>
      </x:c>
      <x:c r="C841" s="27" t="e">
        <x:f>IF($A841="","",대장!D420)</x:f>
        <x:v>#NAME?</x:v>
      </x:c>
      <x:c r="D841" s="27" t="e">
        <x:f>IF($A841="","",대장!A420)</x:f>
        <x:v>#NAME?</x:v>
      </x:c>
      <x:c r="E841" s="27" t="e">
        <x:f>IF($A841="","",IF(대장!J420&lt;&gt;"",대장!J420,대장!D420&amp;"에 임함"&amp;IF(대장!E420="","",CHAR(10)&amp;"고용형태: "&amp;대장!E420)&amp;IF(대장!I420="","",CHAR(10)&amp;"소정근로시간: "&amp;대장!I420)&amp;CHAR(10)&amp;"근로기간: "&amp;YEAR(대장!F420)&amp;"."&amp;MONTH(대장!F420)&amp;"."&amp;DAY(대장!F420)&amp;"."&amp;" ~ "&amp;IF(ISNUMBER(대장!G420),YEAR(대장!G420)&amp;"."&amp;MONTH(대장!G420)&amp;"."&amp;DAY(대장!G420)&amp;".","재직 중")))</x:f>
        <x:v>#NAME?</x:v>
      </x:c>
      <x:c r="F841" s="27" t="e">
        <x:f>IF($A841="","",IF(발령대장_설정!$B$5="","",발령대장_설정!$B$5))</x:f>
        <x:v>#NAME?</x:v>
      </x:c>
      <x:c r="G841" s="27" t="e">
        <x:f>IF($A841="","",IF(발령대장_설정!$B$6="","",발령대장_설정!$B$6))</x:f>
        <x:v>#NAME?</x:v>
      </x:c>
      <x:c r="H841" s="27" t="e">
        <x:f>IF($A841="","",IF(발령대장_설정!$B$7="","",발령대장_설정!$B$7))</x:f>
        <x:v>#NAME?</x:v>
      </x:c>
      <x:c r="I841" s="27" t="e">
        <x:f>IF($A841="","",IF(발령대장_설정!$B$8="","",발령대장_설정!$B$8))</x:f>
        <x:v>#NAME?</x:v>
      </x:c>
      <x:c r="J841" s="27" t="e">
        <x:f>IF($A841="","",IF(대장!K420="","",대장!K420))</x:f>
        <x:v>#NAME?</x:v>
      </x:c>
    </x:row>
    <x:row r="842" ht="42" customHeight="1">
      <x:c r="A842" s="47" t="e">
        <x:f>IF(AND(대장!A420&lt;&gt;"",ISNUMBER(대장!F420),ISNUMBER(대장!G420),대장!G420&gt;=대장!F420,대장!H420&lt;&gt;""),대장!G420,"")</x:f>
        <x:v>#NAME?</x:v>
      </x:c>
      <x:c r="B842" s="27" t="e">
        <x:f>IF($A842="","",IF(발령대장_설정!$B$4="","",발령대장_설정!$B$4))</x:f>
        <x:v>#NAME?</x:v>
      </x:c>
      <x:c r="C842" s="27" t="e">
        <x:f>IF($A842="","",대장!D420)</x:f>
        <x:v>#NAME?</x:v>
      </x:c>
      <x:c r="D842" s="27" t="e">
        <x:f>IF($A842="","",대장!A420)</x:f>
        <x:v>#NAME?</x:v>
      </x:c>
      <x:c r="E842" s="27" t="e">
        <x:f>IF($A842="","",IF(OR(ISNUMBER(SEARCH("계약만료",대장!H420&amp;"")),ISNUMBER(SEARCH("기간만료",대장!H420&amp;""))),"계약기간 만료로 퇴직",IF(ISNUMBER(SEARCH("의원면직",대장!H420&amp;"")),"의원면직",IF(ISNUMBER(SEARCH("정년퇴직",대장!H420&amp;"")),"정년퇴직",대장!H420))))</x:f>
        <x:v>#NAME?</x:v>
      </x:c>
      <x:c r="F842" s="27" t="e">
        <x:f>IF($A842="","",IF(발령대장_설정!$B$5="","",발령대장_설정!$B$5))</x:f>
        <x:v>#NAME?</x:v>
      </x:c>
      <x:c r="G842" s="27" t="e">
        <x:f>IF($A842="","",IF(발령대장_설정!$B$6="","",발령대장_설정!$B$6))</x:f>
        <x:v>#NAME?</x:v>
      </x:c>
      <x:c r="H842" s="27" t="e">
        <x:f>IF($A842="","",IF(발령대장_설정!$B$7="","",발령대장_설정!$B$7))</x:f>
        <x:v>#NAME?</x:v>
      </x:c>
      <x:c r="I842" s="27" t="e">
        <x:f>IF($A842="","",IF(발령대장_설정!$B$8="","",발령대장_설정!$B$8))</x:f>
        <x:v>#NAME?</x:v>
      </x:c>
      <x:c r="J842" s="27" t="str">
        <x:f>""</x:f>
      </x:c>
    </x:row>
    <x:row r="843" ht="42" customHeight="1">
      <x:c r="A843" s="47" t="e">
        <x:f>IF(AND(대장!A421&lt;&gt;"",ISNUMBER(대장!F421),OR(대장!G421="",AND(ISNUMBER(대장!G421),대장!G421&gt;=대장!F421))),대장!F421,"")</x:f>
        <x:v>#NAME?</x:v>
      </x:c>
      <x:c r="B843" s="27" t="e">
        <x:f>IF($A843="","",IF(발령대장_설정!$B$4="","",발령대장_설정!$B$4))</x:f>
        <x:v>#NAME?</x:v>
      </x:c>
      <x:c r="C843" s="27" t="e">
        <x:f>IF($A843="","",대장!D421)</x:f>
        <x:v>#NAME?</x:v>
      </x:c>
      <x:c r="D843" s="27" t="e">
        <x:f>IF($A843="","",대장!A421)</x:f>
        <x:v>#NAME?</x:v>
      </x:c>
      <x:c r="E843" s="27" t="e">
        <x:f>IF($A843="","",IF(대장!J421&lt;&gt;"",대장!J421,대장!D421&amp;"에 임함"&amp;IF(대장!E421="","",CHAR(10)&amp;"고용형태: "&amp;대장!E421)&amp;IF(대장!I421="","",CHAR(10)&amp;"소정근로시간: "&amp;대장!I421)&amp;CHAR(10)&amp;"근로기간: "&amp;YEAR(대장!F421)&amp;"."&amp;MONTH(대장!F421)&amp;"."&amp;DAY(대장!F421)&amp;"."&amp;" ~ "&amp;IF(ISNUMBER(대장!G421),YEAR(대장!G421)&amp;"."&amp;MONTH(대장!G421)&amp;"."&amp;DAY(대장!G421)&amp;".","재직 중")))</x:f>
        <x:v>#NAME?</x:v>
      </x:c>
      <x:c r="F843" s="27" t="e">
        <x:f>IF($A843="","",IF(발령대장_설정!$B$5="","",발령대장_설정!$B$5))</x:f>
        <x:v>#NAME?</x:v>
      </x:c>
      <x:c r="G843" s="27" t="e">
        <x:f>IF($A843="","",IF(발령대장_설정!$B$6="","",발령대장_설정!$B$6))</x:f>
        <x:v>#NAME?</x:v>
      </x:c>
      <x:c r="H843" s="27" t="e">
        <x:f>IF($A843="","",IF(발령대장_설정!$B$7="","",발령대장_설정!$B$7))</x:f>
        <x:v>#NAME?</x:v>
      </x:c>
      <x:c r="I843" s="27" t="e">
        <x:f>IF($A843="","",IF(발령대장_설정!$B$8="","",발령대장_설정!$B$8))</x:f>
        <x:v>#NAME?</x:v>
      </x:c>
      <x:c r="J843" s="27" t="e">
        <x:f>IF($A843="","",IF(대장!K421="","",대장!K421))</x:f>
        <x:v>#NAME?</x:v>
      </x:c>
    </x:row>
    <x:row r="844" ht="42" customHeight="1">
      <x:c r="A844" s="47" t="e">
        <x:f>IF(AND(대장!A421&lt;&gt;"",ISNUMBER(대장!F421),ISNUMBER(대장!G421),대장!G421&gt;=대장!F421,대장!H421&lt;&gt;""),대장!G421,"")</x:f>
        <x:v>#NAME?</x:v>
      </x:c>
      <x:c r="B844" s="27" t="e">
        <x:f>IF($A844="","",IF(발령대장_설정!$B$4="","",발령대장_설정!$B$4))</x:f>
        <x:v>#NAME?</x:v>
      </x:c>
      <x:c r="C844" s="27" t="e">
        <x:f>IF($A844="","",대장!D421)</x:f>
        <x:v>#NAME?</x:v>
      </x:c>
      <x:c r="D844" s="27" t="e">
        <x:f>IF($A844="","",대장!A421)</x:f>
        <x:v>#NAME?</x:v>
      </x:c>
      <x:c r="E844" s="27" t="e">
        <x:f>IF($A844="","",IF(OR(ISNUMBER(SEARCH("계약만료",대장!H421&amp;"")),ISNUMBER(SEARCH("기간만료",대장!H421&amp;""))),"계약기간 만료로 퇴직",IF(ISNUMBER(SEARCH("의원면직",대장!H421&amp;"")),"의원면직",IF(ISNUMBER(SEARCH("정년퇴직",대장!H421&amp;"")),"정년퇴직",대장!H421))))</x:f>
        <x:v>#NAME?</x:v>
      </x:c>
      <x:c r="F844" s="27" t="e">
        <x:f>IF($A844="","",IF(발령대장_설정!$B$5="","",발령대장_설정!$B$5))</x:f>
        <x:v>#NAME?</x:v>
      </x:c>
      <x:c r="G844" s="27" t="e">
        <x:f>IF($A844="","",IF(발령대장_설정!$B$6="","",발령대장_설정!$B$6))</x:f>
        <x:v>#NAME?</x:v>
      </x:c>
      <x:c r="H844" s="27" t="e">
        <x:f>IF($A844="","",IF(발령대장_설정!$B$7="","",발령대장_설정!$B$7))</x:f>
        <x:v>#NAME?</x:v>
      </x:c>
      <x:c r="I844" s="27" t="e">
        <x:f>IF($A844="","",IF(발령대장_설정!$B$8="","",발령대장_설정!$B$8))</x:f>
        <x:v>#NAME?</x:v>
      </x:c>
      <x:c r="J844" s="27" t="str">
        <x:f>""</x:f>
      </x:c>
    </x:row>
    <x:row r="845" ht="42" customHeight="1">
      <x:c r="A845" s="47" t="e">
        <x:f>IF(AND(대장!A422&lt;&gt;"",ISNUMBER(대장!F422),OR(대장!G422="",AND(ISNUMBER(대장!G422),대장!G422&gt;=대장!F422))),대장!F422,"")</x:f>
        <x:v>#NAME?</x:v>
      </x:c>
      <x:c r="B845" s="27" t="e">
        <x:f>IF($A845="","",IF(발령대장_설정!$B$4="","",발령대장_설정!$B$4))</x:f>
        <x:v>#NAME?</x:v>
      </x:c>
      <x:c r="C845" s="27" t="e">
        <x:f>IF($A845="","",대장!D422)</x:f>
        <x:v>#NAME?</x:v>
      </x:c>
      <x:c r="D845" s="27" t="e">
        <x:f>IF($A845="","",대장!A422)</x:f>
        <x:v>#NAME?</x:v>
      </x:c>
      <x:c r="E845" s="27" t="e">
        <x:f>IF($A845="","",IF(대장!J422&lt;&gt;"",대장!J422,대장!D422&amp;"에 임함"&amp;IF(대장!E422="","",CHAR(10)&amp;"고용형태: "&amp;대장!E422)&amp;IF(대장!I422="","",CHAR(10)&amp;"소정근로시간: "&amp;대장!I422)&amp;CHAR(10)&amp;"근로기간: "&amp;YEAR(대장!F422)&amp;"."&amp;MONTH(대장!F422)&amp;"."&amp;DAY(대장!F422)&amp;"."&amp;" ~ "&amp;IF(ISNUMBER(대장!G422),YEAR(대장!G422)&amp;"."&amp;MONTH(대장!G422)&amp;"."&amp;DAY(대장!G422)&amp;".","재직 중")))</x:f>
        <x:v>#NAME?</x:v>
      </x:c>
      <x:c r="F845" s="27" t="e">
        <x:f>IF($A845="","",IF(발령대장_설정!$B$5="","",발령대장_설정!$B$5))</x:f>
        <x:v>#NAME?</x:v>
      </x:c>
      <x:c r="G845" s="27" t="e">
        <x:f>IF($A845="","",IF(발령대장_설정!$B$6="","",발령대장_설정!$B$6))</x:f>
        <x:v>#NAME?</x:v>
      </x:c>
      <x:c r="H845" s="27" t="e">
        <x:f>IF($A845="","",IF(발령대장_설정!$B$7="","",발령대장_설정!$B$7))</x:f>
        <x:v>#NAME?</x:v>
      </x:c>
      <x:c r="I845" s="27" t="e">
        <x:f>IF($A845="","",IF(발령대장_설정!$B$8="","",발령대장_설정!$B$8))</x:f>
        <x:v>#NAME?</x:v>
      </x:c>
      <x:c r="J845" s="27" t="e">
        <x:f>IF($A845="","",IF(대장!K422="","",대장!K422))</x:f>
        <x:v>#NAME?</x:v>
      </x:c>
    </x:row>
    <x:row r="846" ht="42" customHeight="1">
      <x:c r="A846" s="47" t="e">
        <x:f>IF(AND(대장!A422&lt;&gt;"",ISNUMBER(대장!F422),ISNUMBER(대장!G422),대장!G422&gt;=대장!F422,대장!H422&lt;&gt;""),대장!G422,"")</x:f>
        <x:v>#NAME?</x:v>
      </x:c>
      <x:c r="B846" s="27" t="e">
        <x:f>IF($A846="","",IF(발령대장_설정!$B$4="","",발령대장_설정!$B$4))</x:f>
        <x:v>#NAME?</x:v>
      </x:c>
      <x:c r="C846" s="27" t="e">
        <x:f>IF($A846="","",대장!D422)</x:f>
        <x:v>#NAME?</x:v>
      </x:c>
      <x:c r="D846" s="27" t="e">
        <x:f>IF($A846="","",대장!A422)</x:f>
        <x:v>#NAME?</x:v>
      </x:c>
      <x:c r="E846" s="27" t="e">
        <x:f>IF($A846="","",IF(OR(ISNUMBER(SEARCH("계약만료",대장!H422&amp;"")),ISNUMBER(SEARCH("기간만료",대장!H422&amp;""))),"계약기간 만료로 퇴직",IF(ISNUMBER(SEARCH("의원면직",대장!H422&amp;"")),"의원면직",IF(ISNUMBER(SEARCH("정년퇴직",대장!H422&amp;"")),"정년퇴직",대장!H422))))</x:f>
        <x:v>#NAME?</x:v>
      </x:c>
      <x:c r="F846" s="27" t="e">
        <x:f>IF($A846="","",IF(발령대장_설정!$B$5="","",발령대장_설정!$B$5))</x:f>
        <x:v>#NAME?</x:v>
      </x:c>
      <x:c r="G846" s="27" t="e">
        <x:f>IF($A846="","",IF(발령대장_설정!$B$6="","",발령대장_설정!$B$6))</x:f>
        <x:v>#NAME?</x:v>
      </x:c>
      <x:c r="H846" s="27" t="e">
        <x:f>IF($A846="","",IF(발령대장_설정!$B$7="","",발령대장_설정!$B$7))</x:f>
        <x:v>#NAME?</x:v>
      </x:c>
      <x:c r="I846" s="27" t="e">
        <x:f>IF($A846="","",IF(발령대장_설정!$B$8="","",발령대장_설정!$B$8))</x:f>
        <x:v>#NAME?</x:v>
      </x:c>
      <x:c r="J846" s="27" t="str">
        <x:f>""</x:f>
      </x:c>
    </x:row>
    <x:row r="847" ht="42" customHeight="1">
      <x:c r="A847" s="47" t="e">
        <x:f>IF(AND(대장!A423&lt;&gt;"",ISNUMBER(대장!F423),OR(대장!G423="",AND(ISNUMBER(대장!G423),대장!G423&gt;=대장!F423))),대장!F423,"")</x:f>
        <x:v>#NAME?</x:v>
      </x:c>
      <x:c r="B847" s="27" t="e">
        <x:f>IF($A847="","",IF(발령대장_설정!$B$4="","",발령대장_설정!$B$4))</x:f>
        <x:v>#NAME?</x:v>
      </x:c>
      <x:c r="C847" s="27" t="e">
        <x:f>IF($A847="","",대장!D423)</x:f>
        <x:v>#NAME?</x:v>
      </x:c>
      <x:c r="D847" s="27" t="e">
        <x:f>IF($A847="","",대장!A423)</x:f>
        <x:v>#NAME?</x:v>
      </x:c>
      <x:c r="E847" s="27" t="e">
        <x:f>IF($A847="","",IF(대장!J423&lt;&gt;"",대장!J423,대장!D423&amp;"에 임함"&amp;IF(대장!E423="","",CHAR(10)&amp;"고용형태: "&amp;대장!E423)&amp;IF(대장!I423="","",CHAR(10)&amp;"소정근로시간: "&amp;대장!I423)&amp;CHAR(10)&amp;"근로기간: "&amp;YEAR(대장!F423)&amp;"."&amp;MONTH(대장!F423)&amp;"."&amp;DAY(대장!F423)&amp;"."&amp;" ~ "&amp;IF(ISNUMBER(대장!G423),YEAR(대장!G423)&amp;"."&amp;MONTH(대장!G423)&amp;"."&amp;DAY(대장!G423)&amp;".","재직 중")))</x:f>
        <x:v>#NAME?</x:v>
      </x:c>
      <x:c r="F847" s="27" t="e">
        <x:f>IF($A847="","",IF(발령대장_설정!$B$5="","",발령대장_설정!$B$5))</x:f>
        <x:v>#NAME?</x:v>
      </x:c>
      <x:c r="G847" s="27" t="e">
        <x:f>IF($A847="","",IF(발령대장_설정!$B$6="","",발령대장_설정!$B$6))</x:f>
        <x:v>#NAME?</x:v>
      </x:c>
      <x:c r="H847" s="27" t="e">
        <x:f>IF($A847="","",IF(발령대장_설정!$B$7="","",발령대장_설정!$B$7))</x:f>
        <x:v>#NAME?</x:v>
      </x:c>
      <x:c r="I847" s="27" t="e">
        <x:f>IF($A847="","",IF(발령대장_설정!$B$8="","",발령대장_설정!$B$8))</x:f>
        <x:v>#NAME?</x:v>
      </x:c>
      <x:c r="J847" s="27" t="e">
        <x:f>IF($A847="","",IF(대장!K423="","",대장!K423))</x:f>
        <x:v>#NAME?</x:v>
      </x:c>
    </x:row>
    <x:row r="848" ht="42" customHeight="1">
      <x:c r="A848" s="47" t="e">
        <x:f>IF(AND(대장!A423&lt;&gt;"",ISNUMBER(대장!F423),ISNUMBER(대장!G423),대장!G423&gt;=대장!F423,대장!H423&lt;&gt;""),대장!G423,"")</x:f>
        <x:v>#NAME?</x:v>
      </x:c>
      <x:c r="B848" s="27" t="e">
        <x:f>IF($A848="","",IF(발령대장_설정!$B$4="","",발령대장_설정!$B$4))</x:f>
        <x:v>#NAME?</x:v>
      </x:c>
      <x:c r="C848" s="27" t="e">
        <x:f>IF($A848="","",대장!D423)</x:f>
        <x:v>#NAME?</x:v>
      </x:c>
      <x:c r="D848" s="27" t="e">
        <x:f>IF($A848="","",대장!A423)</x:f>
        <x:v>#NAME?</x:v>
      </x:c>
      <x:c r="E848" s="27" t="e">
        <x:f>IF($A848="","",IF(OR(ISNUMBER(SEARCH("계약만료",대장!H423&amp;"")),ISNUMBER(SEARCH("기간만료",대장!H423&amp;""))),"계약기간 만료로 퇴직",IF(ISNUMBER(SEARCH("의원면직",대장!H423&amp;"")),"의원면직",IF(ISNUMBER(SEARCH("정년퇴직",대장!H423&amp;"")),"정년퇴직",대장!H423))))</x:f>
        <x:v>#NAME?</x:v>
      </x:c>
      <x:c r="F848" s="27" t="e">
        <x:f>IF($A848="","",IF(발령대장_설정!$B$5="","",발령대장_설정!$B$5))</x:f>
        <x:v>#NAME?</x:v>
      </x:c>
      <x:c r="G848" s="27" t="e">
        <x:f>IF($A848="","",IF(발령대장_설정!$B$6="","",발령대장_설정!$B$6))</x:f>
        <x:v>#NAME?</x:v>
      </x:c>
      <x:c r="H848" s="27" t="e">
        <x:f>IF($A848="","",IF(발령대장_설정!$B$7="","",발령대장_설정!$B$7))</x:f>
        <x:v>#NAME?</x:v>
      </x:c>
      <x:c r="I848" s="27" t="e">
        <x:f>IF($A848="","",IF(발령대장_설정!$B$8="","",발령대장_설정!$B$8))</x:f>
        <x:v>#NAME?</x:v>
      </x:c>
      <x:c r="J848" s="27" t="str">
        <x:f>""</x:f>
      </x:c>
    </x:row>
    <x:row r="849" ht="42" customHeight="1">
      <x:c r="A849" s="47" t="e">
        <x:f>IF(AND(대장!A424&lt;&gt;"",ISNUMBER(대장!F424),OR(대장!G424="",AND(ISNUMBER(대장!G424),대장!G424&gt;=대장!F424))),대장!F424,"")</x:f>
        <x:v>#NAME?</x:v>
      </x:c>
      <x:c r="B849" s="27" t="e">
        <x:f>IF($A849="","",IF(발령대장_설정!$B$4="","",발령대장_설정!$B$4))</x:f>
        <x:v>#NAME?</x:v>
      </x:c>
      <x:c r="C849" s="27" t="e">
        <x:f>IF($A849="","",대장!D424)</x:f>
        <x:v>#NAME?</x:v>
      </x:c>
      <x:c r="D849" s="27" t="e">
        <x:f>IF($A849="","",대장!A424)</x:f>
        <x:v>#NAME?</x:v>
      </x:c>
      <x:c r="E849" s="27" t="e">
        <x:f>IF($A849="","",IF(대장!J424&lt;&gt;"",대장!J424,대장!D424&amp;"에 임함"&amp;IF(대장!E424="","",CHAR(10)&amp;"고용형태: "&amp;대장!E424)&amp;IF(대장!I424="","",CHAR(10)&amp;"소정근로시간: "&amp;대장!I424)&amp;CHAR(10)&amp;"근로기간: "&amp;YEAR(대장!F424)&amp;"."&amp;MONTH(대장!F424)&amp;"."&amp;DAY(대장!F424)&amp;"."&amp;" ~ "&amp;IF(ISNUMBER(대장!G424),YEAR(대장!G424)&amp;"."&amp;MONTH(대장!G424)&amp;"."&amp;DAY(대장!G424)&amp;".","재직 중")))</x:f>
        <x:v>#NAME?</x:v>
      </x:c>
      <x:c r="F849" s="27" t="e">
        <x:f>IF($A849="","",IF(발령대장_설정!$B$5="","",발령대장_설정!$B$5))</x:f>
        <x:v>#NAME?</x:v>
      </x:c>
      <x:c r="G849" s="27" t="e">
        <x:f>IF($A849="","",IF(발령대장_설정!$B$6="","",발령대장_설정!$B$6))</x:f>
        <x:v>#NAME?</x:v>
      </x:c>
      <x:c r="H849" s="27" t="e">
        <x:f>IF($A849="","",IF(발령대장_설정!$B$7="","",발령대장_설정!$B$7))</x:f>
        <x:v>#NAME?</x:v>
      </x:c>
      <x:c r="I849" s="27" t="e">
        <x:f>IF($A849="","",IF(발령대장_설정!$B$8="","",발령대장_설정!$B$8))</x:f>
        <x:v>#NAME?</x:v>
      </x:c>
      <x:c r="J849" s="27" t="e">
        <x:f>IF($A849="","",IF(대장!K424="","",대장!K424))</x:f>
        <x:v>#NAME?</x:v>
      </x:c>
    </x:row>
    <x:row r="850" ht="42" customHeight="1">
      <x:c r="A850" s="47" t="e">
        <x:f>IF(AND(대장!A424&lt;&gt;"",ISNUMBER(대장!F424),ISNUMBER(대장!G424),대장!G424&gt;=대장!F424,대장!H424&lt;&gt;""),대장!G424,"")</x:f>
        <x:v>#NAME?</x:v>
      </x:c>
      <x:c r="B850" s="27" t="e">
        <x:f>IF($A850="","",IF(발령대장_설정!$B$4="","",발령대장_설정!$B$4))</x:f>
        <x:v>#NAME?</x:v>
      </x:c>
      <x:c r="C850" s="27" t="e">
        <x:f>IF($A850="","",대장!D424)</x:f>
        <x:v>#NAME?</x:v>
      </x:c>
      <x:c r="D850" s="27" t="e">
        <x:f>IF($A850="","",대장!A424)</x:f>
        <x:v>#NAME?</x:v>
      </x:c>
      <x:c r="E850" s="27" t="e">
        <x:f>IF($A850="","",IF(OR(ISNUMBER(SEARCH("계약만료",대장!H424&amp;"")),ISNUMBER(SEARCH("기간만료",대장!H424&amp;""))),"계약기간 만료로 퇴직",IF(ISNUMBER(SEARCH("의원면직",대장!H424&amp;"")),"의원면직",IF(ISNUMBER(SEARCH("정년퇴직",대장!H424&amp;"")),"정년퇴직",대장!H424))))</x:f>
        <x:v>#NAME?</x:v>
      </x:c>
      <x:c r="F850" s="27" t="e">
        <x:f>IF($A850="","",IF(발령대장_설정!$B$5="","",발령대장_설정!$B$5))</x:f>
        <x:v>#NAME?</x:v>
      </x:c>
      <x:c r="G850" s="27" t="e">
        <x:f>IF($A850="","",IF(발령대장_설정!$B$6="","",발령대장_설정!$B$6))</x:f>
        <x:v>#NAME?</x:v>
      </x:c>
      <x:c r="H850" s="27" t="e">
        <x:f>IF($A850="","",IF(발령대장_설정!$B$7="","",발령대장_설정!$B$7))</x:f>
        <x:v>#NAME?</x:v>
      </x:c>
      <x:c r="I850" s="27" t="e">
        <x:f>IF($A850="","",IF(발령대장_설정!$B$8="","",발령대장_설정!$B$8))</x:f>
        <x:v>#NAME?</x:v>
      </x:c>
      <x:c r="J850" s="27" t="str">
        <x:f>""</x:f>
      </x:c>
    </x:row>
    <x:row r="851" ht="42" customHeight="1">
      <x:c r="A851" s="47" t="e">
        <x:f>IF(AND(대장!A425&lt;&gt;"",ISNUMBER(대장!F425),OR(대장!G425="",AND(ISNUMBER(대장!G425),대장!G425&gt;=대장!F425))),대장!F425,"")</x:f>
        <x:v>#NAME?</x:v>
      </x:c>
      <x:c r="B851" s="27" t="e">
        <x:f>IF($A851="","",IF(발령대장_설정!$B$4="","",발령대장_설정!$B$4))</x:f>
        <x:v>#NAME?</x:v>
      </x:c>
      <x:c r="C851" s="27" t="e">
        <x:f>IF($A851="","",대장!D425)</x:f>
        <x:v>#NAME?</x:v>
      </x:c>
      <x:c r="D851" s="27" t="e">
        <x:f>IF($A851="","",대장!A425)</x:f>
        <x:v>#NAME?</x:v>
      </x:c>
      <x:c r="E851" s="27" t="e">
        <x:f>IF($A851="","",IF(대장!J425&lt;&gt;"",대장!J425,대장!D425&amp;"에 임함"&amp;IF(대장!E425="","",CHAR(10)&amp;"고용형태: "&amp;대장!E425)&amp;IF(대장!I425="","",CHAR(10)&amp;"소정근로시간: "&amp;대장!I425)&amp;CHAR(10)&amp;"근로기간: "&amp;YEAR(대장!F425)&amp;"."&amp;MONTH(대장!F425)&amp;"."&amp;DAY(대장!F425)&amp;"."&amp;" ~ "&amp;IF(ISNUMBER(대장!G425),YEAR(대장!G425)&amp;"."&amp;MONTH(대장!G425)&amp;"."&amp;DAY(대장!G425)&amp;".","재직 중")))</x:f>
        <x:v>#NAME?</x:v>
      </x:c>
      <x:c r="F851" s="27" t="e">
        <x:f>IF($A851="","",IF(발령대장_설정!$B$5="","",발령대장_설정!$B$5))</x:f>
        <x:v>#NAME?</x:v>
      </x:c>
      <x:c r="G851" s="27" t="e">
        <x:f>IF($A851="","",IF(발령대장_설정!$B$6="","",발령대장_설정!$B$6))</x:f>
        <x:v>#NAME?</x:v>
      </x:c>
      <x:c r="H851" s="27" t="e">
        <x:f>IF($A851="","",IF(발령대장_설정!$B$7="","",발령대장_설정!$B$7))</x:f>
        <x:v>#NAME?</x:v>
      </x:c>
      <x:c r="I851" s="27" t="e">
        <x:f>IF($A851="","",IF(발령대장_설정!$B$8="","",발령대장_설정!$B$8))</x:f>
        <x:v>#NAME?</x:v>
      </x:c>
      <x:c r="J851" s="27" t="e">
        <x:f>IF($A851="","",IF(대장!K425="","",대장!K425))</x:f>
        <x:v>#NAME?</x:v>
      </x:c>
    </x:row>
    <x:row r="852" ht="42" customHeight="1">
      <x:c r="A852" s="47" t="e">
        <x:f>IF(AND(대장!A425&lt;&gt;"",ISNUMBER(대장!F425),ISNUMBER(대장!G425),대장!G425&gt;=대장!F425,대장!H425&lt;&gt;""),대장!G425,"")</x:f>
        <x:v>#NAME?</x:v>
      </x:c>
      <x:c r="B852" s="27" t="e">
        <x:f>IF($A852="","",IF(발령대장_설정!$B$4="","",발령대장_설정!$B$4))</x:f>
        <x:v>#NAME?</x:v>
      </x:c>
      <x:c r="C852" s="27" t="e">
        <x:f>IF($A852="","",대장!D425)</x:f>
        <x:v>#NAME?</x:v>
      </x:c>
      <x:c r="D852" s="27" t="e">
        <x:f>IF($A852="","",대장!A425)</x:f>
        <x:v>#NAME?</x:v>
      </x:c>
      <x:c r="E852" s="27" t="e">
        <x:f>IF($A852="","",IF(OR(ISNUMBER(SEARCH("계약만료",대장!H425&amp;"")),ISNUMBER(SEARCH("기간만료",대장!H425&amp;""))),"계약기간 만료로 퇴직",IF(ISNUMBER(SEARCH("의원면직",대장!H425&amp;"")),"의원면직",IF(ISNUMBER(SEARCH("정년퇴직",대장!H425&amp;"")),"정년퇴직",대장!H425))))</x:f>
        <x:v>#NAME?</x:v>
      </x:c>
      <x:c r="F852" s="27" t="e">
        <x:f>IF($A852="","",IF(발령대장_설정!$B$5="","",발령대장_설정!$B$5))</x:f>
        <x:v>#NAME?</x:v>
      </x:c>
      <x:c r="G852" s="27" t="e">
        <x:f>IF($A852="","",IF(발령대장_설정!$B$6="","",발령대장_설정!$B$6))</x:f>
        <x:v>#NAME?</x:v>
      </x:c>
      <x:c r="H852" s="27" t="e">
        <x:f>IF($A852="","",IF(발령대장_설정!$B$7="","",발령대장_설정!$B$7))</x:f>
        <x:v>#NAME?</x:v>
      </x:c>
      <x:c r="I852" s="27" t="e">
        <x:f>IF($A852="","",IF(발령대장_설정!$B$8="","",발령대장_설정!$B$8))</x:f>
        <x:v>#NAME?</x:v>
      </x:c>
      <x:c r="J852" s="27" t="str">
        <x:f>""</x:f>
      </x:c>
    </x:row>
    <x:row r="853" ht="42" customHeight="1">
      <x:c r="A853" s="47" t="e">
        <x:f>IF(AND(대장!A426&lt;&gt;"",ISNUMBER(대장!F426),OR(대장!G426="",AND(ISNUMBER(대장!G426),대장!G426&gt;=대장!F426))),대장!F426,"")</x:f>
        <x:v>#NAME?</x:v>
      </x:c>
      <x:c r="B853" s="27" t="e">
        <x:f>IF($A853="","",IF(발령대장_설정!$B$4="","",발령대장_설정!$B$4))</x:f>
        <x:v>#NAME?</x:v>
      </x:c>
      <x:c r="C853" s="27" t="e">
        <x:f>IF($A853="","",대장!D426)</x:f>
        <x:v>#NAME?</x:v>
      </x:c>
      <x:c r="D853" s="27" t="e">
        <x:f>IF($A853="","",대장!A426)</x:f>
        <x:v>#NAME?</x:v>
      </x:c>
      <x:c r="E853" s="27" t="e">
        <x:f>IF($A853="","",IF(대장!J426&lt;&gt;"",대장!J426,대장!D426&amp;"에 임함"&amp;IF(대장!E426="","",CHAR(10)&amp;"고용형태: "&amp;대장!E426)&amp;IF(대장!I426="","",CHAR(10)&amp;"소정근로시간: "&amp;대장!I426)&amp;CHAR(10)&amp;"근로기간: "&amp;YEAR(대장!F426)&amp;"."&amp;MONTH(대장!F426)&amp;"."&amp;DAY(대장!F426)&amp;"."&amp;" ~ "&amp;IF(ISNUMBER(대장!G426),YEAR(대장!G426)&amp;"."&amp;MONTH(대장!G426)&amp;"."&amp;DAY(대장!G426)&amp;".","재직 중")))</x:f>
        <x:v>#NAME?</x:v>
      </x:c>
      <x:c r="F853" s="27" t="e">
        <x:f>IF($A853="","",IF(발령대장_설정!$B$5="","",발령대장_설정!$B$5))</x:f>
        <x:v>#NAME?</x:v>
      </x:c>
      <x:c r="G853" s="27" t="e">
        <x:f>IF($A853="","",IF(발령대장_설정!$B$6="","",발령대장_설정!$B$6))</x:f>
        <x:v>#NAME?</x:v>
      </x:c>
      <x:c r="H853" s="27" t="e">
        <x:f>IF($A853="","",IF(발령대장_설정!$B$7="","",발령대장_설정!$B$7))</x:f>
        <x:v>#NAME?</x:v>
      </x:c>
      <x:c r="I853" s="27" t="e">
        <x:f>IF($A853="","",IF(발령대장_설정!$B$8="","",발령대장_설정!$B$8))</x:f>
        <x:v>#NAME?</x:v>
      </x:c>
      <x:c r="J853" s="27" t="e">
        <x:f>IF($A853="","",IF(대장!K426="","",대장!K426))</x:f>
        <x:v>#NAME?</x:v>
      </x:c>
    </x:row>
    <x:row r="854" ht="42" customHeight="1">
      <x:c r="A854" s="47" t="e">
        <x:f>IF(AND(대장!A426&lt;&gt;"",ISNUMBER(대장!F426),ISNUMBER(대장!G426),대장!G426&gt;=대장!F426,대장!H426&lt;&gt;""),대장!G426,"")</x:f>
        <x:v>#NAME?</x:v>
      </x:c>
      <x:c r="B854" s="27" t="e">
        <x:f>IF($A854="","",IF(발령대장_설정!$B$4="","",발령대장_설정!$B$4))</x:f>
        <x:v>#NAME?</x:v>
      </x:c>
      <x:c r="C854" s="27" t="e">
        <x:f>IF($A854="","",대장!D426)</x:f>
        <x:v>#NAME?</x:v>
      </x:c>
      <x:c r="D854" s="27" t="e">
        <x:f>IF($A854="","",대장!A426)</x:f>
        <x:v>#NAME?</x:v>
      </x:c>
      <x:c r="E854" s="27" t="e">
        <x:f>IF($A854="","",IF(OR(ISNUMBER(SEARCH("계약만료",대장!H426&amp;"")),ISNUMBER(SEARCH("기간만료",대장!H426&amp;""))),"계약기간 만료로 퇴직",IF(ISNUMBER(SEARCH("의원면직",대장!H426&amp;"")),"의원면직",IF(ISNUMBER(SEARCH("정년퇴직",대장!H426&amp;"")),"정년퇴직",대장!H426))))</x:f>
        <x:v>#NAME?</x:v>
      </x:c>
      <x:c r="F854" s="27" t="e">
        <x:f>IF($A854="","",IF(발령대장_설정!$B$5="","",발령대장_설정!$B$5))</x:f>
        <x:v>#NAME?</x:v>
      </x:c>
      <x:c r="G854" s="27" t="e">
        <x:f>IF($A854="","",IF(발령대장_설정!$B$6="","",발령대장_설정!$B$6))</x:f>
        <x:v>#NAME?</x:v>
      </x:c>
      <x:c r="H854" s="27" t="e">
        <x:f>IF($A854="","",IF(발령대장_설정!$B$7="","",발령대장_설정!$B$7))</x:f>
        <x:v>#NAME?</x:v>
      </x:c>
      <x:c r="I854" s="27" t="e">
        <x:f>IF($A854="","",IF(발령대장_설정!$B$8="","",발령대장_설정!$B$8))</x:f>
        <x:v>#NAME?</x:v>
      </x:c>
      <x:c r="J854" s="27" t="str">
        <x:f>""</x:f>
      </x:c>
    </x:row>
    <x:row r="855" ht="42" customHeight="1">
      <x:c r="A855" s="47" t="e">
        <x:f>IF(AND(대장!A427&lt;&gt;"",ISNUMBER(대장!F427),OR(대장!G427="",AND(ISNUMBER(대장!G427),대장!G427&gt;=대장!F427))),대장!F427,"")</x:f>
        <x:v>#NAME?</x:v>
      </x:c>
      <x:c r="B855" s="27" t="e">
        <x:f>IF($A855="","",IF(발령대장_설정!$B$4="","",발령대장_설정!$B$4))</x:f>
        <x:v>#NAME?</x:v>
      </x:c>
      <x:c r="C855" s="27" t="e">
        <x:f>IF($A855="","",대장!D427)</x:f>
        <x:v>#NAME?</x:v>
      </x:c>
      <x:c r="D855" s="27" t="e">
        <x:f>IF($A855="","",대장!A427)</x:f>
        <x:v>#NAME?</x:v>
      </x:c>
      <x:c r="E855" s="27" t="e">
        <x:f>IF($A855="","",IF(대장!J427&lt;&gt;"",대장!J427,대장!D427&amp;"에 임함"&amp;IF(대장!E427="","",CHAR(10)&amp;"고용형태: "&amp;대장!E427)&amp;IF(대장!I427="","",CHAR(10)&amp;"소정근로시간: "&amp;대장!I427)&amp;CHAR(10)&amp;"근로기간: "&amp;YEAR(대장!F427)&amp;"."&amp;MONTH(대장!F427)&amp;"."&amp;DAY(대장!F427)&amp;"."&amp;" ~ "&amp;IF(ISNUMBER(대장!G427),YEAR(대장!G427)&amp;"."&amp;MONTH(대장!G427)&amp;"."&amp;DAY(대장!G427)&amp;".","재직 중")))</x:f>
        <x:v>#NAME?</x:v>
      </x:c>
      <x:c r="F855" s="27" t="e">
        <x:f>IF($A855="","",IF(발령대장_설정!$B$5="","",발령대장_설정!$B$5))</x:f>
        <x:v>#NAME?</x:v>
      </x:c>
      <x:c r="G855" s="27" t="e">
        <x:f>IF($A855="","",IF(발령대장_설정!$B$6="","",발령대장_설정!$B$6))</x:f>
        <x:v>#NAME?</x:v>
      </x:c>
      <x:c r="H855" s="27" t="e">
        <x:f>IF($A855="","",IF(발령대장_설정!$B$7="","",발령대장_설정!$B$7))</x:f>
        <x:v>#NAME?</x:v>
      </x:c>
      <x:c r="I855" s="27" t="e">
        <x:f>IF($A855="","",IF(발령대장_설정!$B$8="","",발령대장_설정!$B$8))</x:f>
        <x:v>#NAME?</x:v>
      </x:c>
      <x:c r="J855" s="27" t="e">
        <x:f>IF($A855="","",IF(대장!K427="","",대장!K427))</x:f>
        <x:v>#NAME?</x:v>
      </x:c>
    </x:row>
    <x:row r="856" ht="42" customHeight="1">
      <x:c r="A856" s="47" t="e">
        <x:f>IF(AND(대장!A427&lt;&gt;"",ISNUMBER(대장!F427),ISNUMBER(대장!G427),대장!G427&gt;=대장!F427,대장!H427&lt;&gt;""),대장!G427,"")</x:f>
        <x:v>#NAME?</x:v>
      </x:c>
      <x:c r="B856" s="27" t="e">
        <x:f>IF($A856="","",IF(발령대장_설정!$B$4="","",발령대장_설정!$B$4))</x:f>
        <x:v>#NAME?</x:v>
      </x:c>
      <x:c r="C856" s="27" t="e">
        <x:f>IF($A856="","",대장!D427)</x:f>
        <x:v>#NAME?</x:v>
      </x:c>
      <x:c r="D856" s="27" t="e">
        <x:f>IF($A856="","",대장!A427)</x:f>
        <x:v>#NAME?</x:v>
      </x:c>
      <x:c r="E856" s="27" t="e">
        <x:f>IF($A856="","",IF(OR(ISNUMBER(SEARCH("계약만료",대장!H427&amp;"")),ISNUMBER(SEARCH("기간만료",대장!H427&amp;""))),"계약기간 만료로 퇴직",IF(ISNUMBER(SEARCH("의원면직",대장!H427&amp;"")),"의원면직",IF(ISNUMBER(SEARCH("정년퇴직",대장!H427&amp;"")),"정년퇴직",대장!H427))))</x:f>
        <x:v>#NAME?</x:v>
      </x:c>
      <x:c r="F856" s="27" t="e">
        <x:f>IF($A856="","",IF(발령대장_설정!$B$5="","",발령대장_설정!$B$5))</x:f>
        <x:v>#NAME?</x:v>
      </x:c>
      <x:c r="G856" s="27" t="e">
        <x:f>IF($A856="","",IF(발령대장_설정!$B$6="","",발령대장_설정!$B$6))</x:f>
        <x:v>#NAME?</x:v>
      </x:c>
      <x:c r="H856" s="27" t="e">
        <x:f>IF($A856="","",IF(발령대장_설정!$B$7="","",발령대장_설정!$B$7))</x:f>
        <x:v>#NAME?</x:v>
      </x:c>
      <x:c r="I856" s="27" t="e">
        <x:f>IF($A856="","",IF(발령대장_설정!$B$8="","",발령대장_설정!$B$8))</x:f>
        <x:v>#NAME?</x:v>
      </x:c>
      <x:c r="J856" s="27" t="str">
        <x:f>""</x:f>
      </x:c>
    </x:row>
    <x:row r="857" ht="42" customHeight="1">
      <x:c r="A857" s="47" t="e">
        <x:f>IF(AND(대장!A428&lt;&gt;"",ISNUMBER(대장!F428),OR(대장!G428="",AND(ISNUMBER(대장!G428),대장!G428&gt;=대장!F428))),대장!F428,"")</x:f>
        <x:v>#NAME?</x:v>
      </x:c>
      <x:c r="B857" s="27" t="e">
        <x:f>IF($A857="","",IF(발령대장_설정!$B$4="","",발령대장_설정!$B$4))</x:f>
        <x:v>#NAME?</x:v>
      </x:c>
      <x:c r="C857" s="27" t="e">
        <x:f>IF($A857="","",대장!D428)</x:f>
        <x:v>#NAME?</x:v>
      </x:c>
      <x:c r="D857" s="27" t="e">
        <x:f>IF($A857="","",대장!A428)</x:f>
        <x:v>#NAME?</x:v>
      </x:c>
      <x:c r="E857" s="27" t="e">
        <x:f>IF($A857="","",IF(대장!J428&lt;&gt;"",대장!J428,대장!D428&amp;"에 임함"&amp;IF(대장!E428="","",CHAR(10)&amp;"고용형태: "&amp;대장!E428)&amp;IF(대장!I428="","",CHAR(10)&amp;"소정근로시간: "&amp;대장!I428)&amp;CHAR(10)&amp;"근로기간: "&amp;YEAR(대장!F428)&amp;"."&amp;MONTH(대장!F428)&amp;"."&amp;DAY(대장!F428)&amp;"."&amp;" ~ "&amp;IF(ISNUMBER(대장!G428),YEAR(대장!G428)&amp;"."&amp;MONTH(대장!G428)&amp;"."&amp;DAY(대장!G428)&amp;".","재직 중")))</x:f>
        <x:v>#NAME?</x:v>
      </x:c>
      <x:c r="F857" s="27" t="e">
        <x:f>IF($A857="","",IF(발령대장_설정!$B$5="","",발령대장_설정!$B$5))</x:f>
        <x:v>#NAME?</x:v>
      </x:c>
      <x:c r="G857" s="27" t="e">
        <x:f>IF($A857="","",IF(발령대장_설정!$B$6="","",발령대장_설정!$B$6))</x:f>
        <x:v>#NAME?</x:v>
      </x:c>
      <x:c r="H857" s="27" t="e">
        <x:f>IF($A857="","",IF(발령대장_설정!$B$7="","",발령대장_설정!$B$7))</x:f>
        <x:v>#NAME?</x:v>
      </x:c>
      <x:c r="I857" s="27" t="e">
        <x:f>IF($A857="","",IF(발령대장_설정!$B$8="","",발령대장_설정!$B$8))</x:f>
        <x:v>#NAME?</x:v>
      </x:c>
      <x:c r="J857" s="27" t="e">
        <x:f>IF($A857="","",IF(대장!K428="","",대장!K428))</x:f>
        <x:v>#NAME?</x:v>
      </x:c>
    </x:row>
    <x:row r="858" ht="42" customHeight="1">
      <x:c r="A858" s="47" t="e">
        <x:f>IF(AND(대장!A428&lt;&gt;"",ISNUMBER(대장!F428),ISNUMBER(대장!G428),대장!G428&gt;=대장!F428,대장!H428&lt;&gt;""),대장!G428,"")</x:f>
        <x:v>#NAME?</x:v>
      </x:c>
      <x:c r="B858" s="27" t="e">
        <x:f>IF($A858="","",IF(발령대장_설정!$B$4="","",발령대장_설정!$B$4))</x:f>
        <x:v>#NAME?</x:v>
      </x:c>
      <x:c r="C858" s="27" t="e">
        <x:f>IF($A858="","",대장!D428)</x:f>
        <x:v>#NAME?</x:v>
      </x:c>
      <x:c r="D858" s="27" t="e">
        <x:f>IF($A858="","",대장!A428)</x:f>
        <x:v>#NAME?</x:v>
      </x:c>
      <x:c r="E858" s="27" t="e">
        <x:f>IF($A858="","",IF(OR(ISNUMBER(SEARCH("계약만료",대장!H428&amp;"")),ISNUMBER(SEARCH("기간만료",대장!H428&amp;""))),"계약기간 만료로 퇴직",IF(ISNUMBER(SEARCH("의원면직",대장!H428&amp;"")),"의원면직",IF(ISNUMBER(SEARCH("정년퇴직",대장!H428&amp;"")),"정년퇴직",대장!H428))))</x:f>
        <x:v>#NAME?</x:v>
      </x:c>
      <x:c r="F858" s="27" t="e">
        <x:f>IF($A858="","",IF(발령대장_설정!$B$5="","",발령대장_설정!$B$5))</x:f>
        <x:v>#NAME?</x:v>
      </x:c>
      <x:c r="G858" s="27" t="e">
        <x:f>IF($A858="","",IF(발령대장_설정!$B$6="","",발령대장_설정!$B$6))</x:f>
        <x:v>#NAME?</x:v>
      </x:c>
      <x:c r="H858" s="27" t="e">
        <x:f>IF($A858="","",IF(발령대장_설정!$B$7="","",발령대장_설정!$B$7))</x:f>
        <x:v>#NAME?</x:v>
      </x:c>
      <x:c r="I858" s="27" t="e">
        <x:f>IF($A858="","",IF(발령대장_설정!$B$8="","",발령대장_설정!$B$8))</x:f>
        <x:v>#NAME?</x:v>
      </x:c>
      <x:c r="J858" s="27" t="str">
        <x:f>""</x:f>
      </x:c>
    </x:row>
    <x:row r="859" ht="42" customHeight="1">
      <x:c r="A859" s="47" t="e">
        <x:f>IF(AND(대장!A429&lt;&gt;"",ISNUMBER(대장!F429),OR(대장!G429="",AND(ISNUMBER(대장!G429),대장!G429&gt;=대장!F429))),대장!F429,"")</x:f>
        <x:v>#NAME?</x:v>
      </x:c>
      <x:c r="B859" s="27" t="e">
        <x:f>IF($A859="","",IF(발령대장_설정!$B$4="","",발령대장_설정!$B$4))</x:f>
        <x:v>#NAME?</x:v>
      </x:c>
      <x:c r="C859" s="27" t="e">
        <x:f>IF($A859="","",대장!D429)</x:f>
        <x:v>#NAME?</x:v>
      </x:c>
      <x:c r="D859" s="27" t="e">
        <x:f>IF($A859="","",대장!A429)</x:f>
        <x:v>#NAME?</x:v>
      </x:c>
      <x:c r="E859" s="27" t="e">
        <x:f>IF($A859="","",IF(대장!J429&lt;&gt;"",대장!J429,대장!D429&amp;"에 임함"&amp;IF(대장!E429="","",CHAR(10)&amp;"고용형태: "&amp;대장!E429)&amp;IF(대장!I429="","",CHAR(10)&amp;"소정근로시간: "&amp;대장!I429)&amp;CHAR(10)&amp;"근로기간: "&amp;YEAR(대장!F429)&amp;"."&amp;MONTH(대장!F429)&amp;"."&amp;DAY(대장!F429)&amp;"."&amp;" ~ "&amp;IF(ISNUMBER(대장!G429),YEAR(대장!G429)&amp;"."&amp;MONTH(대장!G429)&amp;"."&amp;DAY(대장!G429)&amp;".","재직 중")))</x:f>
        <x:v>#NAME?</x:v>
      </x:c>
      <x:c r="F859" s="27" t="e">
        <x:f>IF($A859="","",IF(발령대장_설정!$B$5="","",발령대장_설정!$B$5))</x:f>
        <x:v>#NAME?</x:v>
      </x:c>
      <x:c r="G859" s="27" t="e">
        <x:f>IF($A859="","",IF(발령대장_설정!$B$6="","",발령대장_설정!$B$6))</x:f>
        <x:v>#NAME?</x:v>
      </x:c>
      <x:c r="H859" s="27" t="e">
        <x:f>IF($A859="","",IF(발령대장_설정!$B$7="","",발령대장_설정!$B$7))</x:f>
        <x:v>#NAME?</x:v>
      </x:c>
      <x:c r="I859" s="27" t="e">
        <x:f>IF($A859="","",IF(발령대장_설정!$B$8="","",발령대장_설정!$B$8))</x:f>
        <x:v>#NAME?</x:v>
      </x:c>
      <x:c r="J859" s="27" t="e">
        <x:f>IF($A859="","",IF(대장!K429="","",대장!K429))</x:f>
        <x:v>#NAME?</x:v>
      </x:c>
    </x:row>
    <x:row r="860" ht="42" customHeight="1">
      <x:c r="A860" s="47" t="e">
        <x:f>IF(AND(대장!A429&lt;&gt;"",ISNUMBER(대장!F429),ISNUMBER(대장!G429),대장!G429&gt;=대장!F429,대장!H429&lt;&gt;""),대장!G429,"")</x:f>
        <x:v>#NAME?</x:v>
      </x:c>
      <x:c r="B860" s="27" t="e">
        <x:f>IF($A860="","",IF(발령대장_설정!$B$4="","",발령대장_설정!$B$4))</x:f>
        <x:v>#NAME?</x:v>
      </x:c>
      <x:c r="C860" s="27" t="e">
        <x:f>IF($A860="","",대장!D429)</x:f>
        <x:v>#NAME?</x:v>
      </x:c>
      <x:c r="D860" s="27" t="e">
        <x:f>IF($A860="","",대장!A429)</x:f>
        <x:v>#NAME?</x:v>
      </x:c>
      <x:c r="E860" s="27" t="e">
        <x:f>IF($A860="","",IF(OR(ISNUMBER(SEARCH("계약만료",대장!H429&amp;"")),ISNUMBER(SEARCH("기간만료",대장!H429&amp;""))),"계약기간 만료로 퇴직",IF(ISNUMBER(SEARCH("의원면직",대장!H429&amp;"")),"의원면직",IF(ISNUMBER(SEARCH("정년퇴직",대장!H429&amp;"")),"정년퇴직",대장!H429))))</x:f>
        <x:v>#NAME?</x:v>
      </x:c>
      <x:c r="F860" s="27" t="e">
        <x:f>IF($A860="","",IF(발령대장_설정!$B$5="","",발령대장_설정!$B$5))</x:f>
        <x:v>#NAME?</x:v>
      </x:c>
      <x:c r="G860" s="27" t="e">
        <x:f>IF($A860="","",IF(발령대장_설정!$B$6="","",발령대장_설정!$B$6))</x:f>
        <x:v>#NAME?</x:v>
      </x:c>
      <x:c r="H860" s="27" t="e">
        <x:f>IF($A860="","",IF(발령대장_설정!$B$7="","",발령대장_설정!$B$7))</x:f>
        <x:v>#NAME?</x:v>
      </x:c>
      <x:c r="I860" s="27" t="e">
        <x:f>IF($A860="","",IF(발령대장_설정!$B$8="","",발령대장_설정!$B$8))</x:f>
        <x:v>#NAME?</x:v>
      </x:c>
      <x:c r="J860" s="27" t="str">
        <x:f>""</x:f>
      </x:c>
    </x:row>
    <x:row r="861" ht="42" customHeight="1">
      <x:c r="A861" s="47" t="e">
        <x:f>IF(AND(대장!A430&lt;&gt;"",ISNUMBER(대장!F430),OR(대장!G430="",AND(ISNUMBER(대장!G430),대장!G430&gt;=대장!F430))),대장!F430,"")</x:f>
        <x:v>#NAME?</x:v>
      </x:c>
      <x:c r="B861" s="27" t="e">
        <x:f>IF($A861="","",IF(발령대장_설정!$B$4="","",발령대장_설정!$B$4))</x:f>
        <x:v>#NAME?</x:v>
      </x:c>
      <x:c r="C861" s="27" t="e">
        <x:f>IF($A861="","",대장!D430)</x:f>
        <x:v>#NAME?</x:v>
      </x:c>
      <x:c r="D861" s="27" t="e">
        <x:f>IF($A861="","",대장!A430)</x:f>
        <x:v>#NAME?</x:v>
      </x:c>
      <x:c r="E861" s="27" t="e">
        <x:f>IF($A861="","",IF(대장!J430&lt;&gt;"",대장!J430,대장!D430&amp;"에 임함"&amp;IF(대장!E430="","",CHAR(10)&amp;"고용형태: "&amp;대장!E430)&amp;IF(대장!I430="","",CHAR(10)&amp;"소정근로시간: "&amp;대장!I430)&amp;CHAR(10)&amp;"근로기간: "&amp;YEAR(대장!F430)&amp;"."&amp;MONTH(대장!F430)&amp;"."&amp;DAY(대장!F430)&amp;"."&amp;" ~ "&amp;IF(ISNUMBER(대장!G430),YEAR(대장!G430)&amp;"."&amp;MONTH(대장!G430)&amp;"."&amp;DAY(대장!G430)&amp;".","재직 중")))</x:f>
        <x:v>#NAME?</x:v>
      </x:c>
      <x:c r="F861" s="27" t="e">
        <x:f>IF($A861="","",IF(발령대장_설정!$B$5="","",발령대장_설정!$B$5))</x:f>
        <x:v>#NAME?</x:v>
      </x:c>
      <x:c r="G861" s="27" t="e">
        <x:f>IF($A861="","",IF(발령대장_설정!$B$6="","",발령대장_설정!$B$6))</x:f>
        <x:v>#NAME?</x:v>
      </x:c>
      <x:c r="H861" s="27" t="e">
        <x:f>IF($A861="","",IF(발령대장_설정!$B$7="","",발령대장_설정!$B$7))</x:f>
        <x:v>#NAME?</x:v>
      </x:c>
      <x:c r="I861" s="27" t="e">
        <x:f>IF($A861="","",IF(발령대장_설정!$B$8="","",발령대장_설정!$B$8))</x:f>
        <x:v>#NAME?</x:v>
      </x:c>
      <x:c r="J861" s="27" t="e">
        <x:f>IF($A861="","",IF(대장!K430="","",대장!K430))</x:f>
        <x:v>#NAME?</x:v>
      </x:c>
    </x:row>
    <x:row r="862" ht="42" customHeight="1">
      <x:c r="A862" s="47" t="e">
        <x:f>IF(AND(대장!A430&lt;&gt;"",ISNUMBER(대장!F430),ISNUMBER(대장!G430),대장!G430&gt;=대장!F430,대장!H430&lt;&gt;""),대장!G430,"")</x:f>
        <x:v>#NAME?</x:v>
      </x:c>
      <x:c r="B862" s="27" t="e">
        <x:f>IF($A862="","",IF(발령대장_설정!$B$4="","",발령대장_설정!$B$4))</x:f>
        <x:v>#NAME?</x:v>
      </x:c>
      <x:c r="C862" s="27" t="e">
        <x:f>IF($A862="","",대장!D430)</x:f>
        <x:v>#NAME?</x:v>
      </x:c>
      <x:c r="D862" s="27" t="e">
        <x:f>IF($A862="","",대장!A430)</x:f>
        <x:v>#NAME?</x:v>
      </x:c>
      <x:c r="E862" s="27" t="e">
        <x:f>IF($A862="","",IF(OR(ISNUMBER(SEARCH("계약만료",대장!H430&amp;"")),ISNUMBER(SEARCH("기간만료",대장!H430&amp;""))),"계약기간 만료로 퇴직",IF(ISNUMBER(SEARCH("의원면직",대장!H430&amp;"")),"의원면직",IF(ISNUMBER(SEARCH("정년퇴직",대장!H430&amp;"")),"정년퇴직",대장!H430))))</x:f>
        <x:v>#NAME?</x:v>
      </x:c>
      <x:c r="F862" s="27" t="e">
        <x:f>IF($A862="","",IF(발령대장_설정!$B$5="","",발령대장_설정!$B$5))</x:f>
        <x:v>#NAME?</x:v>
      </x:c>
      <x:c r="G862" s="27" t="e">
        <x:f>IF($A862="","",IF(발령대장_설정!$B$6="","",발령대장_설정!$B$6))</x:f>
        <x:v>#NAME?</x:v>
      </x:c>
      <x:c r="H862" s="27" t="e">
        <x:f>IF($A862="","",IF(발령대장_설정!$B$7="","",발령대장_설정!$B$7))</x:f>
        <x:v>#NAME?</x:v>
      </x:c>
      <x:c r="I862" s="27" t="e">
        <x:f>IF($A862="","",IF(발령대장_설정!$B$8="","",발령대장_설정!$B$8))</x:f>
        <x:v>#NAME?</x:v>
      </x:c>
      <x:c r="J862" s="27" t="str">
        <x:f>""</x:f>
      </x:c>
    </x:row>
    <x:row r="863" ht="42" customHeight="1">
      <x:c r="A863" s="47" t="e">
        <x:f>IF(AND(대장!A431&lt;&gt;"",ISNUMBER(대장!F431),OR(대장!G431="",AND(ISNUMBER(대장!G431),대장!G431&gt;=대장!F431))),대장!F431,"")</x:f>
        <x:v>#NAME?</x:v>
      </x:c>
      <x:c r="B863" s="27" t="e">
        <x:f>IF($A863="","",IF(발령대장_설정!$B$4="","",발령대장_설정!$B$4))</x:f>
        <x:v>#NAME?</x:v>
      </x:c>
      <x:c r="C863" s="27" t="e">
        <x:f>IF($A863="","",대장!D431)</x:f>
        <x:v>#NAME?</x:v>
      </x:c>
      <x:c r="D863" s="27" t="e">
        <x:f>IF($A863="","",대장!A431)</x:f>
        <x:v>#NAME?</x:v>
      </x:c>
      <x:c r="E863" s="27" t="e">
        <x:f>IF($A863="","",IF(대장!J431&lt;&gt;"",대장!J431,대장!D431&amp;"에 임함"&amp;IF(대장!E431="","",CHAR(10)&amp;"고용형태: "&amp;대장!E431)&amp;IF(대장!I431="","",CHAR(10)&amp;"소정근로시간: "&amp;대장!I431)&amp;CHAR(10)&amp;"근로기간: "&amp;YEAR(대장!F431)&amp;"."&amp;MONTH(대장!F431)&amp;"."&amp;DAY(대장!F431)&amp;"."&amp;" ~ "&amp;IF(ISNUMBER(대장!G431),YEAR(대장!G431)&amp;"."&amp;MONTH(대장!G431)&amp;"."&amp;DAY(대장!G431)&amp;".","재직 중")))</x:f>
        <x:v>#NAME?</x:v>
      </x:c>
      <x:c r="F863" s="27" t="e">
        <x:f>IF($A863="","",IF(발령대장_설정!$B$5="","",발령대장_설정!$B$5))</x:f>
        <x:v>#NAME?</x:v>
      </x:c>
      <x:c r="G863" s="27" t="e">
        <x:f>IF($A863="","",IF(발령대장_설정!$B$6="","",발령대장_설정!$B$6))</x:f>
        <x:v>#NAME?</x:v>
      </x:c>
      <x:c r="H863" s="27" t="e">
        <x:f>IF($A863="","",IF(발령대장_설정!$B$7="","",발령대장_설정!$B$7))</x:f>
        <x:v>#NAME?</x:v>
      </x:c>
      <x:c r="I863" s="27" t="e">
        <x:f>IF($A863="","",IF(발령대장_설정!$B$8="","",발령대장_설정!$B$8))</x:f>
        <x:v>#NAME?</x:v>
      </x:c>
      <x:c r="J863" s="27" t="e">
        <x:f>IF($A863="","",IF(대장!K431="","",대장!K431))</x:f>
        <x:v>#NAME?</x:v>
      </x:c>
    </x:row>
    <x:row r="864" ht="42" customHeight="1">
      <x:c r="A864" s="47" t="e">
        <x:f>IF(AND(대장!A431&lt;&gt;"",ISNUMBER(대장!F431),ISNUMBER(대장!G431),대장!G431&gt;=대장!F431,대장!H431&lt;&gt;""),대장!G431,"")</x:f>
        <x:v>#NAME?</x:v>
      </x:c>
      <x:c r="B864" s="27" t="e">
        <x:f>IF($A864="","",IF(발령대장_설정!$B$4="","",발령대장_설정!$B$4))</x:f>
        <x:v>#NAME?</x:v>
      </x:c>
      <x:c r="C864" s="27" t="e">
        <x:f>IF($A864="","",대장!D431)</x:f>
        <x:v>#NAME?</x:v>
      </x:c>
      <x:c r="D864" s="27" t="e">
        <x:f>IF($A864="","",대장!A431)</x:f>
        <x:v>#NAME?</x:v>
      </x:c>
      <x:c r="E864" s="27" t="e">
        <x:f>IF($A864="","",IF(OR(ISNUMBER(SEARCH("계약만료",대장!H431&amp;"")),ISNUMBER(SEARCH("기간만료",대장!H431&amp;""))),"계약기간 만료로 퇴직",IF(ISNUMBER(SEARCH("의원면직",대장!H431&amp;"")),"의원면직",IF(ISNUMBER(SEARCH("정년퇴직",대장!H431&amp;"")),"정년퇴직",대장!H431))))</x:f>
        <x:v>#NAME?</x:v>
      </x:c>
      <x:c r="F864" s="27" t="e">
        <x:f>IF($A864="","",IF(발령대장_설정!$B$5="","",발령대장_설정!$B$5))</x:f>
        <x:v>#NAME?</x:v>
      </x:c>
      <x:c r="G864" s="27" t="e">
        <x:f>IF($A864="","",IF(발령대장_설정!$B$6="","",발령대장_설정!$B$6))</x:f>
        <x:v>#NAME?</x:v>
      </x:c>
      <x:c r="H864" s="27" t="e">
        <x:f>IF($A864="","",IF(발령대장_설정!$B$7="","",발령대장_설정!$B$7))</x:f>
        <x:v>#NAME?</x:v>
      </x:c>
      <x:c r="I864" s="27" t="e">
        <x:f>IF($A864="","",IF(발령대장_설정!$B$8="","",발령대장_설정!$B$8))</x:f>
        <x:v>#NAME?</x:v>
      </x:c>
      <x:c r="J864" s="27" t="str">
        <x:f>""</x:f>
      </x:c>
    </x:row>
    <x:row r="865" ht="42" customHeight="1">
      <x:c r="A865" s="47" t="e">
        <x:f>IF(AND(대장!A432&lt;&gt;"",ISNUMBER(대장!F432),OR(대장!G432="",AND(ISNUMBER(대장!G432),대장!G432&gt;=대장!F432))),대장!F432,"")</x:f>
        <x:v>#NAME?</x:v>
      </x:c>
      <x:c r="B865" s="27" t="e">
        <x:f>IF($A865="","",IF(발령대장_설정!$B$4="","",발령대장_설정!$B$4))</x:f>
        <x:v>#NAME?</x:v>
      </x:c>
      <x:c r="C865" s="27" t="e">
        <x:f>IF($A865="","",대장!D432)</x:f>
        <x:v>#NAME?</x:v>
      </x:c>
      <x:c r="D865" s="27" t="e">
        <x:f>IF($A865="","",대장!A432)</x:f>
        <x:v>#NAME?</x:v>
      </x:c>
      <x:c r="E865" s="27" t="e">
        <x:f>IF($A865="","",IF(대장!J432&lt;&gt;"",대장!J432,대장!D432&amp;"에 임함"&amp;IF(대장!E432="","",CHAR(10)&amp;"고용형태: "&amp;대장!E432)&amp;IF(대장!I432="","",CHAR(10)&amp;"소정근로시간: "&amp;대장!I432)&amp;CHAR(10)&amp;"근로기간: "&amp;YEAR(대장!F432)&amp;"."&amp;MONTH(대장!F432)&amp;"."&amp;DAY(대장!F432)&amp;"."&amp;" ~ "&amp;IF(ISNUMBER(대장!G432),YEAR(대장!G432)&amp;"."&amp;MONTH(대장!G432)&amp;"."&amp;DAY(대장!G432)&amp;".","재직 중")))</x:f>
        <x:v>#NAME?</x:v>
      </x:c>
      <x:c r="F865" s="27" t="e">
        <x:f>IF($A865="","",IF(발령대장_설정!$B$5="","",발령대장_설정!$B$5))</x:f>
        <x:v>#NAME?</x:v>
      </x:c>
      <x:c r="G865" s="27" t="e">
        <x:f>IF($A865="","",IF(발령대장_설정!$B$6="","",발령대장_설정!$B$6))</x:f>
        <x:v>#NAME?</x:v>
      </x:c>
      <x:c r="H865" s="27" t="e">
        <x:f>IF($A865="","",IF(발령대장_설정!$B$7="","",발령대장_설정!$B$7))</x:f>
        <x:v>#NAME?</x:v>
      </x:c>
      <x:c r="I865" s="27" t="e">
        <x:f>IF($A865="","",IF(발령대장_설정!$B$8="","",발령대장_설정!$B$8))</x:f>
        <x:v>#NAME?</x:v>
      </x:c>
      <x:c r="J865" s="27" t="e">
        <x:f>IF($A865="","",IF(대장!K432="","",대장!K432))</x:f>
        <x:v>#NAME?</x:v>
      </x:c>
    </x:row>
    <x:row r="866" ht="42" customHeight="1">
      <x:c r="A866" s="47" t="e">
        <x:f>IF(AND(대장!A432&lt;&gt;"",ISNUMBER(대장!F432),ISNUMBER(대장!G432),대장!G432&gt;=대장!F432,대장!H432&lt;&gt;""),대장!G432,"")</x:f>
        <x:v>#NAME?</x:v>
      </x:c>
      <x:c r="B866" s="27" t="e">
        <x:f>IF($A866="","",IF(발령대장_설정!$B$4="","",발령대장_설정!$B$4))</x:f>
        <x:v>#NAME?</x:v>
      </x:c>
      <x:c r="C866" s="27" t="e">
        <x:f>IF($A866="","",대장!D432)</x:f>
        <x:v>#NAME?</x:v>
      </x:c>
      <x:c r="D866" s="27" t="e">
        <x:f>IF($A866="","",대장!A432)</x:f>
        <x:v>#NAME?</x:v>
      </x:c>
      <x:c r="E866" s="27" t="e">
        <x:f>IF($A866="","",IF(OR(ISNUMBER(SEARCH("계약만료",대장!H432&amp;"")),ISNUMBER(SEARCH("기간만료",대장!H432&amp;""))),"계약기간 만료로 퇴직",IF(ISNUMBER(SEARCH("의원면직",대장!H432&amp;"")),"의원면직",IF(ISNUMBER(SEARCH("정년퇴직",대장!H432&amp;"")),"정년퇴직",대장!H432))))</x:f>
        <x:v>#NAME?</x:v>
      </x:c>
      <x:c r="F866" s="27" t="e">
        <x:f>IF($A866="","",IF(발령대장_설정!$B$5="","",발령대장_설정!$B$5))</x:f>
        <x:v>#NAME?</x:v>
      </x:c>
      <x:c r="G866" s="27" t="e">
        <x:f>IF($A866="","",IF(발령대장_설정!$B$6="","",발령대장_설정!$B$6))</x:f>
        <x:v>#NAME?</x:v>
      </x:c>
      <x:c r="H866" s="27" t="e">
        <x:f>IF($A866="","",IF(발령대장_설정!$B$7="","",발령대장_설정!$B$7))</x:f>
        <x:v>#NAME?</x:v>
      </x:c>
      <x:c r="I866" s="27" t="e">
        <x:f>IF($A866="","",IF(발령대장_설정!$B$8="","",발령대장_설정!$B$8))</x:f>
        <x:v>#NAME?</x:v>
      </x:c>
      <x:c r="J866" s="27" t="str">
        <x:f>""</x:f>
      </x:c>
    </x:row>
    <x:row r="867" ht="42" customHeight="1">
      <x:c r="A867" s="47" t="e">
        <x:f>IF(AND(대장!A433&lt;&gt;"",ISNUMBER(대장!F433),OR(대장!G433="",AND(ISNUMBER(대장!G433),대장!G433&gt;=대장!F433))),대장!F433,"")</x:f>
        <x:v>#NAME?</x:v>
      </x:c>
      <x:c r="B867" s="27" t="e">
        <x:f>IF($A867="","",IF(발령대장_설정!$B$4="","",발령대장_설정!$B$4))</x:f>
        <x:v>#NAME?</x:v>
      </x:c>
      <x:c r="C867" s="27" t="e">
        <x:f>IF($A867="","",대장!D433)</x:f>
        <x:v>#NAME?</x:v>
      </x:c>
      <x:c r="D867" s="27" t="e">
        <x:f>IF($A867="","",대장!A433)</x:f>
        <x:v>#NAME?</x:v>
      </x:c>
      <x:c r="E867" s="27" t="e">
        <x:f>IF($A867="","",IF(대장!J433&lt;&gt;"",대장!J433,대장!D433&amp;"에 임함"&amp;IF(대장!E433="","",CHAR(10)&amp;"고용형태: "&amp;대장!E433)&amp;IF(대장!I433="","",CHAR(10)&amp;"소정근로시간: "&amp;대장!I433)&amp;CHAR(10)&amp;"근로기간: "&amp;YEAR(대장!F433)&amp;"."&amp;MONTH(대장!F433)&amp;"."&amp;DAY(대장!F433)&amp;"."&amp;" ~ "&amp;IF(ISNUMBER(대장!G433),YEAR(대장!G433)&amp;"."&amp;MONTH(대장!G433)&amp;"."&amp;DAY(대장!G433)&amp;".","재직 중")))</x:f>
        <x:v>#NAME?</x:v>
      </x:c>
      <x:c r="F867" s="27" t="e">
        <x:f>IF($A867="","",IF(발령대장_설정!$B$5="","",발령대장_설정!$B$5))</x:f>
        <x:v>#NAME?</x:v>
      </x:c>
      <x:c r="G867" s="27" t="e">
        <x:f>IF($A867="","",IF(발령대장_설정!$B$6="","",발령대장_설정!$B$6))</x:f>
        <x:v>#NAME?</x:v>
      </x:c>
      <x:c r="H867" s="27" t="e">
        <x:f>IF($A867="","",IF(발령대장_설정!$B$7="","",발령대장_설정!$B$7))</x:f>
        <x:v>#NAME?</x:v>
      </x:c>
      <x:c r="I867" s="27" t="e">
        <x:f>IF($A867="","",IF(발령대장_설정!$B$8="","",발령대장_설정!$B$8))</x:f>
        <x:v>#NAME?</x:v>
      </x:c>
      <x:c r="J867" s="27" t="e">
        <x:f>IF($A867="","",IF(대장!K433="","",대장!K433))</x:f>
        <x:v>#NAME?</x:v>
      </x:c>
    </x:row>
    <x:row r="868" ht="42" customHeight="1">
      <x:c r="A868" s="47" t="e">
        <x:f>IF(AND(대장!A433&lt;&gt;"",ISNUMBER(대장!F433),ISNUMBER(대장!G433),대장!G433&gt;=대장!F433,대장!H433&lt;&gt;""),대장!G433,"")</x:f>
        <x:v>#NAME?</x:v>
      </x:c>
      <x:c r="B868" s="27" t="e">
        <x:f>IF($A868="","",IF(발령대장_설정!$B$4="","",발령대장_설정!$B$4))</x:f>
        <x:v>#NAME?</x:v>
      </x:c>
      <x:c r="C868" s="27" t="e">
        <x:f>IF($A868="","",대장!D433)</x:f>
        <x:v>#NAME?</x:v>
      </x:c>
      <x:c r="D868" s="27" t="e">
        <x:f>IF($A868="","",대장!A433)</x:f>
        <x:v>#NAME?</x:v>
      </x:c>
      <x:c r="E868" s="27" t="e">
        <x:f>IF($A868="","",IF(OR(ISNUMBER(SEARCH("계약만료",대장!H433&amp;"")),ISNUMBER(SEARCH("기간만료",대장!H433&amp;""))),"계약기간 만료로 퇴직",IF(ISNUMBER(SEARCH("의원면직",대장!H433&amp;"")),"의원면직",IF(ISNUMBER(SEARCH("정년퇴직",대장!H433&amp;"")),"정년퇴직",대장!H433))))</x:f>
        <x:v>#NAME?</x:v>
      </x:c>
      <x:c r="F868" s="27" t="e">
        <x:f>IF($A868="","",IF(발령대장_설정!$B$5="","",발령대장_설정!$B$5))</x:f>
        <x:v>#NAME?</x:v>
      </x:c>
      <x:c r="G868" s="27" t="e">
        <x:f>IF($A868="","",IF(발령대장_설정!$B$6="","",발령대장_설정!$B$6))</x:f>
        <x:v>#NAME?</x:v>
      </x:c>
      <x:c r="H868" s="27" t="e">
        <x:f>IF($A868="","",IF(발령대장_설정!$B$7="","",발령대장_설정!$B$7))</x:f>
        <x:v>#NAME?</x:v>
      </x:c>
      <x:c r="I868" s="27" t="e">
        <x:f>IF($A868="","",IF(발령대장_설정!$B$8="","",발령대장_설정!$B$8))</x:f>
        <x:v>#NAME?</x:v>
      </x:c>
      <x:c r="J868" s="27" t="str">
        <x:f>""</x:f>
      </x:c>
    </x:row>
    <x:row r="869" ht="42" customHeight="1">
      <x:c r="A869" s="47" t="e">
        <x:f>IF(AND(대장!A434&lt;&gt;"",ISNUMBER(대장!F434),OR(대장!G434="",AND(ISNUMBER(대장!G434),대장!G434&gt;=대장!F434))),대장!F434,"")</x:f>
        <x:v>#NAME?</x:v>
      </x:c>
      <x:c r="B869" s="27" t="e">
        <x:f>IF($A869="","",IF(발령대장_설정!$B$4="","",발령대장_설정!$B$4))</x:f>
        <x:v>#NAME?</x:v>
      </x:c>
      <x:c r="C869" s="27" t="e">
        <x:f>IF($A869="","",대장!D434)</x:f>
        <x:v>#NAME?</x:v>
      </x:c>
      <x:c r="D869" s="27" t="e">
        <x:f>IF($A869="","",대장!A434)</x:f>
        <x:v>#NAME?</x:v>
      </x:c>
      <x:c r="E869" s="27" t="e">
        <x:f>IF($A869="","",IF(대장!J434&lt;&gt;"",대장!J434,대장!D434&amp;"에 임함"&amp;IF(대장!E434="","",CHAR(10)&amp;"고용형태: "&amp;대장!E434)&amp;IF(대장!I434="","",CHAR(10)&amp;"소정근로시간: "&amp;대장!I434)&amp;CHAR(10)&amp;"근로기간: "&amp;YEAR(대장!F434)&amp;"."&amp;MONTH(대장!F434)&amp;"."&amp;DAY(대장!F434)&amp;"."&amp;" ~ "&amp;IF(ISNUMBER(대장!G434),YEAR(대장!G434)&amp;"."&amp;MONTH(대장!G434)&amp;"."&amp;DAY(대장!G434)&amp;".","재직 중")))</x:f>
        <x:v>#NAME?</x:v>
      </x:c>
      <x:c r="F869" s="27" t="e">
        <x:f>IF($A869="","",IF(발령대장_설정!$B$5="","",발령대장_설정!$B$5))</x:f>
        <x:v>#NAME?</x:v>
      </x:c>
      <x:c r="G869" s="27" t="e">
        <x:f>IF($A869="","",IF(발령대장_설정!$B$6="","",발령대장_설정!$B$6))</x:f>
        <x:v>#NAME?</x:v>
      </x:c>
      <x:c r="H869" s="27" t="e">
        <x:f>IF($A869="","",IF(발령대장_설정!$B$7="","",발령대장_설정!$B$7))</x:f>
        <x:v>#NAME?</x:v>
      </x:c>
      <x:c r="I869" s="27" t="e">
        <x:f>IF($A869="","",IF(발령대장_설정!$B$8="","",발령대장_설정!$B$8))</x:f>
        <x:v>#NAME?</x:v>
      </x:c>
      <x:c r="J869" s="27" t="e">
        <x:f>IF($A869="","",IF(대장!K434="","",대장!K434))</x:f>
        <x:v>#NAME?</x:v>
      </x:c>
    </x:row>
    <x:row r="870" ht="42" customHeight="1">
      <x:c r="A870" s="47" t="e">
        <x:f>IF(AND(대장!A434&lt;&gt;"",ISNUMBER(대장!F434),ISNUMBER(대장!G434),대장!G434&gt;=대장!F434,대장!H434&lt;&gt;""),대장!G434,"")</x:f>
        <x:v>#NAME?</x:v>
      </x:c>
      <x:c r="B870" s="27" t="e">
        <x:f>IF($A870="","",IF(발령대장_설정!$B$4="","",발령대장_설정!$B$4))</x:f>
        <x:v>#NAME?</x:v>
      </x:c>
      <x:c r="C870" s="27" t="e">
        <x:f>IF($A870="","",대장!D434)</x:f>
        <x:v>#NAME?</x:v>
      </x:c>
      <x:c r="D870" s="27" t="e">
        <x:f>IF($A870="","",대장!A434)</x:f>
        <x:v>#NAME?</x:v>
      </x:c>
      <x:c r="E870" s="27" t="e">
        <x:f>IF($A870="","",IF(OR(ISNUMBER(SEARCH("계약만료",대장!H434&amp;"")),ISNUMBER(SEARCH("기간만료",대장!H434&amp;""))),"계약기간 만료로 퇴직",IF(ISNUMBER(SEARCH("의원면직",대장!H434&amp;"")),"의원면직",IF(ISNUMBER(SEARCH("정년퇴직",대장!H434&amp;"")),"정년퇴직",대장!H434))))</x:f>
        <x:v>#NAME?</x:v>
      </x:c>
      <x:c r="F870" s="27" t="e">
        <x:f>IF($A870="","",IF(발령대장_설정!$B$5="","",발령대장_설정!$B$5))</x:f>
        <x:v>#NAME?</x:v>
      </x:c>
      <x:c r="G870" s="27" t="e">
        <x:f>IF($A870="","",IF(발령대장_설정!$B$6="","",발령대장_설정!$B$6))</x:f>
        <x:v>#NAME?</x:v>
      </x:c>
      <x:c r="H870" s="27" t="e">
        <x:f>IF($A870="","",IF(발령대장_설정!$B$7="","",발령대장_설정!$B$7))</x:f>
        <x:v>#NAME?</x:v>
      </x:c>
      <x:c r="I870" s="27" t="e">
        <x:f>IF($A870="","",IF(발령대장_설정!$B$8="","",발령대장_설정!$B$8))</x:f>
        <x:v>#NAME?</x:v>
      </x:c>
      <x:c r="J870" s="27" t="str">
        <x:f>""</x:f>
      </x:c>
    </x:row>
    <x:row r="871" ht="42" customHeight="1">
      <x:c r="A871" s="47" t="e">
        <x:f>IF(AND(대장!A435&lt;&gt;"",ISNUMBER(대장!F435),OR(대장!G435="",AND(ISNUMBER(대장!G435),대장!G435&gt;=대장!F435))),대장!F435,"")</x:f>
        <x:v>#NAME?</x:v>
      </x:c>
      <x:c r="B871" s="27" t="e">
        <x:f>IF($A871="","",IF(발령대장_설정!$B$4="","",발령대장_설정!$B$4))</x:f>
        <x:v>#NAME?</x:v>
      </x:c>
      <x:c r="C871" s="27" t="e">
        <x:f>IF($A871="","",대장!D435)</x:f>
        <x:v>#NAME?</x:v>
      </x:c>
      <x:c r="D871" s="27" t="e">
        <x:f>IF($A871="","",대장!A435)</x:f>
        <x:v>#NAME?</x:v>
      </x:c>
      <x:c r="E871" s="27" t="e">
        <x:f>IF($A871="","",IF(대장!J435&lt;&gt;"",대장!J435,대장!D435&amp;"에 임함"&amp;IF(대장!E435="","",CHAR(10)&amp;"고용형태: "&amp;대장!E435)&amp;IF(대장!I435="","",CHAR(10)&amp;"소정근로시간: "&amp;대장!I435)&amp;CHAR(10)&amp;"근로기간: "&amp;YEAR(대장!F435)&amp;"."&amp;MONTH(대장!F435)&amp;"."&amp;DAY(대장!F435)&amp;"."&amp;" ~ "&amp;IF(ISNUMBER(대장!G435),YEAR(대장!G435)&amp;"."&amp;MONTH(대장!G435)&amp;"."&amp;DAY(대장!G435)&amp;".","재직 중")))</x:f>
        <x:v>#NAME?</x:v>
      </x:c>
      <x:c r="F871" s="27" t="e">
        <x:f>IF($A871="","",IF(발령대장_설정!$B$5="","",발령대장_설정!$B$5))</x:f>
        <x:v>#NAME?</x:v>
      </x:c>
      <x:c r="G871" s="27" t="e">
        <x:f>IF($A871="","",IF(발령대장_설정!$B$6="","",발령대장_설정!$B$6))</x:f>
        <x:v>#NAME?</x:v>
      </x:c>
      <x:c r="H871" s="27" t="e">
        <x:f>IF($A871="","",IF(발령대장_설정!$B$7="","",발령대장_설정!$B$7))</x:f>
        <x:v>#NAME?</x:v>
      </x:c>
      <x:c r="I871" s="27" t="e">
        <x:f>IF($A871="","",IF(발령대장_설정!$B$8="","",발령대장_설정!$B$8))</x:f>
        <x:v>#NAME?</x:v>
      </x:c>
      <x:c r="J871" s="27" t="e">
        <x:f>IF($A871="","",IF(대장!K435="","",대장!K435))</x:f>
        <x:v>#NAME?</x:v>
      </x:c>
    </x:row>
    <x:row r="872" ht="42" customHeight="1">
      <x:c r="A872" s="47" t="e">
        <x:f>IF(AND(대장!A435&lt;&gt;"",ISNUMBER(대장!F435),ISNUMBER(대장!G435),대장!G435&gt;=대장!F435,대장!H435&lt;&gt;""),대장!G435,"")</x:f>
        <x:v>#NAME?</x:v>
      </x:c>
      <x:c r="B872" s="27" t="e">
        <x:f>IF($A872="","",IF(발령대장_설정!$B$4="","",발령대장_설정!$B$4))</x:f>
        <x:v>#NAME?</x:v>
      </x:c>
      <x:c r="C872" s="27" t="e">
        <x:f>IF($A872="","",대장!D435)</x:f>
        <x:v>#NAME?</x:v>
      </x:c>
      <x:c r="D872" s="27" t="e">
        <x:f>IF($A872="","",대장!A435)</x:f>
        <x:v>#NAME?</x:v>
      </x:c>
      <x:c r="E872" s="27" t="e">
        <x:f>IF($A872="","",IF(OR(ISNUMBER(SEARCH("계약만료",대장!H435&amp;"")),ISNUMBER(SEARCH("기간만료",대장!H435&amp;""))),"계약기간 만료로 퇴직",IF(ISNUMBER(SEARCH("의원면직",대장!H435&amp;"")),"의원면직",IF(ISNUMBER(SEARCH("정년퇴직",대장!H435&amp;"")),"정년퇴직",대장!H435))))</x:f>
        <x:v>#NAME?</x:v>
      </x:c>
      <x:c r="F872" s="27" t="e">
        <x:f>IF($A872="","",IF(발령대장_설정!$B$5="","",발령대장_설정!$B$5))</x:f>
        <x:v>#NAME?</x:v>
      </x:c>
      <x:c r="G872" s="27" t="e">
        <x:f>IF($A872="","",IF(발령대장_설정!$B$6="","",발령대장_설정!$B$6))</x:f>
        <x:v>#NAME?</x:v>
      </x:c>
      <x:c r="H872" s="27" t="e">
        <x:f>IF($A872="","",IF(발령대장_설정!$B$7="","",발령대장_설정!$B$7))</x:f>
        <x:v>#NAME?</x:v>
      </x:c>
      <x:c r="I872" s="27" t="e">
        <x:f>IF($A872="","",IF(발령대장_설정!$B$8="","",발령대장_설정!$B$8))</x:f>
        <x:v>#NAME?</x:v>
      </x:c>
      <x:c r="J872" s="27" t="str">
        <x:f>""</x:f>
      </x:c>
    </x:row>
    <x:row r="873" ht="42" customHeight="1">
      <x:c r="A873" s="47" t="e">
        <x:f>IF(AND(대장!A436&lt;&gt;"",ISNUMBER(대장!F436),OR(대장!G436="",AND(ISNUMBER(대장!G436),대장!G436&gt;=대장!F436))),대장!F436,"")</x:f>
        <x:v>#NAME?</x:v>
      </x:c>
      <x:c r="B873" s="27" t="e">
        <x:f>IF($A873="","",IF(발령대장_설정!$B$4="","",발령대장_설정!$B$4))</x:f>
        <x:v>#NAME?</x:v>
      </x:c>
      <x:c r="C873" s="27" t="e">
        <x:f>IF($A873="","",대장!D436)</x:f>
        <x:v>#NAME?</x:v>
      </x:c>
      <x:c r="D873" s="27" t="e">
        <x:f>IF($A873="","",대장!A436)</x:f>
        <x:v>#NAME?</x:v>
      </x:c>
      <x:c r="E873" s="27" t="e">
        <x:f>IF($A873="","",IF(대장!J436&lt;&gt;"",대장!J436,대장!D436&amp;"에 임함"&amp;IF(대장!E436="","",CHAR(10)&amp;"고용형태: "&amp;대장!E436)&amp;IF(대장!I436="","",CHAR(10)&amp;"소정근로시간: "&amp;대장!I436)&amp;CHAR(10)&amp;"근로기간: "&amp;YEAR(대장!F436)&amp;"."&amp;MONTH(대장!F436)&amp;"."&amp;DAY(대장!F436)&amp;"."&amp;" ~ "&amp;IF(ISNUMBER(대장!G436),YEAR(대장!G436)&amp;"."&amp;MONTH(대장!G436)&amp;"."&amp;DAY(대장!G436)&amp;".","재직 중")))</x:f>
        <x:v>#NAME?</x:v>
      </x:c>
      <x:c r="F873" s="27" t="e">
        <x:f>IF($A873="","",IF(발령대장_설정!$B$5="","",발령대장_설정!$B$5))</x:f>
        <x:v>#NAME?</x:v>
      </x:c>
      <x:c r="G873" s="27" t="e">
        <x:f>IF($A873="","",IF(발령대장_설정!$B$6="","",발령대장_설정!$B$6))</x:f>
        <x:v>#NAME?</x:v>
      </x:c>
      <x:c r="H873" s="27" t="e">
        <x:f>IF($A873="","",IF(발령대장_설정!$B$7="","",발령대장_설정!$B$7))</x:f>
        <x:v>#NAME?</x:v>
      </x:c>
      <x:c r="I873" s="27" t="e">
        <x:f>IF($A873="","",IF(발령대장_설정!$B$8="","",발령대장_설정!$B$8))</x:f>
        <x:v>#NAME?</x:v>
      </x:c>
      <x:c r="J873" s="27" t="e">
        <x:f>IF($A873="","",IF(대장!K436="","",대장!K436))</x:f>
        <x:v>#NAME?</x:v>
      </x:c>
    </x:row>
    <x:row r="874" ht="42" customHeight="1">
      <x:c r="A874" s="47" t="e">
        <x:f>IF(AND(대장!A436&lt;&gt;"",ISNUMBER(대장!F436),ISNUMBER(대장!G436),대장!G436&gt;=대장!F436,대장!H436&lt;&gt;""),대장!G436,"")</x:f>
        <x:v>#NAME?</x:v>
      </x:c>
      <x:c r="B874" s="27" t="e">
        <x:f>IF($A874="","",IF(발령대장_설정!$B$4="","",발령대장_설정!$B$4))</x:f>
        <x:v>#NAME?</x:v>
      </x:c>
      <x:c r="C874" s="27" t="e">
        <x:f>IF($A874="","",대장!D436)</x:f>
        <x:v>#NAME?</x:v>
      </x:c>
      <x:c r="D874" s="27" t="e">
        <x:f>IF($A874="","",대장!A436)</x:f>
        <x:v>#NAME?</x:v>
      </x:c>
      <x:c r="E874" s="27" t="e">
        <x:f>IF($A874="","",IF(OR(ISNUMBER(SEARCH("계약만료",대장!H436&amp;"")),ISNUMBER(SEARCH("기간만료",대장!H436&amp;""))),"계약기간 만료로 퇴직",IF(ISNUMBER(SEARCH("의원면직",대장!H436&amp;"")),"의원면직",IF(ISNUMBER(SEARCH("정년퇴직",대장!H436&amp;"")),"정년퇴직",대장!H436))))</x:f>
        <x:v>#NAME?</x:v>
      </x:c>
      <x:c r="F874" s="27" t="e">
        <x:f>IF($A874="","",IF(발령대장_설정!$B$5="","",발령대장_설정!$B$5))</x:f>
        <x:v>#NAME?</x:v>
      </x:c>
      <x:c r="G874" s="27" t="e">
        <x:f>IF($A874="","",IF(발령대장_설정!$B$6="","",발령대장_설정!$B$6))</x:f>
        <x:v>#NAME?</x:v>
      </x:c>
      <x:c r="H874" s="27" t="e">
        <x:f>IF($A874="","",IF(발령대장_설정!$B$7="","",발령대장_설정!$B$7))</x:f>
        <x:v>#NAME?</x:v>
      </x:c>
      <x:c r="I874" s="27" t="e">
        <x:f>IF($A874="","",IF(발령대장_설정!$B$8="","",발령대장_설정!$B$8))</x:f>
        <x:v>#NAME?</x:v>
      </x:c>
      <x:c r="J874" s="27" t="str">
        <x:f>""</x:f>
      </x:c>
    </x:row>
    <x:row r="875" ht="42" customHeight="1">
      <x:c r="A875" s="47" t="e">
        <x:f>IF(AND(대장!A437&lt;&gt;"",ISNUMBER(대장!F437),OR(대장!G437="",AND(ISNUMBER(대장!G437),대장!G437&gt;=대장!F437))),대장!F437,"")</x:f>
        <x:v>#NAME?</x:v>
      </x:c>
      <x:c r="B875" s="27" t="e">
        <x:f>IF($A875="","",IF(발령대장_설정!$B$4="","",발령대장_설정!$B$4))</x:f>
        <x:v>#NAME?</x:v>
      </x:c>
      <x:c r="C875" s="27" t="e">
        <x:f>IF($A875="","",대장!D437)</x:f>
        <x:v>#NAME?</x:v>
      </x:c>
      <x:c r="D875" s="27" t="e">
        <x:f>IF($A875="","",대장!A437)</x:f>
        <x:v>#NAME?</x:v>
      </x:c>
      <x:c r="E875" s="27" t="e">
        <x:f>IF($A875="","",IF(대장!J437&lt;&gt;"",대장!J437,대장!D437&amp;"에 임함"&amp;IF(대장!E437="","",CHAR(10)&amp;"고용형태: "&amp;대장!E437)&amp;IF(대장!I437="","",CHAR(10)&amp;"소정근로시간: "&amp;대장!I437)&amp;CHAR(10)&amp;"근로기간: "&amp;YEAR(대장!F437)&amp;"."&amp;MONTH(대장!F437)&amp;"."&amp;DAY(대장!F437)&amp;"."&amp;" ~ "&amp;IF(ISNUMBER(대장!G437),YEAR(대장!G437)&amp;"."&amp;MONTH(대장!G437)&amp;"."&amp;DAY(대장!G437)&amp;".","재직 중")))</x:f>
        <x:v>#NAME?</x:v>
      </x:c>
      <x:c r="F875" s="27" t="e">
        <x:f>IF($A875="","",IF(발령대장_설정!$B$5="","",발령대장_설정!$B$5))</x:f>
        <x:v>#NAME?</x:v>
      </x:c>
      <x:c r="G875" s="27" t="e">
        <x:f>IF($A875="","",IF(발령대장_설정!$B$6="","",발령대장_설정!$B$6))</x:f>
        <x:v>#NAME?</x:v>
      </x:c>
      <x:c r="H875" s="27" t="e">
        <x:f>IF($A875="","",IF(발령대장_설정!$B$7="","",발령대장_설정!$B$7))</x:f>
        <x:v>#NAME?</x:v>
      </x:c>
      <x:c r="I875" s="27" t="e">
        <x:f>IF($A875="","",IF(발령대장_설정!$B$8="","",발령대장_설정!$B$8))</x:f>
        <x:v>#NAME?</x:v>
      </x:c>
      <x:c r="J875" s="27" t="e">
        <x:f>IF($A875="","",IF(대장!K437="","",대장!K437))</x:f>
        <x:v>#NAME?</x:v>
      </x:c>
    </x:row>
    <x:row r="876" ht="42" customHeight="1">
      <x:c r="A876" s="47" t="e">
        <x:f>IF(AND(대장!A437&lt;&gt;"",ISNUMBER(대장!F437),ISNUMBER(대장!G437),대장!G437&gt;=대장!F437,대장!H437&lt;&gt;""),대장!G437,"")</x:f>
        <x:v>#NAME?</x:v>
      </x:c>
      <x:c r="B876" s="27" t="e">
        <x:f>IF($A876="","",IF(발령대장_설정!$B$4="","",발령대장_설정!$B$4))</x:f>
        <x:v>#NAME?</x:v>
      </x:c>
      <x:c r="C876" s="27" t="e">
        <x:f>IF($A876="","",대장!D437)</x:f>
        <x:v>#NAME?</x:v>
      </x:c>
      <x:c r="D876" s="27" t="e">
        <x:f>IF($A876="","",대장!A437)</x:f>
        <x:v>#NAME?</x:v>
      </x:c>
      <x:c r="E876" s="27" t="e">
        <x:f>IF($A876="","",IF(OR(ISNUMBER(SEARCH("계약만료",대장!H437&amp;"")),ISNUMBER(SEARCH("기간만료",대장!H437&amp;""))),"계약기간 만료로 퇴직",IF(ISNUMBER(SEARCH("의원면직",대장!H437&amp;"")),"의원면직",IF(ISNUMBER(SEARCH("정년퇴직",대장!H437&amp;"")),"정년퇴직",대장!H437))))</x:f>
        <x:v>#NAME?</x:v>
      </x:c>
      <x:c r="F876" s="27" t="e">
        <x:f>IF($A876="","",IF(발령대장_설정!$B$5="","",발령대장_설정!$B$5))</x:f>
        <x:v>#NAME?</x:v>
      </x:c>
      <x:c r="G876" s="27" t="e">
        <x:f>IF($A876="","",IF(발령대장_설정!$B$6="","",발령대장_설정!$B$6))</x:f>
        <x:v>#NAME?</x:v>
      </x:c>
      <x:c r="H876" s="27" t="e">
        <x:f>IF($A876="","",IF(발령대장_설정!$B$7="","",발령대장_설정!$B$7))</x:f>
        <x:v>#NAME?</x:v>
      </x:c>
      <x:c r="I876" s="27" t="e">
        <x:f>IF($A876="","",IF(발령대장_설정!$B$8="","",발령대장_설정!$B$8))</x:f>
        <x:v>#NAME?</x:v>
      </x:c>
      <x:c r="J876" s="27" t="str">
        <x:f>""</x:f>
      </x:c>
    </x:row>
    <x:row r="877" ht="42" customHeight="1">
      <x:c r="A877" s="47" t="e">
        <x:f>IF(AND(대장!A438&lt;&gt;"",ISNUMBER(대장!F438),OR(대장!G438="",AND(ISNUMBER(대장!G438),대장!G438&gt;=대장!F438))),대장!F438,"")</x:f>
        <x:v>#NAME?</x:v>
      </x:c>
      <x:c r="B877" s="27" t="e">
        <x:f>IF($A877="","",IF(발령대장_설정!$B$4="","",발령대장_설정!$B$4))</x:f>
        <x:v>#NAME?</x:v>
      </x:c>
      <x:c r="C877" s="27" t="e">
        <x:f>IF($A877="","",대장!D438)</x:f>
        <x:v>#NAME?</x:v>
      </x:c>
      <x:c r="D877" s="27" t="e">
        <x:f>IF($A877="","",대장!A438)</x:f>
        <x:v>#NAME?</x:v>
      </x:c>
      <x:c r="E877" s="27" t="e">
        <x:f>IF($A877="","",IF(대장!J438&lt;&gt;"",대장!J438,대장!D438&amp;"에 임함"&amp;IF(대장!E438="","",CHAR(10)&amp;"고용형태: "&amp;대장!E438)&amp;IF(대장!I438="","",CHAR(10)&amp;"소정근로시간: "&amp;대장!I438)&amp;CHAR(10)&amp;"근로기간: "&amp;YEAR(대장!F438)&amp;"."&amp;MONTH(대장!F438)&amp;"."&amp;DAY(대장!F438)&amp;"."&amp;" ~ "&amp;IF(ISNUMBER(대장!G438),YEAR(대장!G438)&amp;"."&amp;MONTH(대장!G438)&amp;"."&amp;DAY(대장!G438)&amp;".","재직 중")))</x:f>
        <x:v>#NAME?</x:v>
      </x:c>
      <x:c r="F877" s="27" t="e">
        <x:f>IF($A877="","",IF(발령대장_설정!$B$5="","",발령대장_설정!$B$5))</x:f>
        <x:v>#NAME?</x:v>
      </x:c>
      <x:c r="G877" s="27" t="e">
        <x:f>IF($A877="","",IF(발령대장_설정!$B$6="","",발령대장_설정!$B$6))</x:f>
        <x:v>#NAME?</x:v>
      </x:c>
      <x:c r="H877" s="27" t="e">
        <x:f>IF($A877="","",IF(발령대장_설정!$B$7="","",발령대장_설정!$B$7))</x:f>
        <x:v>#NAME?</x:v>
      </x:c>
      <x:c r="I877" s="27" t="e">
        <x:f>IF($A877="","",IF(발령대장_설정!$B$8="","",발령대장_설정!$B$8))</x:f>
        <x:v>#NAME?</x:v>
      </x:c>
      <x:c r="J877" s="27" t="e">
        <x:f>IF($A877="","",IF(대장!K438="","",대장!K438))</x:f>
        <x:v>#NAME?</x:v>
      </x:c>
    </x:row>
    <x:row r="878" ht="42" customHeight="1">
      <x:c r="A878" s="47" t="e">
        <x:f>IF(AND(대장!A438&lt;&gt;"",ISNUMBER(대장!F438),ISNUMBER(대장!G438),대장!G438&gt;=대장!F438,대장!H438&lt;&gt;""),대장!G438,"")</x:f>
        <x:v>#NAME?</x:v>
      </x:c>
      <x:c r="B878" s="27" t="e">
        <x:f>IF($A878="","",IF(발령대장_설정!$B$4="","",발령대장_설정!$B$4))</x:f>
        <x:v>#NAME?</x:v>
      </x:c>
      <x:c r="C878" s="27" t="e">
        <x:f>IF($A878="","",대장!D438)</x:f>
        <x:v>#NAME?</x:v>
      </x:c>
      <x:c r="D878" s="27" t="e">
        <x:f>IF($A878="","",대장!A438)</x:f>
        <x:v>#NAME?</x:v>
      </x:c>
      <x:c r="E878" s="27" t="e">
        <x:f>IF($A878="","",IF(OR(ISNUMBER(SEARCH("계약만료",대장!H438&amp;"")),ISNUMBER(SEARCH("기간만료",대장!H438&amp;""))),"계약기간 만료로 퇴직",IF(ISNUMBER(SEARCH("의원면직",대장!H438&amp;"")),"의원면직",IF(ISNUMBER(SEARCH("정년퇴직",대장!H438&amp;"")),"정년퇴직",대장!H438))))</x:f>
        <x:v>#NAME?</x:v>
      </x:c>
      <x:c r="F878" s="27" t="e">
        <x:f>IF($A878="","",IF(발령대장_설정!$B$5="","",발령대장_설정!$B$5))</x:f>
        <x:v>#NAME?</x:v>
      </x:c>
      <x:c r="G878" s="27" t="e">
        <x:f>IF($A878="","",IF(발령대장_설정!$B$6="","",발령대장_설정!$B$6))</x:f>
        <x:v>#NAME?</x:v>
      </x:c>
      <x:c r="H878" s="27" t="e">
        <x:f>IF($A878="","",IF(발령대장_설정!$B$7="","",발령대장_설정!$B$7))</x:f>
        <x:v>#NAME?</x:v>
      </x:c>
      <x:c r="I878" s="27" t="e">
        <x:f>IF($A878="","",IF(발령대장_설정!$B$8="","",발령대장_설정!$B$8))</x:f>
        <x:v>#NAME?</x:v>
      </x:c>
      <x:c r="J878" s="27" t="str">
        <x:f>""</x:f>
      </x:c>
    </x:row>
    <x:row r="879" ht="42" customHeight="1">
      <x:c r="A879" s="47" t="e">
        <x:f>IF(AND(대장!A439&lt;&gt;"",ISNUMBER(대장!F439),OR(대장!G439="",AND(ISNUMBER(대장!G439),대장!G439&gt;=대장!F439))),대장!F439,"")</x:f>
        <x:v>#NAME?</x:v>
      </x:c>
      <x:c r="B879" s="27" t="e">
        <x:f>IF($A879="","",IF(발령대장_설정!$B$4="","",발령대장_설정!$B$4))</x:f>
        <x:v>#NAME?</x:v>
      </x:c>
      <x:c r="C879" s="27" t="e">
        <x:f>IF($A879="","",대장!D439)</x:f>
        <x:v>#NAME?</x:v>
      </x:c>
      <x:c r="D879" s="27" t="e">
        <x:f>IF($A879="","",대장!A439)</x:f>
        <x:v>#NAME?</x:v>
      </x:c>
      <x:c r="E879" s="27" t="e">
        <x:f>IF($A879="","",IF(대장!J439&lt;&gt;"",대장!J439,대장!D439&amp;"에 임함"&amp;IF(대장!E439="","",CHAR(10)&amp;"고용형태: "&amp;대장!E439)&amp;IF(대장!I439="","",CHAR(10)&amp;"소정근로시간: "&amp;대장!I439)&amp;CHAR(10)&amp;"근로기간: "&amp;YEAR(대장!F439)&amp;"."&amp;MONTH(대장!F439)&amp;"."&amp;DAY(대장!F439)&amp;"."&amp;" ~ "&amp;IF(ISNUMBER(대장!G439),YEAR(대장!G439)&amp;"."&amp;MONTH(대장!G439)&amp;"."&amp;DAY(대장!G439)&amp;".","재직 중")))</x:f>
        <x:v>#NAME?</x:v>
      </x:c>
      <x:c r="F879" s="27" t="e">
        <x:f>IF($A879="","",IF(발령대장_설정!$B$5="","",발령대장_설정!$B$5))</x:f>
        <x:v>#NAME?</x:v>
      </x:c>
      <x:c r="G879" s="27" t="e">
        <x:f>IF($A879="","",IF(발령대장_설정!$B$6="","",발령대장_설정!$B$6))</x:f>
        <x:v>#NAME?</x:v>
      </x:c>
      <x:c r="H879" s="27" t="e">
        <x:f>IF($A879="","",IF(발령대장_설정!$B$7="","",발령대장_설정!$B$7))</x:f>
        <x:v>#NAME?</x:v>
      </x:c>
      <x:c r="I879" s="27" t="e">
        <x:f>IF($A879="","",IF(발령대장_설정!$B$8="","",발령대장_설정!$B$8))</x:f>
        <x:v>#NAME?</x:v>
      </x:c>
      <x:c r="J879" s="27" t="e">
        <x:f>IF($A879="","",IF(대장!K439="","",대장!K439))</x:f>
        <x:v>#NAME?</x:v>
      </x:c>
    </x:row>
    <x:row r="880" ht="42" customHeight="1">
      <x:c r="A880" s="47" t="e">
        <x:f>IF(AND(대장!A439&lt;&gt;"",ISNUMBER(대장!F439),ISNUMBER(대장!G439),대장!G439&gt;=대장!F439,대장!H439&lt;&gt;""),대장!G439,"")</x:f>
        <x:v>#NAME?</x:v>
      </x:c>
      <x:c r="B880" s="27" t="e">
        <x:f>IF($A880="","",IF(발령대장_설정!$B$4="","",발령대장_설정!$B$4))</x:f>
        <x:v>#NAME?</x:v>
      </x:c>
      <x:c r="C880" s="27" t="e">
        <x:f>IF($A880="","",대장!D439)</x:f>
        <x:v>#NAME?</x:v>
      </x:c>
      <x:c r="D880" s="27" t="e">
        <x:f>IF($A880="","",대장!A439)</x:f>
        <x:v>#NAME?</x:v>
      </x:c>
      <x:c r="E880" s="27" t="e">
        <x:f>IF($A880="","",IF(OR(ISNUMBER(SEARCH("계약만료",대장!H439&amp;"")),ISNUMBER(SEARCH("기간만료",대장!H439&amp;""))),"계약기간 만료로 퇴직",IF(ISNUMBER(SEARCH("의원면직",대장!H439&amp;"")),"의원면직",IF(ISNUMBER(SEARCH("정년퇴직",대장!H439&amp;"")),"정년퇴직",대장!H439))))</x:f>
        <x:v>#NAME?</x:v>
      </x:c>
      <x:c r="F880" s="27" t="e">
        <x:f>IF($A880="","",IF(발령대장_설정!$B$5="","",발령대장_설정!$B$5))</x:f>
        <x:v>#NAME?</x:v>
      </x:c>
      <x:c r="G880" s="27" t="e">
        <x:f>IF($A880="","",IF(발령대장_설정!$B$6="","",발령대장_설정!$B$6))</x:f>
        <x:v>#NAME?</x:v>
      </x:c>
      <x:c r="H880" s="27" t="e">
        <x:f>IF($A880="","",IF(발령대장_설정!$B$7="","",발령대장_설정!$B$7))</x:f>
        <x:v>#NAME?</x:v>
      </x:c>
      <x:c r="I880" s="27" t="e">
        <x:f>IF($A880="","",IF(발령대장_설정!$B$8="","",발령대장_설정!$B$8))</x:f>
        <x:v>#NAME?</x:v>
      </x:c>
      <x:c r="J880" s="27" t="str">
        <x:f>""</x:f>
      </x:c>
    </x:row>
    <x:row r="881" ht="42" customHeight="1">
      <x:c r="A881" s="47" t="e">
        <x:f>IF(AND(대장!A440&lt;&gt;"",ISNUMBER(대장!F440),OR(대장!G440="",AND(ISNUMBER(대장!G440),대장!G440&gt;=대장!F440))),대장!F440,"")</x:f>
        <x:v>#NAME?</x:v>
      </x:c>
      <x:c r="B881" s="27" t="e">
        <x:f>IF($A881="","",IF(발령대장_설정!$B$4="","",발령대장_설정!$B$4))</x:f>
        <x:v>#NAME?</x:v>
      </x:c>
      <x:c r="C881" s="27" t="e">
        <x:f>IF($A881="","",대장!D440)</x:f>
        <x:v>#NAME?</x:v>
      </x:c>
      <x:c r="D881" s="27" t="e">
        <x:f>IF($A881="","",대장!A440)</x:f>
        <x:v>#NAME?</x:v>
      </x:c>
      <x:c r="E881" s="27" t="e">
        <x:f>IF($A881="","",IF(대장!J440&lt;&gt;"",대장!J440,대장!D440&amp;"에 임함"&amp;IF(대장!E440="","",CHAR(10)&amp;"고용형태: "&amp;대장!E440)&amp;IF(대장!I440="","",CHAR(10)&amp;"소정근로시간: "&amp;대장!I440)&amp;CHAR(10)&amp;"근로기간: "&amp;YEAR(대장!F440)&amp;"."&amp;MONTH(대장!F440)&amp;"."&amp;DAY(대장!F440)&amp;"."&amp;" ~ "&amp;IF(ISNUMBER(대장!G440),YEAR(대장!G440)&amp;"."&amp;MONTH(대장!G440)&amp;"."&amp;DAY(대장!G440)&amp;".","재직 중")))</x:f>
        <x:v>#NAME?</x:v>
      </x:c>
      <x:c r="F881" s="27" t="e">
        <x:f>IF($A881="","",IF(발령대장_설정!$B$5="","",발령대장_설정!$B$5))</x:f>
        <x:v>#NAME?</x:v>
      </x:c>
      <x:c r="G881" s="27" t="e">
        <x:f>IF($A881="","",IF(발령대장_설정!$B$6="","",발령대장_설정!$B$6))</x:f>
        <x:v>#NAME?</x:v>
      </x:c>
      <x:c r="H881" s="27" t="e">
        <x:f>IF($A881="","",IF(발령대장_설정!$B$7="","",발령대장_설정!$B$7))</x:f>
        <x:v>#NAME?</x:v>
      </x:c>
      <x:c r="I881" s="27" t="e">
        <x:f>IF($A881="","",IF(발령대장_설정!$B$8="","",발령대장_설정!$B$8))</x:f>
        <x:v>#NAME?</x:v>
      </x:c>
      <x:c r="J881" s="27" t="e">
        <x:f>IF($A881="","",IF(대장!K440="","",대장!K440))</x:f>
        <x:v>#NAME?</x:v>
      </x:c>
    </x:row>
    <x:row r="882" ht="42" customHeight="1">
      <x:c r="A882" s="47" t="e">
        <x:f>IF(AND(대장!A440&lt;&gt;"",ISNUMBER(대장!F440),ISNUMBER(대장!G440),대장!G440&gt;=대장!F440,대장!H440&lt;&gt;""),대장!G440,"")</x:f>
        <x:v>#NAME?</x:v>
      </x:c>
      <x:c r="B882" s="27" t="e">
        <x:f>IF($A882="","",IF(발령대장_설정!$B$4="","",발령대장_설정!$B$4))</x:f>
        <x:v>#NAME?</x:v>
      </x:c>
      <x:c r="C882" s="27" t="e">
        <x:f>IF($A882="","",대장!D440)</x:f>
        <x:v>#NAME?</x:v>
      </x:c>
      <x:c r="D882" s="27" t="e">
        <x:f>IF($A882="","",대장!A440)</x:f>
        <x:v>#NAME?</x:v>
      </x:c>
      <x:c r="E882" s="27" t="e">
        <x:f>IF($A882="","",IF(OR(ISNUMBER(SEARCH("계약만료",대장!H440&amp;"")),ISNUMBER(SEARCH("기간만료",대장!H440&amp;""))),"계약기간 만료로 퇴직",IF(ISNUMBER(SEARCH("의원면직",대장!H440&amp;"")),"의원면직",IF(ISNUMBER(SEARCH("정년퇴직",대장!H440&amp;"")),"정년퇴직",대장!H440))))</x:f>
        <x:v>#NAME?</x:v>
      </x:c>
      <x:c r="F882" s="27" t="e">
        <x:f>IF($A882="","",IF(발령대장_설정!$B$5="","",발령대장_설정!$B$5))</x:f>
        <x:v>#NAME?</x:v>
      </x:c>
      <x:c r="G882" s="27" t="e">
        <x:f>IF($A882="","",IF(발령대장_설정!$B$6="","",발령대장_설정!$B$6))</x:f>
        <x:v>#NAME?</x:v>
      </x:c>
      <x:c r="H882" s="27" t="e">
        <x:f>IF($A882="","",IF(발령대장_설정!$B$7="","",발령대장_설정!$B$7))</x:f>
        <x:v>#NAME?</x:v>
      </x:c>
      <x:c r="I882" s="27" t="e">
        <x:f>IF($A882="","",IF(발령대장_설정!$B$8="","",발령대장_설정!$B$8))</x:f>
        <x:v>#NAME?</x:v>
      </x:c>
      <x:c r="J882" s="27" t="str">
        <x:f>""</x:f>
      </x:c>
    </x:row>
    <x:row r="883" ht="42" customHeight="1">
      <x:c r="A883" s="47" t="e">
        <x:f>IF(AND(대장!A441&lt;&gt;"",ISNUMBER(대장!F441),OR(대장!G441="",AND(ISNUMBER(대장!G441),대장!G441&gt;=대장!F441))),대장!F441,"")</x:f>
        <x:v>#NAME?</x:v>
      </x:c>
      <x:c r="B883" s="27" t="e">
        <x:f>IF($A883="","",IF(발령대장_설정!$B$4="","",발령대장_설정!$B$4))</x:f>
        <x:v>#NAME?</x:v>
      </x:c>
      <x:c r="C883" s="27" t="e">
        <x:f>IF($A883="","",대장!D441)</x:f>
        <x:v>#NAME?</x:v>
      </x:c>
      <x:c r="D883" s="27" t="e">
        <x:f>IF($A883="","",대장!A441)</x:f>
        <x:v>#NAME?</x:v>
      </x:c>
      <x:c r="E883" s="27" t="e">
        <x:f>IF($A883="","",IF(대장!J441&lt;&gt;"",대장!J441,대장!D441&amp;"에 임함"&amp;IF(대장!E441="","",CHAR(10)&amp;"고용형태: "&amp;대장!E441)&amp;IF(대장!I441="","",CHAR(10)&amp;"소정근로시간: "&amp;대장!I441)&amp;CHAR(10)&amp;"근로기간: "&amp;YEAR(대장!F441)&amp;"."&amp;MONTH(대장!F441)&amp;"."&amp;DAY(대장!F441)&amp;"."&amp;" ~ "&amp;IF(ISNUMBER(대장!G441),YEAR(대장!G441)&amp;"."&amp;MONTH(대장!G441)&amp;"."&amp;DAY(대장!G441)&amp;".","재직 중")))</x:f>
        <x:v>#NAME?</x:v>
      </x:c>
      <x:c r="F883" s="27" t="e">
        <x:f>IF($A883="","",IF(발령대장_설정!$B$5="","",발령대장_설정!$B$5))</x:f>
        <x:v>#NAME?</x:v>
      </x:c>
      <x:c r="G883" s="27" t="e">
        <x:f>IF($A883="","",IF(발령대장_설정!$B$6="","",발령대장_설정!$B$6))</x:f>
        <x:v>#NAME?</x:v>
      </x:c>
      <x:c r="H883" s="27" t="e">
        <x:f>IF($A883="","",IF(발령대장_설정!$B$7="","",발령대장_설정!$B$7))</x:f>
        <x:v>#NAME?</x:v>
      </x:c>
      <x:c r="I883" s="27" t="e">
        <x:f>IF($A883="","",IF(발령대장_설정!$B$8="","",발령대장_설정!$B$8))</x:f>
        <x:v>#NAME?</x:v>
      </x:c>
      <x:c r="J883" s="27" t="e">
        <x:f>IF($A883="","",IF(대장!K441="","",대장!K441))</x:f>
        <x:v>#NAME?</x:v>
      </x:c>
    </x:row>
    <x:row r="884" ht="42" customHeight="1">
      <x:c r="A884" s="47" t="e">
        <x:f>IF(AND(대장!A441&lt;&gt;"",ISNUMBER(대장!F441),ISNUMBER(대장!G441),대장!G441&gt;=대장!F441,대장!H441&lt;&gt;""),대장!G441,"")</x:f>
        <x:v>#NAME?</x:v>
      </x:c>
      <x:c r="B884" s="27" t="e">
        <x:f>IF($A884="","",IF(발령대장_설정!$B$4="","",발령대장_설정!$B$4))</x:f>
        <x:v>#NAME?</x:v>
      </x:c>
      <x:c r="C884" s="27" t="e">
        <x:f>IF($A884="","",대장!D441)</x:f>
        <x:v>#NAME?</x:v>
      </x:c>
      <x:c r="D884" s="27" t="e">
        <x:f>IF($A884="","",대장!A441)</x:f>
        <x:v>#NAME?</x:v>
      </x:c>
      <x:c r="E884" s="27" t="e">
        <x:f>IF($A884="","",IF(OR(ISNUMBER(SEARCH("계약만료",대장!H441&amp;"")),ISNUMBER(SEARCH("기간만료",대장!H441&amp;""))),"계약기간 만료로 퇴직",IF(ISNUMBER(SEARCH("의원면직",대장!H441&amp;"")),"의원면직",IF(ISNUMBER(SEARCH("정년퇴직",대장!H441&amp;"")),"정년퇴직",대장!H441))))</x:f>
        <x:v>#NAME?</x:v>
      </x:c>
      <x:c r="F884" s="27" t="e">
        <x:f>IF($A884="","",IF(발령대장_설정!$B$5="","",발령대장_설정!$B$5))</x:f>
        <x:v>#NAME?</x:v>
      </x:c>
      <x:c r="G884" s="27" t="e">
        <x:f>IF($A884="","",IF(발령대장_설정!$B$6="","",발령대장_설정!$B$6))</x:f>
        <x:v>#NAME?</x:v>
      </x:c>
      <x:c r="H884" s="27" t="e">
        <x:f>IF($A884="","",IF(발령대장_설정!$B$7="","",발령대장_설정!$B$7))</x:f>
        <x:v>#NAME?</x:v>
      </x:c>
      <x:c r="I884" s="27" t="e">
        <x:f>IF($A884="","",IF(발령대장_설정!$B$8="","",발령대장_설정!$B$8))</x:f>
        <x:v>#NAME?</x:v>
      </x:c>
      <x:c r="J884" s="27" t="str">
        <x:f>""</x:f>
      </x:c>
    </x:row>
    <x:row r="885" ht="42" customHeight="1">
      <x:c r="A885" s="47" t="e">
        <x:f>IF(AND(대장!A442&lt;&gt;"",ISNUMBER(대장!F442),OR(대장!G442="",AND(ISNUMBER(대장!G442),대장!G442&gt;=대장!F442))),대장!F442,"")</x:f>
        <x:v>#NAME?</x:v>
      </x:c>
      <x:c r="B885" s="27" t="e">
        <x:f>IF($A885="","",IF(발령대장_설정!$B$4="","",발령대장_설정!$B$4))</x:f>
        <x:v>#NAME?</x:v>
      </x:c>
      <x:c r="C885" s="27" t="e">
        <x:f>IF($A885="","",대장!D442)</x:f>
        <x:v>#NAME?</x:v>
      </x:c>
      <x:c r="D885" s="27" t="e">
        <x:f>IF($A885="","",대장!A442)</x:f>
        <x:v>#NAME?</x:v>
      </x:c>
      <x:c r="E885" s="27" t="e">
        <x:f>IF($A885="","",IF(대장!J442&lt;&gt;"",대장!J442,대장!D442&amp;"에 임함"&amp;IF(대장!E442="","",CHAR(10)&amp;"고용형태: "&amp;대장!E442)&amp;IF(대장!I442="","",CHAR(10)&amp;"소정근로시간: "&amp;대장!I442)&amp;CHAR(10)&amp;"근로기간: "&amp;YEAR(대장!F442)&amp;"."&amp;MONTH(대장!F442)&amp;"."&amp;DAY(대장!F442)&amp;"."&amp;" ~ "&amp;IF(ISNUMBER(대장!G442),YEAR(대장!G442)&amp;"."&amp;MONTH(대장!G442)&amp;"."&amp;DAY(대장!G442)&amp;".","재직 중")))</x:f>
        <x:v>#NAME?</x:v>
      </x:c>
      <x:c r="F885" s="27" t="e">
        <x:f>IF($A885="","",IF(발령대장_설정!$B$5="","",발령대장_설정!$B$5))</x:f>
        <x:v>#NAME?</x:v>
      </x:c>
      <x:c r="G885" s="27" t="e">
        <x:f>IF($A885="","",IF(발령대장_설정!$B$6="","",발령대장_설정!$B$6))</x:f>
        <x:v>#NAME?</x:v>
      </x:c>
      <x:c r="H885" s="27" t="e">
        <x:f>IF($A885="","",IF(발령대장_설정!$B$7="","",발령대장_설정!$B$7))</x:f>
        <x:v>#NAME?</x:v>
      </x:c>
      <x:c r="I885" s="27" t="e">
        <x:f>IF($A885="","",IF(발령대장_설정!$B$8="","",발령대장_설정!$B$8))</x:f>
        <x:v>#NAME?</x:v>
      </x:c>
      <x:c r="J885" s="27" t="e">
        <x:f>IF($A885="","",IF(대장!K442="","",대장!K442))</x:f>
        <x:v>#NAME?</x:v>
      </x:c>
    </x:row>
    <x:row r="886" ht="42" customHeight="1">
      <x:c r="A886" s="47" t="e">
        <x:f>IF(AND(대장!A442&lt;&gt;"",ISNUMBER(대장!F442),ISNUMBER(대장!G442),대장!G442&gt;=대장!F442,대장!H442&lt;&gt;""),대장!G442,"")</x:f>
        <x:v>#NAME?</x:v>
      </x:c>
      <x:c r="B886" s="27" t="e">
        <x:f>IF($A886="","",IF(발령대장_설정!$B$4="","",발령대장_설정!$B$4))</x:f>
        <x:v>#NAME?</x:v>
      </x:c>
      <x:c r="C886" s="27" t="e">
        <x:f>IF($A886="","",대장!D442)</x:f>
        <x:v>#NAME?</x:v>
      </x:c>
      <x:c r="D886" s="27" t="e">
        <x:f>IF($A886="","",대장!A442)</x:f>
        <x:v>#NAME?</x:v>
      </x:c>
      <x:c r="E886" s="27" t="e">
        <x:f>IF($A886="","",IF(OR(ISNUMBER(SEARCH("계약만료",대장!H442&amp;"")),ISNUMBER(SEARCH("기간만료",대장!H442&amp;""))),"계약기간 만료로 퇴직",IF(ISNUMBER(SEARCH("의원면직",대장!H442&amp;"")),"의원면직",IF(ISNUMBER(SEARCH("정년퇴직",대장!H442&amp;"")),"정년퇴직",대장!H442))))</x:f>
        <x:v>#NAME?</x:v>
      </x:c>
      <x:c r="F886" s="27" t="e">
        <x:f>IF($A886="","",IF(발령대장_설정!$B$5="","",발령대장_설정!$B$5))</x:f>
        <x:v>#NAME?</x:v>
      </x:c>
      <x:c r="G886" s="27" t="e">
        <x:f>IF($A886="","",IF(발령대장_설정!$B$6="","",발령대장_설정!$B$6))</x:f>
        <x:v>#NAME?</x:v>
      </x:c>
      <x:c r="H886" s="27" t="e">
        <x:f>IF($A886="","",IF(발령대장_설정!$B$7="","",발령대장_설정!$B$7))</x:f>
        <x:v>#NAME?</x:v>
      </x:c>
      <x:c r="I886" s="27" t="e">
        <x:f>IF($A886="","",IF(발령대장_설정!$B$8="","",발령대장_설정!$B$8))</x:f>
        <x:v>#NAME?</x:v>
      </x:c>
      <x:c r="J886" s="27" t="str">
        <x:f>""</x:f>
      </x:c>
    </x:row>
    <x:row r="887" ht="42" customHeight="1">
      <x:c r="A887" s="47" t="e">
        <x:f>IF(AND(대장!A443&lt;&gt;"",ISNUMBER(대장!F443),OR(대장!G443="",AND(ISNUMBER(대장!G443),대장!G443&gt;=대장!F443))),대장!F443,"")</x:f>
        <x:v>#NAME?</x:v>
      </x:c>
      <x:c r="B887" s="27" t="e">
        <x:f>IF($A887="","",IF(발령대장_설정!$B$4="","",발령대장_설정!$B$4))</x:f>
        <x:v>#NAME?</x:v>
      </x:c>
      <x:c r="C887" s="27" t="e">
        <x:f>IF($A887="","",대장!D443)</x:f>
        <x:v>#NAME?</x:v>
      </x:c>
      <x:c r="D887" s="27" t="e">
        <x:f>IF($A887="","",대장!A443)</x:f>
        <x:v>#NAME?</x:v>
      </x:c>
      <x:c r="E887" s="27" t="e">
        <x:f>IF($A887="","",IF(대장!J443&lt;&gt;"",대장!J443,대장!D443&amp;"에 임함"&amp;IF(대장!E443="","",CHAR(10)&amp;"고용형태: "&amp;대장!E443)&amp;IF(대장!I443="","",CHAR(10)&amp;"소정근로시간: "&amp;대장!I443)&amp;CHAR(10)&amp;"근로기간: "&amp;YEAR(대장!F443)&amp;"."&amp;MONTH(대장!F443)&amp;"."&amp;DAY(대장!F443)&amp;"."&amp;" ~ "&amp;IF(ISNUMBER(대장!G443),YEAR(대장!G443)&amp;"."&amp;MONTH(대장!G443)&amp;"."&amp;DAY(대장!G443)&amp;".","재직 중")))</x:f>
        <x:v>#NAME?</x:v>
      </x:c>
      <x:c r="F887" s="27" t="e">
        <x:f>IF($A887="","",IF(발령대장_설정!$B$5="","",발령대장_설정!$B$5))</x:f>
        <x:v>#NAME?</x:v>
      </x:c>
      <x:c r="G887" s="27" t="e">
        <x:f>IF($A887="","",IF(발령대장_설정!$B$6="","",발령대장_설정!$B$6))</x:f>
        <x:v>#NAME?</x:v>
      </x:c>
      <x:c r="H887" s="27" t="e">
        <x:f>IF($A887="","",IF(발령대장_설정!$B$7="","",발령대장_설정!$B$7))</x:f>
        <x:v>#NAME?</x:v>
      </x:c>
      <x:c r="I887" s="27" t="e">
        <x:f>IF($A887="","",IF(발령대장_설정!$B$8="","",발령대장_설정!$B$8))</x:f>
        <x:v>#NAME?</x:v>
      </x:c>
      <x:c r="J887" s="27" t="e">
        <x:f>IF($A887="","",IF(대장!K443="","",대장!K443))</x:f>
        <x:v>#NAME?</x:v>
      </x:c>
    </x:row>
    <x:row r="888" ht="42" customHeight="1">
      <x:c r="A888" s="47" t="e">
        <x:f>IF(AND(대장!A443&lt;&gt;"",ISNUMBER(대장!F443),ISNUMBER(대장!G443),대장!G443&gt;=대장!F443,대장!H443&lt;&gt;""),대장!G443,"")</x:f>
        <x:v>#NAME?</x:v>
      </x:c>
      <x:c r="B888" s="27" t="e">
        <x:f>IF($A888="","",IF(발령대장_설정!$B$4="","",발령대장_설정!$B$4))</x:f>
        <x:v>#NAME?</x:v>
      </x:c>
      <x:c r="C888" s="27" t="e">
        <x:f>IF($A888="","",대장!D443)</x:f>
        <x:v>#NAME?</x:v>
      </x:c>
      <x:c r="D888" s="27" t="e">
        <x:f>IF($A888="","",대장!A443)</x:f>
        <x:v>#NAME?</x:v>
      </x:c>
      <x:c r="E888" s="27" t="e">
        <x:f>IF($A888="","",IF(OR(ISNUMBER(SEARCH("계약만료",대장!H443&amp;"")),ISNUMBER(SEARCH("기간만료",대장!H443&amp;""))),"계약기간 만료로 퇴직",IF(ISNUMBER(SEARCH("의원면직",대장!H443&amp;"")),"의원면직",IF(ISNUMBER(SEARCH("정년퇴직",대장!H443&amp;"")),"정년퇴직",대장!H443))))</x:f>
        <x:v>#NAME?</x:v>
      </x:c>
      <x:c r="F888" s="27" t="e">
        <x:f>IF($A888="","",IF(발령대장_설정!$B$5="","",발령대장_설정!$B$5))</x:f>
        <x:v>#NAME?</x:v>
      </x:c>
      <x:c r="G888" s="27" t="e">
        <x:f>IF($A888="","",IF(발령대장_설정!$B$6="","",발령대장_설정!$B$6))</x:f>
        <x:v>#NAME?</x:v>
      </x:c>
      <x:c r="H888" s="27" t="e">
        <x:f>IF($A888="","",IF(발령대장_설정!$B$7="","",발령대장_설정!$B$7))</x:f>
        <x:v>#NAME?</x:v>
      </x:c>
      <x:c r="I888" s="27" t="e">
        <x:f>IF($A888="","",IF(발령대장_설정!$B$8="","",발령대장_설정!$B$8))</x:f>
        <x:v>#NAME?</x:v>
      </x:c>
      <x:c r="J888" s="27" t="str">
        <x:f>""</x:f>
      </x:c>
    </x:row>
    <x:row r="889" ht="42" customHeight="1">
      <x:c r="A889" s="47" t="e">
        <x:f>IF(AND(대장!A444&lt;&gt;"",ISNUMBER(대장!F444),OR(대장!G444="",AND(ISNUMBER(대장!G444),대장!G444&gt;=대장!F444))),대장!F444,"")</x:f>
        <x:v>#NAME?</x:v>
      </x:c>
      <x:c r="B889" s="27" t="e">
        <x:f>IF($A889="","",IF(발령대장_설정!$B$4="","",발령대장_설정!$B$4))</x:f>
        <x:v>#NAME?</x:v>
      </x:c>
      <x:c r="C889" s="27" t="e">
        <x:f>IF($A889="","",대장!D444)</x:f>
        <x:v>#NAME?</x:v>
      </x:c>
      <x:c r="D889" s="27" t="e">
        <x:f>IF($A889="","",대장!A444)</x:f>
        <x:v>#NAME?</x:v>
      </x:c>
      <x:c r="E889" s="27" t="e">
        <x:f>IF($A889="","",IF(대장!J444&lt;&gt;"",대장!J444,대장!D444&amp;"에 임함"&amp;IF(대장!E444="","",CHAR(10)&amp;"고용형태: "&amp;대장!E444)&amp;IF(대장!I444="","",CHAR(10)&amp;"소정근로시간: "&amp;대장!I444)&amp;CHAR(10)&amp;"근로기간: "&amp;YEAR(대장!F444)&amp;"."&amp;MONTH(대장!F444)&amp;"."&amp;DAY(대장!F444)&amp;"."&amp;" ~ "&amp;IF(ISNUMBER(대장!G444),YEAR(대장!G444)&amp;"."&amp;MONTH(대장!G444)&amp;"."&amp;DAY(대장!G444)&amp;".","재직 중")))</x:f>
        <x:v>#NAME?</x:v>
      </x:c>
      <x:c r="F889" s="27" t="e">
        <x:f>IF($A889="","",IF(발령대장_설정!$B$5="","",발령대장_설정!$B$5))</x:f>
        <x:v>#NAME?</x:v>
      </x:c>
      <x:c r="G889" s="27" t="e">
        <x:f>IF($A889="","",IF(발령대장_설정!$B$6="","",발령대장_설정!$B$6))</x:f>
        <x:v>#NAME?</x:v>
      </x:c>
      <x:c r="H889" s="27" t="e">
        <x:f>IF($A889="","",IF(발령대장_설정!$B$7="","",발령대장_설정!$B$7))</x:f>
        <x:v>#NAME?</x:v>
      </x:c>
      <x:c r="I889" s="27" t="e">
        <x:f>IF($A889="","",IF(발령대장_설정!$B$8="","",발령대장_설정!$B$8))</x:f>
        <x:v>#NAME?</x:v>
      </x:c>
      <x:c r="J889" s="27" t="e">
        <x:f>IF($A889="","",IF(대장!K444="","",대장!K444))</x:f>
        <x:v>#NAME?</x:v>
      </x:c>
    </x:row>
    <x:row r="890" ht="42" customHeight="1">
      <x:c r="A890" s="47" t="e">
        <x:f>IF(AND(대장!A444&lt;&gt;"",ISNUMBER(대장!F444),ISNUMBER(대장!G444),대장!G444&gt;=대장!F444,대장!H444&lt;&gt;""),대장!G444,"")</x:f>
        <x:v>#NAME?</x:v>
      </x:c>
      <x:c r="B890" s="27" t="e">
        <x:f>IF($A890="","",IF(발령대장_설정!$B$4="","",발령대장_설정!$B$4))</x:f>
        <x:v>#NAME?</x:v>
      </x:c>
      <x:c r="C890" s="27" t="e">
        <x:f>IF($A890="","",대장!D444)</x:f>
        <x:v>#NAME?</x:v>
      </x:c>
      <x:c r="D890" s="27" t="e">
        <x:f>IF($A890="","",대장!A444)</x:f>
        <x:v>#NAME?</x:v>
      </x:c>
      <x:c r="E890" s="27" t="e">
        <x:f>IF($A890="","",IF(OR(ISNUMBER(SEARCH("계약만료",대장!H444&amp;"")),ISNUMBER(SEARCH("기간만료",대장!H444&amp;""))),"계약기간 만료로 퇴직",IF(ISNUMBER(SEARCH("의원면직",대장!H444&amp;"")),"의원면직",IF(ISNUMBER(SEARCH("정년퇴직",대장!H444&amp;"")),"정년퇴직",대장!H444))))</x:f>
        <x:v>#NAME?</x:v>
      </x:c>
      <x:c r="F890" s="27" t="e">
        <x:f>IF($A890="","",IF(발령대장_설정!$B$5="","",발령대장_설정!$B$5))</x:f>
        <x:v>#NAME?</x:v>
      </x:c>
      <x:c r="G890" s="27" t="e">
        <x:f>IF($A890="","",IF(발령대장_설정!$B$6="","",발령대장_설정!$B$6))</x:f>
        <x:v>#NAME?</x:v>
      </x:c>
      <x:c r="H890" s="27" t="e">
        <x:f>IF($A890="","",IF(발령대장_설정!$B$7="","",발령대장_설정!$B$7))</x:f>
        <x:v>#NAME?</x:v>
      </x:c>
      <x:c r="I890" s="27" t="e">
        <x:f>IF($A890="","",IF(발령대장_설정!$B$8="","",발령대장_설정!$B$8))</x:f>
        <x:v>#NAME?</x:v>
      </x:c>
      <x:c r="J890" s="27" t="str">
        <x:f>""</x:f>
      </x:c>
    </x:row>
    <x:row r="891" ht="42" customHeight="1">
      <x:c r="A891" s="47" t="e">
        <x:f>IF(AND(대장!A445&lt;&gt;"",ISNUMBER(대장!F445),OR(대장!G445="",AND(ISNUMBER(대장!G445),대장!G445&gt;=대장!F445))),대장!F445,"")</x:f>
        <x:v>#NAME?</x:v>
      </x:c>
      <x:c r="B891" s="27" t="e">
        <x:f>IF($A891="","",IF(발령대장_설정!$B$4="","",발령대장_설정!$B$4))</x:f>
        <x:v>#NAME?</x:v>
      </x:c>
      <x:c r="C891" s="27" t="e">
        <x:f>IF($A891="","",대장!D445)</x:f>
        <x:v>#NAME?</x:v>
      </x:c>
      <x:c r="D891" s="27" t="e">
        <x:f>IF($A891="","",대장!A445)</x:f>
        <x:v>#NAME?</x:v>
      </x:c>
      <x:c r="E891" s="27" t="e">
        <x:f>IF($A891="","",IF(대장!J445&lt;&gt;"",대장!J445,대장!D445&amp;"에 임함"&amp;IF(대장!E445="","",CHAR(10)&amp;"고용형태: "&amp;대장!E445)&amp;IF(대장!I445="","",CHAR(10)&amp;"소정근로시간: "&amp;대장!I445)&amp;CHAR(10)&amp;"근로기간: "&amp;YEAR(대장!F445)&amp;"."&amp;MONTH(대장!F445)&amp;"."&amp;DAY(대장!F445)&amp;"."&amp;" ~ "&amp;IF(ISNUMBER(대장!G445),YEAR(대장!G445)&amp;"."&amp;MONTH(대장!G445)&amp;"."&amp;DAY(대장!G445)&amp;".","재직 중")))</x:f>
        <x:v>#NAME?</x:v>
      </x:c>
      <x:c r="F891" s="27" t="e">
        <x:f>IF($A891="","",IF(발령대장_설정!$B$5="","",발령대장_설정!$B$5))</x:f>
        <x:v>#NAME?</x:v>
      </x:c>
      <x:c r="G891" s="27" t="e">
        <x:f>IF($A891="","",IF(발령대장_설정!$B$6="","",발령대장_설정!$B$6))</x:f>
        <x:v>#NAME?</x:v>
      </x:c>
      <x:c r="H891" s="27" t="e">
        <x:f>IF($A891="","",IF(발령대장_설정!$B$7="","",발령대장_설정!$B$7))</x:f>
        <x:v>#NAME?</x:v>
      </x:c>
      <x:c r="I891" s="27" t="e">
        <x:f>IF($A891="","",IF(발령대장_설정!$B$8="","",발령대장_설정!$B$8))</x:f>
        <x:v>#NAME?</x:v>
      </x:c>
      <x:c r="J891" s="27" t="e">
        <x:f>IF($A891="","",IF(대장!K445="","",대장!K445))</x:f>
        <x:v>#NAME?</x:v>
      </x:c>
    </x:row>
    <x:row r="892" ht="42" customHeight="1">
      <x:c r="A892" s="47" t="e">
        <x:f>IF(AND(대장!A445&lt;&gt;"",ISNUMBER(대장!F445),ISNUMBER(대장!G445),대장!G445&gt;=대장!F445,대장!H445&lt;&gt;""),대장!G445,"")</x:f>
        <x:v>#NAME?</x:v>
      </x:c>
      <x:c r="B892" s="27" t="e">
        <x:f>IF($A892="","",IF(발령대장_설정!$B$4="","",발령대장_설정!$B$4))</x:f>
        <x:v>#NAME?</x:v>
      </x:c>
      <x:c r="C892" s="27" t="e">
        <x:f>IF($A892="","",대장!D445)</x:f>
        <x:v>#NAME?</x:v>
      </x:c>
      <x:c r="D892" s="27" t="e">
        <x:f>IF($A892="","",대장!A445)</x:f>
        <x:v>#NAME?</x:v>
      </x:c>
      <x:c r="E892" s="27" t="e">
        <x:f>IF($A892="","",IF(OR(ISNUMBER(SEARCH("계약만료",대장!H445&amp;"")),ISNUMBER(SEARCH("기간만료",대장!H445&amp;""))),"계약기간 만료로 퇴직",IF(ISNUMBER(SEARCH("의원면직",대장!H445&amp;"")),"의원면직",IF(ISNUMBER(SEARCH("정년퇴직",대장!H445&amp;"")),"정년퇴직",대장!H445))))</x:f>
        <x:v>#NAME?</x:v>
      </x:c>
      <x:c r="F892" s="27" t="e">
        <x:f>IF($A892="","",IF(발령대장_설정!$B$5="","",발령대장_설정!$B$5))</x:f>
        <x:v>#NAME?</x:v>
      </x:c>
      <x:c r="G892" s="27" t="e">
        <x:f>IF($A892="","",IF(발령대장_설정!$B$6="","",발령대장_설정!$B$6))</x:f>
        <x:v>#NAME?</x:v>
      </x:c>
      <x:c r="H892" s="27" t="e">
        <x:f>IF($A892="","",IF(발령대장_설정!$B$7="","",발령대장_설정!$B$7))</x:f>
        <x:v>#NAME?</x:v>
      </x:c>
      <x:c r="I892" s="27" t="e">
        <x:f>IF($A892="","",IF(발령대장_설정!$B$8="","",발령대장_설정!$B$8))</x:f>
        <x:v>#NAME?</x:v>
      </x:c>
      <x:c r="J892" s="27" t="str">
        <x:f>""</x:f>
      </x:c>
    </x:row>
    <x:row r="893" ht="42" customHeight="1">
      <x:c r="A893" s="47" t="e">
        <x:f>IF(AND(대장!A446&lt;&gt;"",ISNUMBER(대장!F446),OR(대장!G446="",AND(ISNUMBER(대장!G446),대장!G446&gt;=대장!F446))),대장!F446,"")</x:f>
        <x:v>#NAME?</x:v>
      </x:c>
      <x:c r="B893" s="27" t="e">
        <x:f>IF($A893="","",IF(발령대장_설정!$B$4="","",발령대장_설정!$B$4))</x:f>
        <x:v>#NAME?</x:v>
      </x:c>
      <x:c r="C893" s="27" t="e">
        <x:f>IF($A893="","",대장!D446)</x:f>
        <x:v>#NAME?</x:v>
      </x:c>
      <x:c r="D893" s="27" t="e">
        <x:f>IF($A893="","",대장!A446)</x:f>
        <x:v>#NAME?</x:v>
      </x:c>
      <x:c r="E893" s="27" t="e">
        <x:f>IF($A893="","",IF(대장!J446&lt;&gt;"",대장!J446,대장!D446&amp;"에 임함"&amp;IF(대장!E446="","",CHAR(10)&amp;"고용형태: "&amp;대장!E446)&amp;IF(대장!I446="","",CHAR(10)&amp;"소정근로시간: "&amp;대장!I446)&amp;CHAR(10)&amp;"근로기간: "&amp;YEAR(대장!F446)&amp;"."&amp;MONTH(대장!F446)&amp;"."&amp;DAY(대장!F446)&amp;"."&amp;" ~ "&amp;IF(ISNUMBER(대장!G446),YEAR(대장!G446)&amp;"."&amp;MONTH(대장!G446)&amp;"."&amp;DAY(대장!G446)&amp;".","재직 중")))</x:f>
        <x:v>#NAME?</x:v>
      </x:c>
      <x:c r="F893" s="27" t="e">
        <x:f>IF($A893="","",IF(발령대장_설정!$B$5="","",발령대장_설정!$B$5))</x:f>
        <x:v>#NAME?</x:v>
      </x:c>
      <x:c r="G893" s="27" t="e">
        <x:f>IF($A893="","",IF(발령대장_설정!$B$6="","",발령대장_설정!$B$6))</x:f>
        <x:v>#NAME?</x:v>
      </x:c>
      <x:c r="H893" s="27" t="e">
        <x:f>IF($A893="","",IF(발령대장_설정!$B$7="","",발령대장_설정!$B$7))</x:f>
        <x:v>#NAME?</x:v>
      </x:c>
      <x:c r="I893" s="27" t="e">
        <x:f>IF($A893="","",IF(발령대장_설정!$B$8="","",발령대장_설정!$B$8))</x:f>
        <x:v>#NAME?</x:v>
      </x:c>
      <x:c r="J893" s="27" t="e">
        <x:f>IF($A893="","",IF(대장!K446="","",대장!K446))</x:f>
        <x:v>#NAME?</x:v>
      </x:c>
    </x:row>
    <x:row r="894" ht="42" customHeight="1">
      <x:c r="A894" s="47" t="e">
        <x:f>IF(AND(대장!A446&lt;&gt;"",ISNUMBER(대장!F446),ISNUMBER(대장!G446),대장!G446&gt;=대장!F446,대장!H446&lt;&gt;""),대장!G446,"")</x:f>
        <x:v>#NAME?</x:v>
      </x:c>
      <x:c r="B894" s="27" t="e">
        <x:f>IF($A894="","",IF(발령대장_설정!$B$4="","",발령대장_설정!$B$4))</x:f>
        <x:v>#NAME?</x:v>
      </x:c>
      <x:c r="C894" s="27" t="e">
        <x:f>IF($A894="","",대장!D446)</x:f>
        <x:v>#NAME?</x:v>
      </x:c>
      <x:c r="D894" s="27" t="e">
        <x:f>IF($A894="","",대장!A446)</x:f>
        <x:v>#NAME?</x:v>
      </x:c>
      <x:c r="E894" s="27" t="e">
        <x:f>IF($A894="","",IF(OR(ISNUMBER(SEARCH("계약만료",대장!H446&amp;"")),ISNUMBER(SEARCH("기간만료",대장!H446&amp;""))),"계약기간 만료로 퇴직",IF(ISNUMBER(SEARCH("의원면직",대장!H446&amp;"")),"의원면직",IF(ISNUMBER(SEARCH("정년퇴직",대장!H446&amp;"")),"정년퇴직",대장!H446))))</x:f>
        <x:v>#NAME?</x:v>
      </x:c>
      <x:c r="F894" s="27" t="e">
        <x:f>IF($A894="","",IF(발령대장_설정!$B$5="","",발령대장_설정!$B$5))</x:f>
        <x:v>#NAME?</x:v>
      </x:c>
      <x:c r="G894" s="27" t="e">
        <x:f>IF($A894="","",IF(발령대장_설정!$B$6="","",발령대장_설정!$B$6))</x:f>
        <x:v>#NAME?</x:v>
      </x:c>
      <x:c r="H894" s="27" t="e">
        <x:f>IF($A894="","",IF(발령대장_설정!$B$7="","",발령대장_설정!$B$7))</x:f>
        <x:v>#NAME?</x:v>
      </x:c>
      <x:c r="I894" s="27" t="e">
        <x:f>IF($A894="","",IF(발령대장_설정!$B$8="","",발령대장_설정!$B$8))</x:f>
        <x:v>#NAME?</x:v>
      </x:c>
      <x:c r="J894" s="27" t="str">
        <x:f>""</x:f>
      </x:c>
    </x:row>
    <x:row r="895" ht="42" customHeight="1">
      <x:c r="A895" s="47" t="e">
        <x:f>IF(AND(대장!A447&lt;&gt;"",ISNUMBER(대장!F447),OR(대장!G447="",AND(ISNUMBER(대장!G447),대장!G447&gt;=대장!F447))),대장!F447,"")</x:f>
        <x:v>#NAME?</x:v>
      </x:c>
      <x:c r="B895" s="27" t="e">
        <x:f>IF($A895="","",IF(발령대장_설정!$B$4="","",발령대장_설정!$B$4))</x:f>
        <x:v>#NAME?</x:v>
      </x:c>
      <x:c r="C895" s="27" t="e">
        <x:f>IF($A895="","",대장!D447)</x:f>
        <x:v>#NAME?</x:v>
      </x:c>
      <x:c r="D895" s="27" t="e">
        <x:f>IF($A895="","",대장!A447)</x:f>
        <x:v>#NAME?</x:v>
      </x:c>
      <x:c r="E895" s="27" t="e">
        <x:f>IF($A895="","",IF(대장!J447&lt;&gt;"",대장!J447,대장!D447&amp;"에 임함"&amp;IF(대장!E447="","",CHAR(10)&amp;"고용형태: "&amp;대장!E447)&amp;IF(대장!I447="","",CHAR(10)&amp;"소정근로시간: "&amp;대장!I447)&amp;CHAR(10)&amp;"근로기간: "&amp;YEAR(대장!F447)&amp;"."&amp;MONTH(대장!F447)&amp;"."&amp;DAY(대장!F447)&amp;"."&amp;" ~ "&amp;IF(ISNUMBER(대장!G447),YEAR(대장!G447)&amp;"."&amp;MONTH(대장!G447)&amp;"."&amp;DAY(대장!G447)&amp;".","재직 중")))</x:f>
        <x:v>#NAME?</x:v>
      </x:c>
      <x:c r="F895" s="27" t="e">
        <x:f>IF($A895="","",IF(발령대장_설정!$B$5="","",발령대장_설정!$B$5))</x:f>
        <x:v>#NAME?</x:v>
      </x:c>
      <x:c r="G895" s="27" t="e">
        <x:f>IF($A895="","",IF(발령대장_설정!$B$6="","",발령대장_설정!$B$6))</x:f>
        <x:v>#NAME?</x:v>
      </x:c>
      <x:c r="H895" s="27" t="e">
        <x:f>IF($A895="","",IF(발령대장_설정!$B$7="","",발령대장_설정!$B$7))</x:f>
        <x:v>#NAME?</x:v>
      </x:c>
      <x:c r="I895" s="27" t="e">
        <x:f>IF($A895="","",IF(발령대장_설정!$B$8="","",발령대장_설정!$B$8))</x:f>
        <x:v>#NAME?</x:v>
      </x:c>
      <x:c r="J895" s="27" t="e">
        <x:f>IF($A895="","",IF(대장!K447="","",대장!K447))</x:f>
        <x:v>#NAME?</x:v>
      </x:c>
    </x:row>
    <x:row r="896" ht="42" customHeight="1">
      <x:c r="A896" s="47" t="e">
        <x:f>IF(AND(대장!A447&lt;&gt;"",ISNUMBER(대장!F447),ISNUMBER(대장!G447),대장!G447&gt;=대장!F447,대장!H447&lt;&gt;""),대장!G447,"")</x:f>
        <x:v>#NAME?</x:v>
      </x:c>
      <x:c r="B896" s="27" t="e">
        <x:f>IF($A896="","",IF(발령대장_설정!$B$4="","",발령대장_설정!$B$4))</x:f>
        <x:v>#NAME?</x:v>
      </x:c>
      <x:c r="C896" s="27" t="e">
        <x:f>IF($A896="","",대장!D447)</x:f>
        <x:v>#NAME?</x:v>
      </x:c>
      <x:c r="D896" s="27" t="e">
        <x:f>IF($A896="","",대장!A447)</x:f>
        <x:v>#NAME?</x:v>
      </x:c>
      <x:c r="E896" s="27" t="e">
        <x:f>IF($A896="","",IF(OR(ISNUMBER(SEARCH("계약만료",대장!H447&amp;"")),ISNUMBER(SEARCH("기간만료",대장!H447&amp;""))),"계약기간 만료로 퇴직",IF(ISNUMBER(SEARCH("의원면직",대장!H447&amp;"")),"의원면직",IF(ISNUMBER(SEARCH("정년퇴직",대장!H447&amp;"")),"정년퇴직",대장!H447))))</x:f>
        <x:v>#NAME?</x:v>
      </x:c>
      <x:c r="F896" s="27" t="e">
        <x:f>IF($A896="","",IF(발령대장_설정!$B$5="","",발령대장_설정!$B$5))</x:f>
        <x:v>#NAME?</x:v>
      </x:c>
      <x:c r="G896" s="27" t="e">
        <x:f>IF($A896="","",IF(발령대장_설정!$B$6="","",발령대장_설정!$B$6))</x:f>
        <x:v>#NAME?</x:v>
      </x:c>
      <x:c r="H896" s="27" t="e">
        <x:f>IF($A896="","",IF(발령대장_설정!$B$7="","",발령대장_설정!$B$7))</x:f>
        <x:v>#NAME?</x:v>
      </x:c>
      <x:c r="I896" s="27" t="e">
        <x:f>IF($A896="","",IF(발령대장_설정!$B$8="","",발령대장_설정!$B$8))</x:f>
        <x:v>#NAME?</x:v>
      </x:c>
      <x:c r="J896" s="27" t="str">
        <x:f>""</x:f>
      </x:c>
    </x:row>
    <x:row r="897" ht="42" customHeight="1">
      <x:c r="A897" s="47" t="e">
        <x:f>IF(AND(대장!A448&lt;&gt;"",ISNUMBER(대장!F448),OR(대장!G448="",AND(ISNUMBER(대장!G448),대장!G448&gt;=대장!F448))),대장!F448,"")</x:f>
        <x:v>#NAME?</x:v>
      </x:c>
      <x:c r="B897" s="27" t="e">
        <x:f>IF($A897="","",IF(발령대장_설정!$B$4="","",발령대장_설정!$B$4))</x:f>
        <x:v>#NAME?</x:v>
      </x:c>
      <x:c r="C897" s="27" t="e">
        <x:f>IF($A897="","",대장!D448)</x:f>
        <x:v>#NAME?</x:v>
      </x:c>
      <x:c r="D897" s="27" t="e">
        <x:f>IF($A897="","",대장!A448)</x:f>
        <x:v>#NAME?</x:v>
      </x:c>
      <x:c r="E897" s="27" t="e">
        <x:f>IF($A897="","",IF(대장!J448&lt;&gt;"",대장!J448,대장!D448&amp;"에 임함"&amp;IF(대장!E448="","",CHAR(10)&amp;"고용형태: "&amp;대장!E448)&amp;IF(대장!I448="","",CHAR(10)&amp;"소정근로시간: "&amp;대장!I448)&amp;CHAR(10)&amp;"근로기간: "&amp;YEAR(대장!F448)&amp;"."&amp;MONTH(대장!F448)&amp;"."&amp;DAY(대장!F448)&amp;"."&amp;" ~ "&amp;IF(ISNUMBER(대장!G448),YEAR(대장!G448)&amp;"."&amp;MONTH(대장!G448)&amp;"."&amp;DAY(대장!G448)&amp;".","재직 중")))</x:f>
        <x:v>#NAME?</x:v>
      </x:c>
      <x:c r="F897" s="27" t="e">
        <x:f>IF($A897="","",IF(발령대장_설정!$B$5="","",발령대장_설정!$B$5))</x:f>
        <x:v>#NAME?</x:v>
      </x:c>
      <x:c r="G897" s="27" t="e">
        <x:f>IF($A897="","",IF(발령대장_설정!$B$6="","",발령대장_설정!$B$6))</x:f>
        <x:v>#NAME?</x:v>
      </x:c>
      <x:c r="H897" s="27" t="e">
        <x:f>IF($A897="","",IF(발령대장_설정!$B$7="","",발령대장_설정!$B$7))</x:f>
        <x:v>#NAME?</x:v>
      </x:c>
      <x:c r="I897" s="27" t="e">
        <x:f>IF($A897="","",IF(발령대장_설정!$B$8="","",발령대장_설정!$B$8))</x:f>
        <x:v>#NAME?</x:v>
      </x:c>
      <x:c r="J897" s="27" t="e">
        <x:f>IF($A897="","",IF(대장!K448="","",대장!K448))</x:f>
        <x:v>#NAME?</x:v>
      </x:c>
    </x:row>
    <x:row r="898" ht="42" customHeight="1">
      <x:c r="A898" s="47" t="e">
        <x:f>IF(AND(대장!A448&lt;&gt;"",ISNUMBER(대장!F448),ISNUMBER(대장!G448),대장!G448&gt;=대장!F448,대장!H448&lt;&gt;""),대장!G448,"")</x:f>
        <x:v>#NAME?</x:v>
      </x:c>
      <x:c r="B898" s="27" t="e">
        <x:f>IF($A898="","",IF(발령대장_설정!$B$4="","",발령대장_설정!$B$4))</x:f>
        <x:v>#NAME?</x:v>
      </x:c>
      <x:c r="C898" s="27" t="e">
        <x:f>IF($A898="","",대장!D448)</x:f>
        <x:v>#NAME?</x:v>
      </x:c>
      <x:c r="D898" s="27" t="e">
        <x:f>IF($A898="","",대장!A448)</x:f>
        <x:v>#NAME?</x:v>
      </x:c>
      <x:c r="E898" s="27" t="e">
        <x:f>IF($A898="","",IF(OR(ISNUMBER(SEARCH("계약만료",대장!H448&amp;"")),ISNUMBER(SEARCH("기간만료",대장!H448&amp;""))),"계약기간 만료로 퇴직",IF(ISNUMBER(SEARCH("의원면직",대장!H448&amp;"")),"의원면직",IF(ISNUMBER(SEARCH("정년퇴직",대장!H448&amp;"")),"정년퇴직",대장!H448))))</x:f>
        <x:v>#NAME?</x:v>
      </x:c>
      <x:c r="F898" s="27" t="e">
        <x:f>IF($A898="","",IF(발령대장_설정!$B$5="","",발령대장_설정!$B$5))</x:f>
        <x:v>#NAME?</x:v>
      </x:c>
      <x:c r="G898" s="27" t="e">
        <x:f>IF($A898="","",IF(발령대장_설정!$B$6="","",발령대장_설정!$B$6))</x:f>
        <x:v>#NAME?</x:v>
      </x:c>
      <x:c r="H898" s="27" t="e">
        <x:f>IF($A898="","",IF(발령대장_설정!$B$7="","",발령대장_설정!$B$7))</x:f>
        <x:v>#NAME?</x:v>
      </x:c>
      <x:c r="I898" s="27" t="e">
        <x:f>IF($A898="","",IF(발령대장_설정!$B$8="","",발령대장_설정!$B$8))</x:f>
        <x:v>#NAME?</x:v>
      </x:c>
      <x:c r="J898" s="27" t="str">
        <x:f>""</x:f>
      </x:c>
    </x:row>
    <x:row r="899" ht="42" customHeight="1">
      <x:c r="A899" s="47" t="e">
        <x:f>IF(AND(대장!A449&lt;&gt;"",ISNUMBER(대장!F449),OR(대장!G449="",AND(ISNUMBER(대장!G449),대장!G449&gt;=대장!F449))),대장!F449,"")</x:f>
        <x:v>#NAME?</x:v>
      </x:c>
      <x:c r="B899" s="27" t="e">
        <x:f>IF($A899="","",IF(발령대장_설정!$B$4="","",발령대장_설정!$B$4))</x:f>
        <x:v>#NAME?</x:v>
      </x:c>
      <x:c r="C899" s="27" t="e">
        <x:f>IF($A899="","",대장!D449)</x:f>
        <x:v>#NAME?</x:v>
      </x:c>
      <x:c r="D899" s="27" t="e">
        <x:f>IF($A899="","",대장!A449)</x:f>
        <x:v>#NAME?</x:v>
      </x:c>
      <x:c r="E899" s="27" t="e">
        <x:f>IF($A899="","",IF(대장!J449&lt;&gt;"",대장!J449,대장!D449&amp;"에 임함"&amp;IF(대장!E449="","",CHAR(10)&amp;"고용형태: "&amp;대장!E449)&amp;IF(대장!I449="","",CHAR(10)&amp;"소정근로시간: "&amp;대장!I449)&amp;CHAR(10)&amp;"근로기간: "&amp;YEAR(대장!F449)&amp;"."&amp;MONTH(대장!F449)&amp;"."&amp;DAY(대장!F449)&amp;"."&amp;" ~ "&amp;IF(ISNUMBER(대장!G449),YEAR(대장!G449)&amp;"."&amp;MONTH(대장!G449)&amp;"."&amp;DAY(대장!G449)&amp;".","재직 중")))</x:f>
        <x:v>#NAME?</x:v>
      </x:c>
      <x:c r="F899" s="27" t="e">
        <x:f>IF($A899="","",IF(발령대장_설정!$B$5="","",발령대장_설정!$B$5))</x:f>
        <x:v>#NAME?</x:v>
      </x:c>
      <x:c r="G899" s="27" t="e">
        <x:f>IF($A899="","",IF(발령대장_설정!$B$6="","",발령대장_설정!$B$6))</x:f>
        <x:v>#NAME?</x:v>
      </x:c>
      <x:c r="H899" s="27" t="e">
        <x:f>IF($A899="","",IF(발령대장_설정!$B$7="","",발령대장_설정!$B$7))</x:f>
        <x:v>#NAME?</x:v>
      </x:c>
      <x:c r="I899" s="27" t="e">
        <x:f>IF($A899="","",IF(발령대장_설정!$B$8="","",발령대장_설정!$B$8))</x:f>
        <x:v>#NAME?</x:v>
      </x:c>
      <x:c r="J899" s="27" t="e">
        <x:f>IF($A899="","",IF(대장!K449="","",대장!K449))</x:f>
        <x:v>#NAME?</x:v>
      </x:c>
    </x:row>
    <x:row r="900" ht="42" customHeight="1">
      <x:c r="A900" s="47" t="e">
        <x:f>IF(AND(대장!A449&lt;&gt;"",ISNUMBER(대장!F449),ISNUMBER(대장!G449),대장!G449&gt;=대장!F449,대장!H449&lt;&gt;""),대장!G449,"")</x:f>
        <x:v>#NAME?</x:v>
      </x:c>
      <x:c r="B900" s="27" t="e">
        <x:f>IF($A900="","",IF(발령대장_설정!$B$4="","",발령대장_설정!$B$4))</x:f>
        <x:v>#NAME?</x:v>
      </x:c>
      <x:c r="C900" s="27" t="e">
        <x:f>IF($A900="","",대장!D449)</x:f>
        <x:v>#NAME?</x:v>
      </x:c>
      <x:c r="D900" s="27" t="e">
        <x:f>IF($A900="","",대장!A449)</x:f>
        <x:v>#NAME?</x:v>
      </x:c>
      <x:c r="E900" s="27" t="e">
        <x:f>IF($A900="","",IF(OR(ISNUMBER(SEARCH("계약만료",대장!H449&amp;"")),ISNUMBER(SEARCH("기간만료",대장!H449&amp;""))),"계약기간 만료로 퇴직",IF(ISNUMBER(SEARCH("의원면직",대장!H449&amp;"")),"의원면직",IF(ISNUMBER(SEARCH("정년퇴직",대장!H449&amp;"")),"정년퇴직",대장!H449))))</x:f>
        <x:v>#NAME?</x:v>
      </x:c>
      <x:c r="F900" s="27" t="e">
        <x:f>IF($A900="","",IF(발령대장_설정!$B$5="","",발령대장_설정!$B$5))</x:f>
        <x:v>#NAME?</x:v>
      </x:c>
      <x:c r="G900" s="27" t="e">
        <x:f>IF($A900="","",IF(발령대장_설정!$B$6="","",발령대장_설정!$B$6))</x:f>
        <x:v>#NAME?</x:v>
      </x:c>
      <x:c r="H900" s="27" t="e">
        <x:f>IF($A900="","",IF(발령대장_설정!$B$7="","",발령대장_설정!$B$7))</x:f>
        <x:v>#NAME?</x:v>
      </x:c>
      <x:c r="I900" s="27" t="e">
        <x:f>IF($A900="","",IF(발령대장_설정!$B$8="","",발령대장_설정!$B$8))</x:f>
        <x:v>#NAME?</x:v>
      </x:c>
      <x:c r="J900" s="27" t="str">
        <x:f>""</x:f>
      </x:c>
    </x:row>
    <x:row r="901" ht="42" customHeight="1">
      <x:c r="A901" s="47" t="e">
        <x:f>IF(AND(대장!A450&lt;&gt;"",ISNUMBER(대장!F450),OR(대장!G450="",AND(ISNUMBER(대장!G450),대장!G450&gt;=대장!F450))),대장!F450,"")</x:f>
        <x:v>#NAME?</x:v>
      </x:c>
      <x:c r="B901" s="27" t="e">
        <x:f>IF($A901="","",IF(발령대장_설정!$B$4="","",발령대장_설정!$B$4))</x:f>
        <x:v>#NAME?</x:v>
      </x:c>
      <x:c r="C901" s="27" t="e">
        <x:f>IF($A901="","",대장!D450)</x:f>
        <x:v>#NAME?</x:v>
      </x:c>
      <x:c r="D901" s="27" t="e">
        <x:f>IF($A901="","",대장!A450)</x:f>
        <x:v>#NAME?</x:v>
      </x:c>
      <x:c r="E901" s="27" t="e">
        <x:f>IF($A901="","",IF(대장!J450&lt;&gt;"",대장!J450,대장!D450&amp;"에 임함"&amp;IF(대장!E450="","",CHAR(10)&amp;"고용형태: "&amp;대장!E450)&amp;IF(대장!I450="","",CHAR(10)&amp;"소정근로시간: "&amp;대장!I450)&amp;CHAR(10)&amp;"근로기간: "&amp;YEAR(대장!F450)&amp;"."&amp;MONTH(대장!F450)&amp;"."&amp;DAY(대장!F450)&amp;"."&amp;" ~ "&amp;IF(ISNUMBER(대장!G450),YEAR(대장!G450)&amp;"."&amp;MONTH(대장!G450)&amp;"."&amp;DAY(대장!G450)&amp;".","재직 중")))</x:f>
        <x:v>#NAME?</x:v>
      </x:c>
      <x:c r="F901" s="27" t="e">
        <x:f>IF($A901="","",IF(발령대장_설정!$B$5="","",발령대장_설정!$B$5))</x:f>
        <x:v>#NAME?</x:v>
      </x:c>
      <x:c r="G901" s="27" t="e">
        <x:f>IF($A901="","",IF(발령대장_설정!$B$6="","",발령대장_설정!$B$6))</x:f>
        <x:v>#NAME?</x:v>
      </x:c>
      <x:c r="H901" s="27" t="e">
        <x:f>IF($A901="","",IF(발령대장_설정!$B$7="","",발령대장_설정!$B$7))</x:f>
        <x:v>#NAME?</x:v>
      </x:c>
      <x:c r="I901" s="27" t="e">
        <x:f>IF($A901="","",IF(발령대장_설정!$B$8="","",발령대장_설정!$B$8))</x:f>
        <x:v>#NAME?</x:v>
      </x:c>
      <x:c r="J901" s="27" t="e">
        <x:f>IF($A901="","",IF(대장!K450="","",대장!K450))</x:f>
        <x:v>#NAME?</x:v>
      </x:c>
    </x:row>
    <x:row r="902" ht="42" customHeight="1">
      <x:c r="A902" s="47" t="e">
        <x:f>IF(AND(대장!A450&lt;&gt;"",ISNUMBER(대장!F450),ISNUMBER(대장!G450),대장!G450&gt;=대장!F450,대장!H450&lt;&gt;""),대장!G450,"")</x:f>
        <x:v>#NAME?</x:v>
      </x:c>
      <x:c r="B902" s="27" t="e">
        <x:f>IF($A902="","",IF(발령대장_설정!$B$4="","",발령대장_설정!$B$4))</x:f>
        <x:v>#NAME?</x:v>
      </x:c>
      <x:c r="C902" s="27" t="e">
        <x:f>IF($A902="","",대장!D450)</x:f>
        <x:v>#NAME?</x:v>
      </x:c>
      <x:c r="D902" s="27" t="e">
        <x:f>IF($A902="","",대장!A450)</x:f>
        <x:v>#NAME?</x:v>
      </x:c>
      <x:c r="E902" s="27" t="e">
        <x:f>IF($A902="","",IF(OR(ISNUMBER(SEARCH("계약만료",대장!H450&amp;"")),ISNUMBER(SEARCH("기간만료",대장!H450&amp;""))),"계약기간 만료로 퇴직",IF(ISNUMBER(SEARCH("의원면직",대장!H450&amp;"")),"의원면직",IF(ISNUMBER(SEARCH("정년퇴직",대장!H450&amp;"")),"정년퇴직",대장!H450))))</x:f>
        <x:v>#NAME?</x:v>
      </x:c>
      <x:c r="F902" s="27" t="e">
        <x:f>IF($A902="","",IF(발령대장_설정!$B$5="","",발령대장_설정!$B$5))</x:f>
        <x:v>#NAME?</x:v>
      </x:c>
      <x:c r="G902" s="27" t="e">
        <x:f>IF($A902="","",IF(발령대장_설정!$B$6="","",발령대장_설정!$B$6))</x:f>
        <x:v>#NAME?</x:v>
      </x:c>
      <x:c r="H902" s="27" t="e">
        <x:f>IF($A902="","",IF(발령대장_설정!$B$7="","",발령대장_설정!$B$7))</x:f>
        <x:v>#NAME?</x:v>
      </x:c>
      <x:c r="I902" s="27" t="e">
        <x:f>IF($A902="","",IF(발령대장_설정!$B$8="","",발령대장_설정!$B$8))</x:f>
        <x:v>#NAME?</x:v>
      </x:c>
      <x:c r="J902" s="27" t="str">
        <x:f>""</x:f>
      </x:c>
    </x:row>
    <x:row r="903" ht="42" customHeight="1">
      <x:c r="A903" s="47" t="e">
        <x:f>IF(AND(대장!A451&lt;&gt;"",ISNUMBER(대장!F451),OR(대장!G451="",AND(ISNUMBER(대장!G451),대장!G451&gt;=대장!F451))),대장!F451,"")</x:f>
        <x:v>#NAME?</x:v>
      </x:c>
      <x:c r="B903" s="27" t="e">
        <x:f>IF($A903="","",IF(발령대장_설정!$B$4="","",발령대장_설정!$B$4))</x:f>
        <x:v>#NAME?</x:v>
      </x:c>
      <x:c r="C903" s="27" t="e">
        <x:f>IF($A903="","",대장!D451)</x:f>
        <x:v>#NAME?</x:v>
      </x:c>
      <x:c r="D903" s="27" t="e">
        <x:f>IF($A903="","",대장!A451)</x:f>
        <x:v>#NAME?</x:v>
      </x:c>
      <x:c r="E903" s="27" t="e">
        <x:f>IF($A903="","",IF(대장!J451&lt;&gt;"",대장!J451,대장!D451&amp;"에 임함"&amp;IF(대장!E451="","",CHAR(10)&amp;"고용형태: "&amp;대장!E451)&amp;IF(대장!I451="","",CHAR(10)&amp;"소정근로시간: "&amp;대장!I451)&amp;CHAR(10)&amp;"근로기간: "&amp;YEAR(대장!F451)&amp;"."&amp;MONTH(대장!F451)&amp;"."&amp;DAY(대장!F451)&amp;"."&amp;" ~ "&amp;IF(ISNUMBER(대장!G451),YEAR(대장!G451)&amp;"."&amp;MONTH(대장!G451)&amp;"."&amp;DAY(대장!G451)&amp;".","재직 중")))</x:f>
        <x:v>#NAME?</x:v>
      </x:c>
      <x:c r="F903" s="27" t="e">
        <x:f>IF($A903="","",IF(발령대장_설정!$B$5="","",발령대장_설정!$B$5))</x:f>
        <x:v>#NAME?</x:v>
      </x:c>
      <x:c r="G903" s="27" t="e">
        <x:f>IF($A903="","",IF(발령대장_설정!$B$6="","",발령대장_설정!$B$6))</x:f>
        <x:v>#NAME?</x:v>
      </x:c>
      <x:c r="H903" s="27" t="e">
        <x:f>IF($A903="","",IF(발령대장_설정!$B$7="","",발령대장_설정!$B$7))</x:f>
        <x:v>#NAME?</x:v>
      </x:c>
      <x:c r="I903" s="27" t="e">
        <x:f>IF($A903="","",IF(발령대장_설정!$B$8="","",발령대장_설정!$B$8))</x:f>
        <x:v>#NAME?</x:v>
      </x:c>
      <x:c r="J903" s="27" t="e">
        <x:f>IF($A903="","",IF(대장!K451="","",대장!K451))</x:f>
        <x:v>#NAME?</x:v>
      </x:c>
    </x:row>
    <x:row r="904" ht="42" customHeight="1">
      <x:c r="A904" s="47" t="e">
        <x:f>IF(AND(대장!A451&lt;&gt;"",ISNUMBER(대장!F451),ISNUMBER(대장!G451),대장!G451&gt;=대장!F451,대장!H451&lt;&gt;""),대장!G451,"")</x:f>
        <x:v>#NAME?</x:v>
      </x:c>
      <x:c r="B904" s="27" t="e">
        <x:f>IF($A904="","",IF(발령대장_설정!$B$4="","",발령대장_설정!$B$4))</x:f>
        <x:v>#NAME?</x:v>
      </x:c>
      <x:c r="C904" s="27" t="e">
        <x:f>IF($A904="","",대장!D451)</x:f>
        <x:v>#NAME?</x:v>
      </x:c>
      <x:c r="D904" s="27" t="e">
        <x:f>IF($A904="","",대장!A451)</x:f>
        <x:v>#NAME?</x:v>
      </x:c>
      <x:c r="E904" s="27" t="e">
        <x:f>IF($A904="","",IF(OR(ISNUMBER(SEARCH("계약만료",대장!H451&amp;"")),ISNUMBER(SEARCH("기간만료",대장!H451&amp;""))),"계약기간 만료로 퇴직",IF(ISNUMBER(SEARCH("의원면직",대장!H451&amp;"")),"의원면직",IF(ISNUMBER(SEARCH("정년퇴직",대장!H451&amp;"")),"정년퇴직",대장!H451))))</x:f>
        <x:v>#NAME?</x:v>
      </x:c>
      <x:c r="F904" s="27" t="e">
        <x:f>IF($A904="","",IF(발령대장_설정!$B$5="","",발령대장_설정!$B$5))</x:f>
        <x:v>#NAME?</x:v>
      </x:c>
      <x:c r="G904" s="27" t="e">
        <x:f>IF($A904="","",IF(발령대장_설정!$B$6="","",발령대장_설정!$B$6))</x:f>
        <x:v>#NAME?</x:v>
      </x:c>
      <x:c r="H904" s="27" t="e">
        <x:f>IF($A904="","",IF(발령대장_설정!$B$7="","",발령대장_설정!$B$7))</x:f>
        <x:v>#NAME?</x:v>
      </x:c>
      <x:c r="I904" s="27" t="e">
        <x:f>IF($A904="","",IF(발령대장_설정!$B$8="","",발령대장_설정!$B$8))</x:f>
        <x:v>#NAME?</x:v>
      </x:c>
      <x:c r="J904" s="27" t="str">
        <x:f>""</x:f>
      </x:c>
    </x:row>
    <x:row r="905" ht="42" customHeight="1">
      <x:c r="A905" s="47" t="e">
        <x:f>IF(AND(대장!A452&lt;&gt;"",ISNUMBER(대장!F452),OR(대장!G452="",AND(ISNUMBER(대장!G452),대장!G452&gt;=대장!F452))),대장!F452,"")</x:f>
        <x:v>#NAME?</x:v>
      </x:c>
      <x:c r="B905" s="27" t="e">
        <x:f>IF($A905="","",IF(발령대장_설정!$B$4="","",발령대장_설정!$B$4))</x:f>
        <x:v>#NAME?</x:v>
      </x:c>
      <x:c r="C905" s="27" t="e">
        <x:f>IF($A905="","",대장!D452)</x:f>
        <x:v>#NAME?</x:v>
      </x:c>
      <x:c r="D905" s="27" t="e">
        <x:f>IF($A905="","",대장!A452)</x:f>
        <x:v>#NAME?</x:v>
      </x:c>
      <x:c r="E905" s="27" t="e">
        <x:f>IF($A905="","",IF(대장!J452&lt;&gt;"",대장!J452,대장!D452&amp;"에 임함"&amp;IF(대장!E452="","",CHAR(10)&amp;"고용형태: "&amp;대장!E452)&amp;IF(대장!I452="","",CHAR(10)&amp;"소정근로시간: "&amp;대장!I452)&amp;CHAR(10)&amp;"근로기간: "&amp;YEAR(대장!F452)&amp;"."&amp;MONTH(대장!F452)&amp;"."&amp;DAY(대장!F452)&amp;"."&amp;" ~ "&amp;IF(ISNUMBER(대장!G452),YEAR(대장!G452)&amp;"."&amp;MONTH(대장!G452)&amp;"."&amp;DAY(대장!G452)&amp;".","재직 중")))</x:f>
        <x:v>#NAME?</x:v>
      </x:c>
      <x:c r="F905" s="27" t="e">
        <x:f>IF($A905="","",IF(발령대장_설정!$B$5="","",발령대장_설정!$B$5))</x:f>
        <x:v>#NAME?</x:v>
      </x:c>
      <x:c r="G905" s="27" t="e">
        <x:f>IF($A905="","",IF(발령대장_설정!$B$6="","",발령대장_설정!$B$6))</x:f>
        <x:v>#NAME?</x:v>
      </x:c>
      <x:c r="H905" s="27" t="e">
        <x:f>IF($A905="","",IF(발령대장_설정!$B$7="","",발령대장_설정!$B$7))</x:f>
        <x:v>#NAME?</x:v>
      </x:c>
      <x:c r="I905" s="27" t="e">
        <x:f>IF($A905="","",IF(발령대장_설정!$B$8="","",발령대장_설정!$B$8))</x:f>
        <x:v>#NAME?</x:v>
      </x:c>
      <x:c r="J905" s="27" t="e">
        <x:f>IF($A905="","",IF(대장!K452="","",대장!K452))</x:f>
        <x:v>#NAME?</x:v>
      </x:c>
    </x:row>
    <x:row r="906" ht="42" customHeight="1">
      <x:c r="A906" s="47" t="e">
        <x:f>IF(AND(대장!A452&lt;&gt;"",ISNUMBER(대장!F452),ISNUMBER(대장!G452),대장!G452&gt;=대장!F452,대장!H452&lt;&gt;""),대장!G452,"")</x:f>
        <x:v>#NAME?</x:v>
      </x:c>
      <x:c r="B906" s="27" t="e">
        <x:f>IF($A906="","",IF(발령대장_설정!$B$4="","",발령대장_설정!$B$4))</x:f>
        <x:v>#NAME?</x:v>
      </x:c>
      <x:c r="C906" s="27" t="e">
        <x:f>IF($A906="","",대장!D452)</x:f>
        <x:v>#NAME?</x:v>
      </x:c>
      <x:c r="D906" s="27" t="e">
        <x:f>IF($A906="","",대장!A452)</x:f>
        <x:v>#NAME?</x:v>
      </x:c>
      <x:c r="E906" s="27" t="e">
        <x:f>IF($A906="","",IF(OR(ISNUMBER(SEARCH("계약만료",대장!H452&amp;"")),ISNUMBER(SEARCH("기간만료",대장!H452&amp;""))),"계약기간 만료로 퇴직",IF(ISNUMBER(SEARCH("의원면직",대장!H452&amp;"")),"의원면직",IF(ISNUMBER(SEARCH("정년퇴직",대장!H452&amp;"")),"정년퇴직",대장!H452))))</x:f>
        <x:v>#NAME?</x:v>
      </x:c>
      <x:c r="F906" s="27" t="e">
        <x:f>IF($A906="","",IF(발령대장_설정!$B$5="","",발령대장_설정!$B$5))</x:f>
        <x:v>#NAME?</x:v>
      </x:c>
      <x:c r="G906" s="27" t="e">
        <x:f>IF($A906="","",IF(발령대장_설정!$B$6="","",발령대장_설정!$B$6))</x:f>
        <x:v>#NAME?</x:v>
      </x:c>
      <x:c r="H906" s="27" t="e">
        <x:f>IF($A906="","",IF(발령대장_설정!$B$7="","",발령대장_설정!$B$7))</x:f>
        <x:v>#NAME?</x:v>
      </x:c>
      <x:c r="I906" s="27" t="e">
        <x:f>IF($A906="","",IF(발령대장_설정!$B$8="","",발령대장_설정!$B$8))</x:f>
        <x:v>#NAME?</x:v>
      </x:c>
      <x:c r="J906" s="27" t="str">
        <x:f>""</x:f>
      </x:c>
    </x:row>
    <x:row r="907" ht="42" customHeight="1">
      <x:c r="A907" s="47" t="e">
        <x:f>IF(AND(대장!A453&lt;&gt;"",ISNUMBER(대장!F453),OR(대장!G453="",AND(ISNUMBER(대장!G453),대장!G453&gt;=대장!F453))),대장!F453,"")</x:f>
        <x:v>#NAME?</x:v>
      </x:c>
      <x:c r="B907" s="27" t="e">
        <x:f>IF($A907="","",IF(발령대장_설정!$B$4="","",발령대장_설정!$B$4))</x:f>
        <x:v>#NAME?</x:v>
      </x:c>
      <x:c r="C907" s="27" t="e">
        <x:f>IF($A907="","",대장!D453)</x:f>
        <x:v>#NAME?</x:v>
      </x:c>
      <x:c r="D907" s="27" t="e">
        <x:f>IF($A907="","",대장!A453)</x:f>
        <x:v>#NAME?</x:v>
      </x:c>
      <x:c r="E907" s="27" t="e">
        <x:f>IF($A907="","",IF(대장!J453&lt;&gt;"",대장!J453,대장!D453&amp;"에 임함"&amp;IF(대장!E453="","",CHAR(10)&amp;"고용형태: "&amp;대장!E453)&amp;IF(대장!I453="","",CHAR(10)&amp;"소정근로시간: "&amp;대장!I453)&amp;CHAR(10)&amp;"근로기간: "&amp;YEAR(대장!F453)&amp;"."&amp;MONTH(대장!F453)&amp;"."&amp;DAY(대장!F453)&amp;"."&amp;" ~ "&amp;IF(ISNUMBER(대장!G453),YEAR(대장!G453)&amp;"."&amp;MONTH(대장!G453)&amp;"."&amp;DAY(대장!G453)&amp;".","재직 중")))</x:f>
        <x:v>#NAME?</x:v>
      </x:c>
      <x:c r="F907" s="27" t="e">
        <x:f>IF($A907="","",IF(발령대장_설정!$B$5="","",발령대장_설정!$B$5))</x:f>
        <x:v>#NAME?</x:v>
      </x:c>
      <x:c r="G907" s="27" t="e">
        <x:f>IF($A907="","",IF(발령대장_설정!$B$6="","",발령대장_설정!$B$6))</x:f>
        <x:v>#NAME?</x:v>
      </x:c>
      <x:c r="H907" s="27" t="e">
        <x:f>IF($A907="","",IF(발령대장_설정!$B$7="","",발령대장_설정!$B$7))</x:f>
        <x:v>#NAME?</x:v>
      </x:c>
      <x:c r="I907" s="27" t="e">
        <x:f>IF($A907="","",IF(발령대장_설정!$B$8="","",발령대장_설정!$B$8))</x:f>
        <x:v>#NAME?</x:v>
      </x:c>
      <x:c r="J907" s="27" t="e">
        <x:f>IF($A907="","",IF(대장!K453="","",대장!K453))</x:f>
        <x:v>#NAME?</x:v>
      </x:c>
    </x:row>
    <x:row r="908" ht="42" customHeight="1">
      <x:c r="A908" s="47" t="e">
        <x:f>IF(AND(대장!A453&lt;&gt;"",ISNUMBER(대장!F453),ISNUMBER(대장!G453),대장!G453&gt;=대장!F453,대장!H453&lt;&gt;""),대장!G453,"")</x:f>
        <x:v>#NAME?</x:v>
      </x:c>
      <x:c r="B908" s="27" t="e">
        <x:f>IF($A908="","",IF(발령대장_설정!$B$4="","",발령대장_설정!$B$4))</x:f>
        <x:v>#NAME?</x:v>
      </x:c>
      <x:c r="C908" s="27" t="e">
        <x:f>IF($A908="","",대장!D453)</x:f>
        <x:v>#NAME?</x:v>
      </x:c>
      <x:c r="D908" s="27" t="e">
        <x:f>IF($A908="","",대장!A453)</x:f>
        <x:v>#NAME?</x:v>
      </x:c>
      <x:c r="E908" s="27" t="e">
        <x:f>IF($A908="","",IF(OR(ISNUMBER(SEARCH("계약만료",대장!H453&amp;"")),ISNUMBER(SEARCH("기간만료",대장!H453&amp;""))),"계약기간 만료로 퇴직",IF(ISNUMBER(SEARCH("의원면직",대장!H453&amp;"")),"의원면직",IF(ISNUMBER(SEARCH("정년퇴직",대장!H453&amp;"")),"정년퇴직",대장!H453))))</x:f>
        <x:v>#NAME?</x:v>
      </x:c>
      <x:c r="F908" s="27" t="e">
        <x:f>IF($A908="","",IF(발령대장_설정!$B$5="","",발령대장_설정!$B$5))</x:f>
        <x:v>#NAME?</x:v>
      </x:c>
      <x:c r="G908" s="27" t="e">
        <x:f>IF($A908="","",IF(발령대장_설정!$B$6="","",발령대장_설정!$B$6))</x:f>
        <x:v>#NAME?</x:v>
      </x:c>
      <x:c r="H908" s="27" t="e">
        <x:f>IF($A908="","",IF(발령대장_설정!$B$7="","",발령대장_설정!$B$7))</x:f>
        <x:v>#NAME?</x:v>
      </x:c>
      <x:c r="I908" s="27" t="e">
        <x:f>IF($A908="","",IF(발령대장_설정!$B$8="","",발령대장_설정!$B$8))</x:f>
        <x:v>#NAME?</x:v>
      </x:c>
      <x:c r="J908" s="27" t="str">
        <x:f>""</x:f>
      </x:c>
    </x:row>
    <x:row r="909" ht="42" customHeight="1">
      <x:c r="A909" s="47" t="e">
        <x:f>IF(AND(대장!A454&lt;&gt;"",ISNUMBER(대장!F454),OR(대장!G454="",AND(ISNUMBER(대장!G454),대장!G454&gt;=대장!F454))),대장!F454,"")</x:f>
        <x:v>#NAME?</x:v>
      </x:c>
      <x:c r="B909" s="27" t="e">
        <x:f>IF($A909="","",IF(발령대장_설정!$B$4="","",발령대장_설정!$B$4))</x:f>
        <x:v>#NAME?</x:v>
      </x:c>
      <x:c r="C909" s="27" t="e">
        <x:f>IF($A909="","",대장!D454)</x:f>
        <x:v>#NAME?</x:v>
      </x:c>
      <x:c r="D909" s="27" t="e">
        <x:f>IF($A909="","",대장!A454)</x:f>
        <x:v>#NAME?</x:v>
      </x:c>
      <x:c r="E909" s="27" t="e">
        <x:f>IF($A909="","",IF(대장!J454&lt;&gt;"",대장!J454,대장!D454&amp;"에 임함"&amp;IF(대장!E454="","",CHAR(10)&amp;"고용형태: "&amp;대장!E454)&amp;IF(대장!I454="","",CHAR(10)&amp;"소정근로시간: "&amp;대장!I454)&amp;CHAR(10)&amp;"근로기간: "&amp;YEAR(대장!F454)&amp;"."&amp;MONTH(대장!F454)&amp;"."&amp;DAY(대장!F454)&amp;"."&amp;" ~ "&amp;IF(ISNUMBER(대장!G454),YEAR(대장!G454)&amp;"."&amp;MONTH(대장!G454)&amp;"."&amp;DAY(대장!G454)&amp;".","재직 중")))</x:f>
        <x:v>#NAME?</x:v>
      </x:c>
      <x:c r="F909" s="27" t="e">
        <x:f>IF($A909="","",IF(발령대장_설정!$B$5="","",발령대장_설정!$B$5))</x:f>
        <x:v>#NAME?</x:v>
      </x:c>
      <x:c r="G909" s="27" t="e">
        <x:f>IF($A909="","",IF(발령대장_설정!$B$6="","",발령대장_설정!$B$6))</x:f>
        <x:v>#NAME?</x:v>
      </x:c>
      <x:c r="H909" s="27" t="e">
        <x:f>IF($A909="","",IF(발령대장_설정!$B$7="","",발령대장_설정!$B$7))</x:f>
        <x:v>#NAME?</x:v>
      </x:c>
      <x:c r="I909" s="27" t="e">
        <x:f>IF($A909="","",IF(발령대장_설정!$B$8="","",발령대장_설정!$B$8))</x:f>
        <x:v>#NAME?</x:v>
      </x:c>
      <x:c r="J909" s="27" t="e">
        <x:f>IF($A909="","",IF(대장!K454="","",대장!K454))</x:f>
        <x:v>#NAME?</x:v>
      </x:c>
    </x:row>
    <x:row r="910" ht="42" customHeight="1">
      <x:c r="A910" s="47" t="e">
        <x:f>IF(AND(대장!A454&lt;&gt;"",ISNUMBER(대장!F454),ISNUMBER(대장!G454),대장!G454&gt;=대장!F454,대장!H454&lt;&gt;""),대장!G454,"")</x:f>
        <x:v>#NAME?</x:v>
      </x:c>
      <x:c r="B910" s="27" t="e">
        <x:f>IF($A910="","",IF(발령대장_설정!$B$4="","",발령대장_설정!$B$4))</x:f>
        <x:v>#NAME?</x:v>
      </x:c>
      <x:c r="C910" s="27" t="e">
        <x:f>IF($A910="","",대장!D454)</x:f>
        <x:v>#NAME?</x:v>
      </x:c>
      <x:c r="D910" s="27" t="e">
        <x:f>IF($A910="","",대장!A454)</x:f>
        <x:v>#NAME?</x:v>
      </x:c>
      <x:c r="E910" s="27" t="e">
        <x:f>IF($A910="","",IF(OR(ISNUMBER(SEARCH("계약만료",대장!H454&amp;"")),ISNUMBER(SEARCH("기간만료",대장!H454&amp;""))),"계약기간 만료로 퇴직",IF(ISNUMBER(SEARCH("의원면직",대장!H454&amp;"")),"의원면직",IF(ISNUMBER(SEARCH("정년퇴직",대장!H454&amp;"")),"정년퇴직",대장!H454))))</x:f>
        <x:v>#NAME?</x:v>
      </x:c>
      <x:c r="F910" s="27" t="e">
        <x:f>IF($A910="","",IF(발령대장_설정!$B$5="","",발령대장_설정!$B$5))</x:f>
        <x:v>#NAME?</x:v>
      </x:c>
      <x:c r="G910" s="27" t="e">
        <x:f>IF($A910="","",IF(발령대장_설정!$B$6="","",발령대장_설정!$B$6))</x:f>
        <x:v>#NAME?</x:v>
      </x:c>
      <x:c r="H910" s="27" t="e">
        <x:f>IF($A910="","",IF(발령대장_설정!$B$7="","",발령대장_설정!$B$7))</x:f>
        <x:v>#NAME?</x:v>
      </x:c>
      <x:c r="I910" s="27" t="e">
        <x:f>IF($A910="","",IF(발령대장_설정!$B$8="","",발령대장_설정!$B$8))</x:f>
        <x:v>#NAME?</x:v>
      </x:c>
      <x:c r="J910" s="27" t="str">
        <x:f>""</x:f>
      </x:c>
    </x:row>
    <x:row r="911" ht="42" customHeight="1">
      <x:c r="A911" s="47" t="e">
        <x:f>IF(AND(대장!A455&lt;&gt;"",ISNUMBER(대장!F455),OR(대장!G455="",AND(ISNUMBER(대장!G455),대장!G455&gt;=대장!F455))),대장!F455,"")</x:f>
        <x:v>#NAME?</x:v>
      </x:c>
      <x:c r="B911" s="27" t="e">
        <x:f>IF($A911="","",IF(발령대장_설정!$B$4="","",발령대장_설정!$B$4))</x:f>
        <x:v>#NAME?</x:v>
      </x:c>
      <x:c r="C911" s="27" t="e">
        <x:f>IF($A911="","",대장!D455)</x:f>
        <x:v>#NAME?</x:v>
      </x:c>
      <x:c r="D911" s="27" t="e">
        <x:f>IF($A911="","",대장!A455)</x:f>
        <x:v>#NAME?</x:v>
      </x:c>
      <x:c r="E911" s="27" t="e">
        <x:f>IF($A911="","",IF(대장!J455&lt;&gt;"",대장!J455,대장!D455&amp;"에 임함"&amp;IF(대장!E455="","",CHAR(10)&amp;"고용형태: "&amp;대장!E455)&amp;IF(대장!I455="","",CHAR(10)&amp;"소정근로시간: "&amp;대장!I455)&amp;CHAR(10)&amp;"근로기간: "&amp;YEAR(대장!F455)&amp;"."&amp;MONTH(대장!F455)&amp;"."&amp;DAY(대장!F455)&amp;"."&amp;" ~ "&amp;IF(ISNUMBER(대장!G455),YEAR(대장!G455)&amp;"."&amp;MONTH(대장!G455)&amp;"."&amp;DAY(대장!G455)&amp;".","재직 중")))</x:f>
        <x:v>#NAME?</x:v>
      </x:c>
      <x:c r="F911" s="27" t="e">
        <x:f>IF($A911="","",IF(발령대장_설정!$B$5="","",발령대장_설정!$B$5))</x:f>
        <x:v>#NAME?</x:v>
      </x:c>
      <x:c r="G911" s="27" t="e">
        <x:f>IF($A911="","",IF(발령대장_설정!$B$6="","",발령대장_설정!$B$6))</x:f>
        <x:v>#NAME?</x:v>
      </x:c>
      <x:c r="H911" s="27" t="e">
        <x:f>IF($A911="","",IF(발령대장_설정!$B$7="","",발령대장_설정!$B$7))</x:f>
        <x:v>#NAME?</x:v>
      </x:c>
      <x:c r="I911" s="27" t="e">
        <x:f>IF($A911="","",IF(발령대장_설정!$B$8="","",발령대장_설정!$B$8))</x:f>
        <x:v>#NAME?</x:v>
      </x:c>
      <x:c r="J911" s="27" t="e">
        <x:f>IF($A911="","",IF(대장!K455="","",대장!K455))</x:f>
        <x:v>#NAME?</x:v>
      </x:c>
    </x:row>
    <x:row r="912" ht="42" customHeight="1">
      <x:c r="A912" s="47" t="e">
        <x:f>IF(AND(대장!A455&lt;&gt;"",ISNUMBER(대장!F455),ISNUMBER(대장!G455),대장!G455&gt;=대장!F455,대장!H455&lt;&gt;""),대장!G455,"")</x:f>
        <x:v>#NAME?</x:v>
      </x:c>
      <x:c r="B912" s="27" t="e">
        <x:f>IF($A912="","",IF(발령대장_설정!$B$4="","",발령대장_설정!$B$4))</x:f>
        <x:v>#NAME?</x:v>
      </x:c>
      <x:c r="C912" s="27" t="e">
        <x:f>IF($A912="","",대장!D455)</x:f>
        <x:v>#NAME?</x:v>
      </x:c>
      <x:c r="D912" s="27" t="e">
        <x:f>IF($A912="","",대장!A455)</x:f>
        <x:v>#NAME?</x:v>
      </x:c>
      <x:c r="E912" s="27" t="e">
        <x:f>IF($A912="","",IF(OR(ISNUMBER(SEARCH("계약만료",대장!H455&amp;"")),ISNUMBER(SEARCH("기간만료",대장!H455&amp;""))),"계약기간 만료로 퇴직",IF(ISNUMBER(SEARCH("의원면직",대장!H455&amp;"")),"의원면직",IF(ISNUMBER(SEARCH("정년퇴직",대장!H455&amp;"")),"정년퇴직",대장!H455))))</x:f>
        <x:v>#NAME?</x:v>
      </x:c>
      <x:c r="F912" s="27" t="e">
        <x:f>IF($A912="","",IF(발령대장_설정!$B$5="","",발령대장_설정!$B$5))</x:f>
        <x:v>#NAME?</x:v>
      </x:c>
      <x:c r="G912" s="27" t="e">
        <x:f>IF($A912="","",IF(발령대장_설정!$B$6="","",발령대장_설정!$B$6))</x:f>
        <x:v>#NAME?</x:v>
      </x:c>
      <x:c r="H912" s="27" t="e">
        <x:f>IF($A912="","",IF(발령대장_설정!$B$7="","",발령대장_설정!$B$7))</x:f>
        <x:v>#NAME?</x:v>
      </x:c>
      <x:c r="I912" s="27" t="e">
        <x:f>IF($A912="","",IF(발령대장_설정!$B$8="","",발령대장_설정!$B$8))</x:f>
        <x:v>#NAME?</x:v>
      </x:c>
      <x:c r="J912" s="27" t="str">
        <x:f>""</x:f>
      </x:c>
    </x:row>
    <x:row r="913" ht="42" customHeight="1">
      <x:c r="A913" s="47" t="e">
        <x:f>IF(AND(대장!A456&lt;&gt;"",ISNUMBER(대장!F456),OR(대장!G456="",AND(ISNUMBER(대장!G456),대장!G456&gt;=대장!F456))),대장!F456,"")</x:f>
        <x:v>#NAME?</x:v>
      </x:c>
      <x:c r="B913" s="27" t="e">
        <x:f>IF($A913="","",IF(발령대장_설정!$B$4="","",발령대장_설정!$B$4))</x:f>
        <x:v>#NAME?</x:v>
      </x:c>
      <x:c r="C913" s="27" t="e">
        <x:f>IF($A913="","",대장!D456)</x:f>
        <x:v>#NAME?</x:v>
      </x:c>
      <x:c r="D913" s="27" t="e">
        <x:f>IF($A913="","",대장!A456)</x:f>
        <x:v>#NAME?</x:v>
      </x:c>
      <x:c r="E913" s="27" t="e">
        <x:f>IF($A913="","",IF(대장!J456&lt;&gt;"",대장!J456,대장!D456&amp;"에 임함"&amp;IF(대장!E456="","",CHAR(10)&amp;"고용형태: "&amp;대장!E456)&amp;IF(대장!I456="","",CHAR(10)&amp;"소정근로시간: "&amp;대장!I456)&amp;CHAR(10)&amp;"근로기간: "&amp;YEAR(대장!F456)&amp;"."&amp;MONTH(대장!F456)&amp;"."&amp;DAY(대장!F456)&amp;"."&amp;" ~ "&amp;IF(ISNUMBER(대장!G456),YEAR(대장!G456)&amp;"."&amp;MONTH(대장!G456)&amp;"."&amp;DAY(대장!G456)&amp;".","재직 중")))</x:f>
        <x:v>#NAME?</x:v>
      </x:c>
      <x:c r="F913" s="27" t="e">
        <x:f>IF($A913="","",IF(발령대장_설정!$B$5="","",발령대장_설정!$B$5))</x:f>
        <x:v>#NAME?</x:v>
      </x:c>
      <x:c r="G913" s="27" t="e">
        <x:f>IF($A913="","",IF(발령대장_설정!$B$6="","",발령대장_설정!$B$6))</x:f>
        <x:v>#NAME?</x:v>
      </x:c>
      <x:c r="H913" s="27" t="e">
        <x:f>IF($A913="","",IF(발령대장_설정!$B$7="","",발령대장_설정!$B$7))</x:f>
        <x:v>#NAME?</x:v>
      </x:c>
      <x:c r="I913" s="27" t="e">
        <x:f>IF($A913="","",IF(발령대장_설정!$B$8="","",발령대장_설정!$B$8))</x:f>
        <x:v>#NAME?</x:v>
      </x:c>
      <x:c r="J913" s="27" t="e">
        <x:f>IF($A913="","",IF(대장!K456="","",대장!K456))</x:f>
        <x:v>#NAME?</x:v>
      </x:c>
    </x:row>
    <x:row r="914" ht="42" customHeight="1">
      <x:c r="A914" s="47" t="e">
        <x:f>IF(AND(대장!A456&lt;&gt;"",ISNUMBER(대장!F456),ISNUMBER(대장!G456),대장!G456&gt;=대장!F456,대장!H456&lt;&gt;""),대장!G456,"")</x:f>
        <x:v>#NAME?</x:v>
      </x:c>
      <x:c r="B914" s="27" t="e">
        <x:f>IF($A914="","",IF(발령대장_설정!$B$4="","",발령대장_설정!$B$4))</x:f>
        <x:v>#NAME?</x:v>
      </x:c>
      <x:c r="C914" s="27" t="e">
        <x:f>IF($A914="","",대장!D456)</x:f>
        <x:v>#NAME?</x:v>
      </x:c>
      <x:c r="D914" s="27" t="e">
        <x:f>IF($A914="","",대장!A456)</x:f>
        <x:v>#NAME?</x:v>
      </x:c>
      <x:c r="E914" s="27" t="e">
        <x:f>IF($A914="","",IF(OR(ISNUMBER(SEARCH("계약만료",대장!H456&amp;"")),ISNUMBER(SEARCH("기간만료",대장!H456&amp;""))),"계약기간 만료로 퇴직",IF(ISNUMBER(SEARCH("의원면직",대장!H456&amp;"")),"의원면직",IF(ISNUMBER(SEARCH("정년퇴직",대장!H456&amp;"")),"정년퇴직",대장!H456))))</x:f>
        <x:v>#NAME?</x:v>
      </x:c>
      <x:c r="F914" s="27" t="e">
        <x:f>IF($A914="","",IF(발령대장_설정!$B$5="","",발령대장_설정!$B$5))</x:f>
        <x:v>#NAME?</x:v>
      </x:c>
      <x:c r="G914" s="27" t="e">
        <x:f>IF($A914="","",IF(발령대장_설정!$B$6="","",발령대장_설정!$B$6))</x:f>
        <x:v>#NAME?</x:v>
      </x:c>
      <x:c r="H914" s="27" t="e">
        <x:f>IF($A914="","",IF(발령대장_설정!$B$7="","",발령대장_설정!$B$7))</x:f>
        <x:v>#NAME?</x:v>
      </x:c>
      <x:c r="I914" s="27" t="e">
        <x:f>IF($A914="","",IF(발령대장_설정!$B$8="","",발령대장_설정!$B$8))</x:f>
        <x:v>#NAME?</x:v>
      </x:c>
      <x:c r="J914" s="27" t="str">
        <x:f>""</x:f>
      </x:c>
    </x:row>
    <x:row r="915" ht="42" customHeight="1">
      <x:c r="A915" s="47" t="e">
        <x:f>IF(AND(대장!A457&lt;&gt;"",ISNUMBER(대장!F457),OR(대장!G457="",AND(ISNUMBER(대장!G457),대장!G457&gt;=대장!F457))),대장!F457,"")</x:f>
        <x:v>#NAME?</x:v>
      </x:c>
      <x:c r="B915" s="27" t="e">
        <x:f>IF($A915="","",IF(발령대장_설정!$B$4="","",발령대장_설정!$B$4))</x:f>
        <x:v>#NAME?</x:v>
      </x:c>
      <x:c r="C915" s="27" t="e">
        <x:f>IF($A915="","",대장!D457)</x:f>
        <x:v>#NAME?</x:v>
      </x:c>
      <x:c r="D915" s="27" t="e">
        <x:f>IF($A915="","",대장!A457)</x:f>
        <x:v>#NAME?</x:v>
      </x:c>
      <x:c r="E915" s="27" t="e">
        <x:f>IF($A915="","",IF(대장!J457&lt;&gt;"",대장!J457,대장!D457&amp;"에 임함"&amp;IF(대장!E457="","",CHAR(10)&amp;"고용형태: "&amp;대장!E457)&amp;IF(대장!I457="","",CHAR(10)&amp;"소정근로시간: "&amp;대장!I457)&amp;CHAR(10)&amp;"근로기간: "&amp;YEAR(대장!F457)&amp;"."&amp;MONTH(대장!F457)&amp;"."&amp;DAY(대장!F457)&amp;"."&amp;" ~ "&amp;IF(ISNUMBER(대장!G457),YEAR(대장!G457)&amp;"."&amp;MONTH(대장!G457)&amp;"."&amp;DAY(대장!G457)&amp;".","재직 중")))</x:f>
        <x:v>#NAME?</x:v>
      </x:c>
      <x:c r="F915" s="27" t="e">
        <x:f>IF($A915="","",IF(발령대장_설정!$B$5="","",발령대장_설정!$B$5))</x:f>
        <x:v>#NAME?</x:v>
      </x:c>
      <x:c r="G915" s="27" t="e">
        <x:f>IF($A915="","",IF(발령대장_설정!$B$6="","",발령대장_설정!$B$6))</x:f>
        <x:v>#NAME?</x:v>
      </x:c>
      <x:c r="H915" s="27" t="e">
        <x:f>IF($A915="","",IF(발령대장_설정!$B$7="","",발령대장_설정!$B$7))</x:f>
        <x:v>#NAME?</x:v>
      </x:c>
      <x:c r="I915" s="27" t="e">
        <x:f>IF($A915="","",IF(발령대장_설정!$B$8="","",발령대장_설정!$B$8))</x:f>
        <x:v>#NAME?</x:v>
      </x:c>
      <x:c r="J915" s="27" t="e">
        <x:f>IF($A915="","",IF(대장!K457="","",대장!K457))</x:f>
        <x:v>#NAME?</x:v>
      </x:c>
    </x:row>
    <x:row r="916" ht="42" customHeight="1">
      <x:c r="A916" s="47" t="e">
        <x:f>IF(AND(대장!A457&lt;&gt;"",ISNUMBER(대장!F457),ISNUMBER(대장!G457),대장!G457&gt;=대장!F457,대장!H457&lt;&gt;""),대장!G457,"")</x:f>
        <x:v>#NAME?</x:v>
      </x:c>
      <x:c r="B916" s="27" t="e">
        <x:f>IF($A916="","",IF(발령대장_설정!$B$4="","",발령대장_설정!$B$4))</x:f>
        <x:v>#NAME?</x:v>
      </x:c>
      <x:c r="C916" s="27" t="e">
        <x:f>IF($A916="","",대장!D457)</x:f>
        <x:v>#NAME?</x:v>
      </x:c>
      <x:c r="D916" s="27" t="e">
        <x:f>IF($A916="","",대장!A457)</x:f>
        <x:v>#NAME?</x:v>
      </x:c>
      <x:c r="E916" s="27" t="e">
        <x:f>IF($A916="","",IF(OR(ISNUMBER(SEARCH("계약만료",대장!H457&amp;"")),ISNUMBER(SEARCH("기간만료",대장!H457&amp;""))),"계약기간 만료로 퇴직",IF(ISNUMBER(SEARCH("의원면직",대장!H457&amp;"")),"의원면직",IF(ISNUMBER(SEARCH("정년퇴직",대장!H457&amp;"")),"정년퇴직",대장!H457))))</x:f>
        <x:v>#NAME?</x:v>
      </x:c>
      <x:c r="F916" s="27" t="e">
        <x:f>IF($A916="","",IF(발령대장_설정!$B$5="","",발령대장_설정!$B$5))</x:f>
        <x:v>#NAME?</x:v>
      </x:c>
      <x:c r="G916" s="27" t="e">
        <x:f>IF($A916="","",IF(발령대장_설정!$B$6="","",발령대장_설정!$B$6))</x:f>
        <x:v>#NAME?</x:v>
      </x:c>
      <x:c r="H916" s="27" t="e">
        <x:f>IF($A916="","",IF(발령대장_설정!$B$7="","",발령대장_설정!$B$7))</x:f>
        <x:v>#NAME?</x:v>
      </x:c>
      <x:c r="I916" s="27" t="e">
        <x:f>IF($A916="","",IF(발령대장_설정!$B$8="","",발령대장_설정!$B$8))</x:f>
        <x:v>#NAME?</x:v>
      </x:c>
      <x:c r="J916" s="27" t="str">
        <x:f>""</x:f>
      </x:c>
    </x:row>
    <x:row r="917" ht="42" customHeight="1">
      <x:c r="A917" s="47" t="e">
        <x:f>IF(AND(대장!A458&lt;&gt;"",ISNUMBER(대장!F458),OR(대장!G458="",AND(ISNUMBER(대장!G458),대장!G458&gt;=대장!F458))),대장!F458,"")</x:f>
        <x:v>#NAME?</x:v>
      </x:c>
      <x:c r="B917" s="27" t="e">
        <x:f>IF($A917="","",IF(발령대장_설정!$B$4="","",발령대장_설정!$B$4))</x:f>
        <x:v>#NAME?</x:v>
      </x:c>
      <x:c r="C917" s="27" t="e">
        <x:f>IF($A917="","",대장!D458)</x:f>
        <x:v>#NAME?</x:v>
      </x:c>
      <x:c r="D917" s="27" t="e">
        <x:f>IF($A917="","",대장!A458)</x:f>
        <x:v>#NAME?</x:v>
      </x:c>
      <x:c r="E917" s="27" t="e">
        <x:f>IF($A917="","",IF(대장!J458&lt;&gt;"",대장!J458,대장!D458&amp;"에 임함"&amp;IF(대장!E458="","",CHAR(10)&amp;"고용형태: "&amp;대장!E458)&amp;IF(대장!I458="","",CHAR(10)&amp;"소정근로시간: "&amp;대장!I458)&amp;CHAR(10)&amp;"근로기간: "&amp;YEAR(대장!F458)&amp;"."&amp;MONTH(대장!F458)&amp;"."&amp;DAY(대장!F458)&amp;"."&amp;" ~ "&amp;IF(ISNUMBER(대장!G458),YEAR(대장!G458)&amp;"."&amp;MONTH(대장!G458)&amp;"."&amp;DAY(대장!G458)&amp;".","재직 중")))</x:f>
        <x:v>#NAME?</x:v>
      </x:c>
      <x:c r="F917" s="27" t="e">
        <x:f>IF($A917="","",IF(발령대장_설정!$B$5="","",발령대장_설정!$B$5))</x:f>
        <x:v>#NAME?</x:v>
      </x:c>
      <x:c r="G917" s="27" t="e">
        <x:f>IF($A917="","",IF(발령대장_설정!$B$6="","",발령대장_설정!$B$6))</x:f>
        <x:v>#NAME?</x:v>
      </x:c>
      <x:c r="H917" s="27" t="e">
        <x:f>IF($A917="","",IF(발령대장_설정!$B$7="","",발령대장_설정!$B$7))</x:f>
        <x:v>#NAME?</x:v>
      </x:c>
      <x:c r="I917" s="27" t="e">
        <x:f>IF($A917="","",IF(발령대장_설정!$B$8="","",발령대장_설정!$B$8))</x:f>
        <x:v>#NAME?</x:v>
      </x:c>
      <x:c r="J917" s="27" t="e">
        <x:f>IF($A917="","",IF(대장!K458="","",대장!K458))</x:f>
        <x:v>#NAME?</x:v>
      </x:c>
    </x:row>
    <x:row r="918" ht="42" customHeight="1">
      <x:c r="A918" s="47" t="e">
        <x:f>IF(AND(대장!A458&lt;&gt;"",ISNUMBER(대장!F458),ISNUMBER(대장!G458),대장!G458&gt;=대장!F458,대장!H458&lt;&gt;""),대장!G458,"")</x:f>
        <x:v>#NAME?</x:v>
      </x:c>
      <x:c r="B918" s="27" t="e">
        <x:f>IF($A918="","",IF(발령대장_설정!$B$4="","",발령대장_설정!$B$4))</x:f>
        <x:v>#NAME?</x:v>
      </x:c>
      <x:c r="C918" s="27" t="e">
        <x:f>IF($A918="","",대장!D458)</x:f>
        <x:v>#NAME?</x:v>
      </x:c>
      <x:c r="D918" s="27" t="e">
        <x:f>IF($A918="","",대장!A458)</x:f>
        <x:v>#NAME?</x:v>
      </x:c>
      <x:c r="E918" s="27" t="e">
        <x:f>IF($A918="","",IF(OR(ISNUMBER(SEARCH("계약만료",대장!H458&amp;"")),ISNUMBER(SEARCH("기간만료",대장!H458&amp;""))),"계약기간 만료로 퇴직",IF(ISNUMBER(SEARCH("의원면직",대장!H458&amp;"")),"의원면직",IF(ISNUMBER(SEARCH("정년퇴직",대장!H458&amp;"")),"정년퇴직",대장!H458))))</x:f>
        <x:v>#NAME?</x:v>
      </x:c>
      <x:c r="F918" s="27" t="e">
        <x:f>IF($A918="","",IF(발령대장_설정!$B$5="","",발령대장_설정!$B$5))</x:f>
        <x:v>#NAME?</x:v>
      </x:c>
      <x:c r="G918" s="27" t="e">
        <x:f>IF($A918="","",IF(발령대장_설정!$B$6="","",발령대장_설정!$B$6))</x:f>
        <x:v>#NAME?</x:v>
      </x:c>
      <x:c r="H918" s="27" t="e">
        <x:f>IF($A918="","",IF(발령대장_설정!$B$7="","",발령대장_설정!$B$7))</x:f>
        <x:v>#NAME?</x:v>
      </x:c>
      <x:c r="I918" s="27" t="e">
        <x:f>IF($A918="","",IF(발령대장_설정!$B$8="","",발령대장_설정!$B$8))</x:f>
        <x:v>#NAME?</x:v>
      </x:c>
      <x:c r="J918" s="27" t="str">
        <x:f>""</x:f>
      </x:c>
    </x:row>
    <x:row r="919" ht="42" customHeight="1">
      <x:c r="A919" s="47" t="e">
        <x:f>IF(AND(대장!A459&lt;&gt;"",ISNUMBER(대장!F459),OR(대장!G459="",AND(ISNUMBER(대장!G459),대장!G459&gt;=대장!F459))),대장!F459,"")</x:f>
        <x:v>#NAME?</x:v>
      </x:c>
      <x:c r="B919" s="27" t="e">
        <x:f>IF($A919="","",IF(발령대장_설정!$B$4="","",발령대장_설정!$B$4))</x:f>
        <x:v>#NAME?</x:v>
      </x:c>
      <x:c r="C919" s="27" t="e">
        <x:f>IF($A919="","",대장!D459)</x:f>
        <x:v>#NAME?</x:v>
      </x:c>
      <x:c r="D919" s="27" t="e">
        <x:f>IF($A919="","",대장!A459)</x:f>
        <x:v>#NAME?</x:v>
      </x:c>
      <x:c r="E919" s="27" t="e">
        <x:f>IF($A919="","",IF(대장!J459&lt;&gt;"",대장!J459,대장!D459&amp;"에 임함"&amp;IF(대장!E459="","",CHAR(10)&amp;"고용형태: "&amp;대장!E459)&amp;IF(대장!I459="","",CHAR(10)&amp;"소정근로시간: "&amp;대장!I459)&amp;CHAR(10)&amp;"근로기간: "&amp;YEAR(대장!F459)&amp;"."&amp;MONTH(대장!F459)&amp;"."&amp;DAY(대장!F459)&amp;"."&amp;" ~ "&amp;IF(ISNUMBER(대장!G459),YEAR(대장!G459)&amp;"."&amp;MONTH(대장!G459)&amp;"."&amp;DAY(대장!G459)&amp;".","재직 중")))</x:f>
        <x:v>#NAME?</x:v>
      </x:c>
      <x:c r="F919" s="27" t="e">
        <x:f>IF($A919="","",IF(발령대장_설정!$B$5="","",발령대장_설정!$B$5))</x:f>
        <x:v>#NAME?</x:v>
      </x:c>
      <x:c r="G919" s="27" t="e">
        <x:f>IF($A919="","",IF(발령대장_설정!$B$6="","",발령대장_설정!$B$6))</x:f>
        <x:v>#NAME?</x:v>
      </x:c>
      <x:c r="H919" s="27" t="e">
        <x:f>IF($A919="","",IF(발령대장_설정!$B$7="","",발령대장_설정!$B$7))</x:f>
        <x:v>#NAME?</x:v>
      </x:c>
      <x:c r="I919" s="27" t="e">
        <x:f>IF($A919="","",IF(발령대장_설정!$B$8="","",발령대장_설정!$B$8))</x:f>
        <x:v>#NAME?</x:v>
      </x:c>
      <x:c r="J919" s="27" t="e">
        <x:f>IF($A919="","",IF(대장!K459="","",대장!K459))</x:f>
        <x:v>#NAME?</x:v>
      </x:c>
    </x:row>
    <x:row r="920" ht="42" customHeight="1">
      <x:c r="A920" s="47" t="e">
        <x:f>IF(AND(대장!A459&lt;&gt;"",ISNUMBER(대장!F459),ISNUMBER(대장!G459),대장!G459&gt;=대장!F459,대장!H459&lt;&gt;""),대장!G459,"")</x:f>
        <x:v>#NAME?</x:v>
      </x:c>
      <x:c r="B920" s="27" t="e">
        <x:f>IF($A920="","",IF(발령대장_설정!$B$4="","",발령대장_설정!$B$4))</x:f>
        <x:v>#NAME?</x:v>
      </x:c>
      <x:c r="C920" s="27" t="e">
        <x:f>IF($A920="","",대장!D459)</x:f>
        <x:v>#NAME?</x:v>
      </x:c>
      <x:c r="D920" s="27" t="e">
        <x:f>IF($A920="","",대장!A459)</x:f>
        <x:v>#NAME?</x:v>
      </x:c>
      <x:c r="E920" s="27" t="e">
        <x:f>IF($A920="","",IF(OR(ISNUMBER(SEARCH("계약만료",대장!H459&amp;"")),ISNUMBER(SEARCH("기간만료",대장!H459&amp;""))),"계약기간 만료로 퇴직",IF(ISNUMBER(SEARCH("의원면직",대장!H459&amp;"")),"의원면직",IF(ISNUMBER(SEARCH("정년퇴직",대장!H459&amp;"")),"정년퇴직",대장!H459))))</x:f>
        <x:v>#NAME?</x:v>
      </x:c>
      <x:c r="F920" s="27" t="e">
        <x:f>IF($A920="","",IF(발령대장_설정!$B$5="","",발령대장_설정!$B$5))</x:f>
        <x:v>#NAME?</x:v>
      </x:c>
      <x:c r="G920" s="27" t="e">
        <x:f>IF($A920="","",IF(발령대장_설정!$B$6="","",발령대장_설정!$B$6))</x:f>
        <x:v>#NAME?</x:v>
      </x:c>
      <x:c r="H920" s="27" t="e">
        <x:f>IF($A920="","",IF(발령대장_설정!$B$7="","",발령대장_설정!$B$7))</x:f>
        <x:v>#NAME?</x:v>
      </x:c>
      <x:c r="I920" s="27" t="e">
        <x:f>IF($A920="","",IF(발령대장_설정!$B$8="","",발령대장_설정!$B$8))</x:f>
        <x:v>#NAME?</x:v>
      </x:c>
      <x:c r="J920" s="27" t="str">
        <x:f>""</x:f>
      </x:c>
    </x:row>
    <x:row r="921" ht="42" customHeight="1">
      <x:c r="A921" s="47" t="e">
        <x:f>IF(AND(대장!A460&lt;&gt;"",ISNUMBER(대장!F460),OR(대장!G460="",AND(ISNUMBER(대장!G460),대장!G460&gt;=대장!F460))),대장!F460,"")</x:f>
        <x:v>#NAME?</x:v>
      </x:c>
      <x:c r="B921" s="27" t="e">
        <x:f>IF($A921="","",IF(발령대장_설정!$B$4="","",발령대장_설정!$B$4))</x:f>
        <x:v>#NAME?</x:v>
      </x:c>
      <x:c r="C921" s="27" t="e">
        <x:f>IF($A921="","",대장!D460)</x:f>
        <x:v>#NAME?</x:v>
      </x:c>
      <x:c r="D921" s="27" t="e">
        <x:f>IF($A921="","",대장!A460)</x:f>
        <x:v>#NAME?</x:v>
      </x:c>
      <x:c r="E921" s="27" t="e">
        <x:f>IF($A921="","",IF(대장!J460&lt;&gt;"",대장!J460,대장!D460&amp;"에 임함"&amp;IF(대장!E460="","",CHAR(10)&amp;"고용형태: "&amp;대장!E460)&amp;IF(대장!I460="","",CHAR(10)&amp;"소정근로시간: "&amp;대장!I460)&amp;CHAR(10)&amp;"근로기간: "&amp;YEAR(대장!F460)&amp;"."&amp;MONTH(대장!F460)&amp;"."&amp;DAY(대장!F460)&amp;"."&amp;" ~ "&amp;IF(ISNUMBER(대장!G460),YEAR(대장!G460)&amp;"."&amp;MONTH(대장!G460)&amp;"."&amp;DAY(대장!G460)&amp;".","재직 중")))</x:f>
        <x:v>#NAME?</x:v>
      </x:c>
      <x:c r="F921" s="27" t="e">
        <x:f>IF($A921="","",IF(발령대장_설정!$B$5="","",발령대장_설정!$B$5))</x:f>
        <x:v>#NAME?</x:v>
      </x:c>
      <x:c r="G921" s="27" t="e">
        <x:f>IF($A921="","",IF(발령대장_설정!$B$6="","",발령대장_설정!$B$6))</x:f>
        <x:v>#NAME?</x:v>
      </x:c>
      <x:c r="H921" s="27" t="e">
        <x:f>IF($A921="","",IF(발령대장_설정!$B$7="","",발령대장_설정!$B$7))</x:f>
        <x:v>#NAME?</x:v>
      </x:c>
      <x:c r="I921" s="27" t="e">
        <x:f>IF($A921="","",IF(발령대장_설정!$B$8="","",발령대장_설정!$B$8))</x:f>
        <x:v>#NAME?</x:v>
      </x:c>
      <x:c r="J921" s="27" t="e">
        <x:f>IF($A921="","",IF(대장!K460="","",대장!K460))</x:f>
        <x:v>#NAME?</x:v>
      </x:c>
    </x:row>
    <x:row r="922" ht="42" customHeight="1">
      <x:c r="A922" s="47" t="e">
        <x:f>IF(AND(대장!A460&lt;&gt;"",ISNUMBER(대장!F460),ISNUMBER(대장!G460),대장!G460&gt;=대장!F460,대장!H460&lt;&gt;""),대장!G460,"")</x:f>
        <x:v>#NAME?</x:v>
      </x:c>
      <x:c r="B922" s="27" t="e">
        <x:f>IF($A922="","",IF(발령대장_설정!$B$4="","",발령대장_설정!$B$4))</x:f>
        <x:v>#NAME?</x:v>
      </x:c>
      <x:c r="C922" s="27" t="e">
        <x:f>IF($A922="","",대장!D460)</x:f>
        <x:v>#NAME?</x:v>
      </x:c>
      <x:c r="D922" s="27" t="e">
        <x:f>IF($A922="","",대장!A460)</x:f>
        <x:v>#NAME?</x:v>
      </x:c>
      <x:c r="E922" s="27" t="e">
        <x:f>IF($A922="","",IF(OR(ISNUMBER(SEARCH("계약만료",대장!H460&amp;"")),ISNUMBER(SEARCH("기간만료",대장!H460&amp;""))),"계약기간 만료로 퇴직",IF(ISNUMBER(SEARCH("의원면직",대장!H460&amp;"")),"의원면직",IF(ISNUMBER(SEARCH("정년퇴직",대장!H460&amp;"")),"정년퇴직",대장!H460))))</x:f>
        <x:v>#NAME?</x:v>
      </x:c>
      <x:c r="F922" s="27" t="e">
        <x:f>IF($A922="","",IF(발령대장_설정!$B$5="","",발령대장_설정!$B$5))</x:f>
        <x:v>#NAME?</x:v>
      </x:c>
      <x:c r="G922" s="27" t="e">
        <x:f>IF($A922="","",IF(발령대장_설정!$B$6="","",발령대장_설정!$B$6))</x:f>
        <x:v>#NAME?</x:v>
      </x:c>
      <x:c r="H922" s="27" t="e">
        <x:f>IF($A922="","",IF(발령대장_설정!$B$7="","",발령대장_설정!$B$7))</x:f>
        <x:v>#NAME?</x:v>
      </x:c>
      <x:c r="I922" s="27" t="e">
        <x:f>IF($A922="","",IF(발령대장_설정!$B$8="","",발령대장_설정!$B$8))</x:f>
        <x:v>#NAME?</x:v>
      </x:c>
      <x:c r="J922" s="27" t="str">
        <x:f>""</x:f>
      </x:c>
    </x:row>
    <x:row r="923" ht="42" customHeight="1">
      <x:c r="A923" s="47" t="e">
        <x:f>IF(AND(대장!A461&lt;&gt;"",ISNUMBER(대장!F461),OR(대장!G461="",AND(ISNUMBER(대장!G461),대장!G461&gt;=대장!F461))),대장!F461,"")</x:f>
        <x:v>#NAME?</x:v>
      </x:c>
      <x:c r="B923" s="27" t="e">
        <x:f>IF($A923="","",IF(발령대장_설정!$B$4="","",발령대장_설정!$B$4))</x:f>
        <x:v>#NAME?</x:v>
      </x:c>
      <x:c r="C923" s="27" t="e">
        <x:f>IF($A923="","",대장!D461)</x:f>
        <x:v>#NAME?</x:v>
      </x:c>
      <x:c r="D923" s="27" t="e">
        <x:f>IF($A923="","",대장!A461)</x:f>
        <x:v>#NAME?</x:v>
      </x:c>
      <x:c r="E923" s="27" t="e">
        <x:f>IF($A923="","",IF(대장!J461&lt;&gt;"",대장!J461,대장!D461&amp;"에 임함"&amp;IF(대장!E461="","",CHAR(10)&amp;"고용형태: "&amp;대장!E461)&amp;IF(대장!I461="","",CHAR(10)&amp;"소정근로시간: "&amp;대장!I461)&amp;CHAR(10)&amp;"근로기간: "&amp;YEAR(대장!F461)&amp;"."&amp;MONTH(대장!F461)&amp;"."&amp;DAY(대장!F461)&amp;"."&amp;" ~ "&amp;IF(ISNUMBER(대장!G461),YEAR(대장!G461)&amp;"."&amp;MONTH(대장!G461)&amp;"."&amp;DAY(대장!G461)&amp;".","재직 중")))</x:f>
        <x:v>#NAME?</x:v>
      </x:c>
      <x:c r="F923" s="27" t="e">
        <x:f>IF($A923="","",IF(발령대장_설정!$B$5="","",발령대장_설정!$B$5))</x:f>
        <x:v>#NAME?</x:v>
      </x:c>
      <x:c r="G923" s="27" t="e">
        <x:f>IF($A923="","",IF(발령대장_설정!$B$6="","",발령대장_설정!$B$6))</x:f>
        <x:v>#NAME?</x:v>
      </x:c>
      <x:c r="H923" s="27" t="e">
        <x:f>IF($A923="","",IF(발령대장_설정!$B$7="","",발령대장_설정!$B$7))</x:f>
        <x:v>#NAME?</x:v>
      </x:c>
      <x:c r="I923" s="27" t="e">
        <x:f>IF($A923="","",IF(발령대장_설정!$B$8="","",발령대장_설정!$B$8))</x:f>
        <x:v>#NAME?</x:v>
      </x:c>
      <x:c r="J923" s="27" t="e">
        <x:f>IF($A923="","",IF(대장!K461="","",대장!K461))</x:f>
        <x:v>#NAME?</x:v>
      </x:c>
    </x:row>
    <x:row r="924" ht="42" customHeight="1">
      <x:c r="A924" s="47" t="e">
        <x:f>IF(AND(대장!A461&lt;&gt;"",ISNUMBER(대장!F461),ISNUMBER(대장!G461),대장!G461&gt;=대장!F461,대장!H461&lt;&gt;""),대장!G461,"")</x:f>
        <x:v>#NAME?</x:v>
      </x:c>
      <x:c r="B924" s="27" t="e">
        <x:f>IF($A924="","",IF(발령대장_설정!$B$4="","",발령대장_설정!$B$4))</x:f>
        <x:v>#NAME?</x:v>
      </x:c>
      <x:c r="C924" s="27" t="e">
        <x:f>IF($A924="","",대장!D461)</x:f>
        <x:v>#NAME?</x:v>
      </x:c>
      <x:c r="D924" s="27" t="e">
        <x:f>IF($A924="","",대장!A461)</x:f>
        <x:v>#NAME?</x:v>
      </x:c>
      <x:c r="E924" s="27" t="e">
        <x:f>IF($A924="","",IF(OR(ISNUMBER(SEARCH("계약만료",대장!H461&amp;"")),ISNUMBER(SEARCH("기간만료",대장!H461&amp;""))),"계약기간 만료로 퇴직",IF(ISNUMBER(SEARCH("의원면직",대장!H461&amp;"")),"의원면직",IF(ISNUMBER(SEARCH("정년퇴직",대장!H461&amp;"")),"정년퇴직",대장!H461))))</x:f>
        <x:v>#NAME?</x:v>
      </x:c>
      <x:c r="F924" s="27" t="e">
        <x:f>IF($A924="","",IF(발령대장_설정!$B$5="","",발령대장_설정!$B$5))</x:f>
        <x:v>#NAME?</x:v>
      </x:c>
      <x:c r="G924" s="27" t="e">
        <x:f>IF($A924="","",IF(발령대장_설정!$B$6="","",발령대장_설정!$B$6))</x:f>
        <x:v>#NAME?</x:v>
      </x:c>
      <x:c r="H924" s="27" t="e">
        <x:f>IF($A924="","",IF(발령대장_설정!$B$7="","",발령대장_설정!$B$7))</x:f>
        <x:v>#NAME?</x:v>
      </x:c>
      <x:c r="I924" s="27" t="e">
        <x:f>IF($A924="","",IF(발령대장_설정!$B$8="","",발령대장_설정!$B$8))</x:f>
        <x:v>#NAME?</x:v>
      </x:c>
      <x:c r="J924" s="27" t="str">
        <x:f>""</x:f>
      </x:c>
    </x:row>
    <x:row r="925" ht="42" customHeight="1">
      <x:c r="A925" s="47" t="e">
        <x:f>IF(AND(대장!A462&lt;&gt;"",ISNUMBER(대장!F462),OR(대장!G462="",AND(ISNUMBER(대장!G462),대장!G462&gt;=대장!F462))),대장!F462,"")</x:f>
        <x:v>#NAME?</x:v>
      </x:c>
      <x:c r="B925" s="27" t="e">
        <x:f>IF($A925="","",IF(발령대장_설정!$B$4="","",발령대장_설정!$B$4))</x:f>
        <x:v>#NAME?</x:v>
      </x:c>
      <x:c r="C925" s="27" t="e">
        <x:f>IF($A925="","",대장!D462)</x:f>
        <x:v>#NAME?</x:v>
      </x:c>
      <x:c r="D925" s="27" t="e">
        <x:f>IF($A925="","",대장!A462)</x:f>
        <x:v>#NAME?</x:v>
      </x:c>
      <x:c r="E925" s="27" t="e">
        <x:f>IF($A925="","",IF(대장!J462&lt;&gt;"",대장!J462,대장!D462&amp;"에 임함"&amp;IF(대장!E462="","",CHAR(10)&amp;"고용형태: "&amp;대장!E462)&amp;IF(대장!I462="","",CHAR(10)&amp;"소정근로시간: "&amp;대장!I462)&amp;CHAR(10)&amp;"근로기간: "&amp;YEAR(대장!F462)&amp;"."&amp;MONTH(대장!F462)&amp;"."&amp;DAY(대장!F462)&amp;"."&amp;" ~ "&amp;IF(ISNUMBER(대장!G462),YEAR(대장!G462)&amp;"."&amp;MONTH(대장!G462)&amp;"."&amp;DAY(대장!G462)&amp;".","재직 중")))</x:f>
        <x:v>#NAME?</x:v>
      </x:c>
      <x:c r="F925" s="27" t="e">
        <x:f>IF($A925="","",IF(발령대장_설정!$B$5="","",발령대장_설정!$B$5))</x:f>
        <x:v>#NAME?</x:v>
      </x:c>
      <x:c r="G925" s="27" t="e">
        <x:f>IF($A925="","",IF(발령대장_설정!$B$6="","",발령대장_설정!$B$6))</x:f>
        <x:v>#NAME?</x:v>
      </x:c>
      <x:c r="H925" s="27" t="e">
        <x:f>IF($A925="","",IF(발령대장_설정!$B$7="","",발령대장_설정!$B$7))</x:f>
        <x:v>#NAME?</x:v>
      </x:c>
      <x:c r="I925" s="27" t="e">
        <x:f>IF($A925="","",IF(발령대장_설정!$B$8="","",발령대장_설정!$B$8))</x:f>
        <x:v>#NAME?</x:v>
      </x:c>
      <x:c r="J925" s="27" t="e">
        <x:f>IF($A925="","",IF(대장!K462="","",대장!K462))</x:f>
        <x:v>#NAME?</x:v>
      </x:c>
    </x:row>
    <x:row r="926" ht="42" customHeight="1">
      <x:c r="A926" s="47" t="e">
        <x:f>IF(AND(대장!A462&lt;&gt;"",ISNUMBER(대장!F462),ISNUMBER(대장!G462),대장!G462&gt;=대장!F462,대장!H462&lt;&gt;""),대장!G462,"")</x:f>
        <x:v>#NAME?</x:v>
      </x:c>
      <x:c r="B926" s="27" t="e">
        <x:f>IF($A926="","",IF(발령대장_설정!$B$4="","",발령대장_설정!$B$4))</x:f>
        <x:v>#NAME?</x:v>
      </x:c>
      <x:c r="C926" s="27" t="e">
        <x:f>IF($A926="","",대장!D462)</x:f>
        <x:v>#NAME?</x:v>
      </x:c>
      <x:c r="D926" s="27" t="e">
        <x:f>IF($A926="","",대장!A462)</x:f>
        <x:v>#NAME?</x:v>
      </x:c>
      <x:c r="E926" s="27" t="e">
        <x:f>IF($A926="","",IF(OR(ISNUMBER(SEARCH("계약만료",대장!H462&amp;"")),ISNUMBER(SEARCH("기간만료",대장!H462&amp;""))),"계약기간 만료로 퇴직",IF(ISNUMBER(SEARCH("의원면직",대장!H462&amp;"")),"의원면직",IF(ISNUMBER(SEARCH("정년퇴직",대장!H462&amp;"")),"정년퇴직",대장!H462))))</x:f>
        <x:v>#NAME?</x:v>
      </x:c>
      <x:c r="F926" s="27" t="e">
        <x:f>IF($A926="","",IF(발령대장_설정!$B$5="","",발령대장_설정!$B$5))</x:f>
        <x:v>#NAME?</x:v>
      </x:c>
      <x:c r="G926" s="27" t="e">
        <x:f>IF($A926="","",IF(발령대장_설정!$B$6="","",발령대장_설정!$B$6))</x:f>
        <x:v>#NAME?</x:v>
      </x:c>
      <x:c r="H926" s="27" t="e">
        <x:f>IF($A926="","",IF(발령대장_설정!$B$7="","",발령대장_설정!$B$7))</x:f>
        <x:v>#NAME?</x:v>
      </x:c>
      <x:c r="I926" s="27" t="e">
        <x:f>IF($A926="","",IF(발령대장_설정!$B$8="","",발령대장_설정!$B$8))</x:f>
        <x:v>#NAME?</x:v>
      </x:c>
      <x:c r="J926" s="27" t="str">
        <x:f>""</x:f>
      </x:c>
    </x:row>
    <x:row r="927" ht="42" customHeight="1">
      <x:c r="A927" s="47" t="e">
        <x:f>IF(AND(대장!A463&lt;&gt;"",ISNUMBER(대장!F463),OR(대장!G463="",AND(ISNUMBER(대장!G463),대장!G463&gt;=대장!F463))),대장!F463,"")</x:f>
        <x:v>#NAME?</x:v>
      </x:c>
      <x:c r="B927" s="27" t="e">
        <x:f>IF($A927="","",IF(발령대장_설정!$B$4="","",발령대장_설정!$B$4))</x:f>
        <x:v>#NAME?</x:v>
      </x:c>
      <x:c r="C927" s="27" t="e">
        <x:f>IF($A927="","",대장!D463)</x:f>
        <x:v>#NAME?</x:v>
      </x:c>
      <x:c r="D927" s="27" t="e">
        <x:f>IF($A927="","",대장!A463)</x:f>
        <x:v>#NAME?</x:v>
      </x:c>
      <x:c r="E927" s="27" t="e">
        <x:f>IF($A927="","",IF(대장!J463&lt;&gt;"",대장!J463,대장!D463&amp;"에 임함"&amp;IF(대장!E463="","",CHAR(10)&amp;"고용형태: "&amp;대장!E463)&amp;IF(대장!I463="","",CHAR(10)&amp;"소정근로시간: "&amp;대장!I463)&amp;CHAR(10)&amp;"근로기간: "&amp;YEAR(대장!F463)&amp;"."&amp;MONTH(대장!F463)&amp;"."&amp;DAY(대장!F463)&amp;"."&amp;" ~ "&amp;IF(ISNUMBER(대장!G463),YEAR(대장!G463)&amp;"."&amp;MONTH(대장!G463)&amp;"."&amp;DAY(대장!G463)&amp;".","재직 중")))</x:f>
        <x:v>#NAME?</x:v>
      </x:c>
      <x:c r="F927" s="27" t="e">
        <x:f>IF($A927="","",IF(발령대장_설정!$B$5="","",발령대장_설정!$B$5))</x:f>
        <x:v>#NAME?</x:v>
      </x:c>
      <x:c r="G927" s="27" t="e">
        <x:f>IF($A927="","",IF(발령대장_설정!$B$6="","",발령대장_설정!$B$6))</x:f>
        <x:v>#NAME?</x:v>
      </x:c>
      <x:c r="H927" s="27" t="e">
        <x:f>IF($A927="","",IF(발령대장_설정!$B$7="","",발령대장_설정!$B$7))</x:f>
        <x:v>#NAME?</x:v>
      </x:c>
      <x:c r="I927" s="27" t="e">
        <x:f>IF($A927="","",IF(발령대장_설정!$B$8="","",발령대장_설정!$B$8))</x:f>
        <x:v>#NAME?</x:v>
      </x:c>
      <x:c r="J927" s="27" t="e">
        <x:f>IF($A927="","",IF(대장!K463="","",대장!K463))</x:f>
        <x:v>#NAME?</x:v>
      </x:c>
    </x:row>
    <x:row r="928" ht="42" customHeight="1">
      <x:c r="A928" s="47" t="e">
        <x:f>IF(AND(대장!A463&lt;&gt;"",ISNUMBER(대장!F463),ISNUMBER(대장!G463),대장!G463&gt;=대장!F463,대장!H463&lt;&gt;""),대장!G463,"")</x:f>
        <x:v>#NAME?</x:v>
      </x:c>
      <x:c r="B928" s="27" t="e">
        <x:f>IF($A928="","",IF(발령대장_설정!$B$4="","",발령대장_설정!$B$4))</x:f>
        <x:v>#NAME?</x:v>
      </x:c>
      <x:c r="C928" s="27" t="e">
        <x:f>IF($A928="","",대장!D463)</x:f>
        <x:v>#NAME?</x:v>
      </x:c>
      <x:c r="D928" s="27" t="e">
        <x:f>IF($A928="","",대장!A463)</x:f>
        <x:v>#NAME?</x:v>
      </x:c>
      <x:c r="E928" s="27" t="e">
        <x:f>IF($A928="","",IF(OR(ISNUMBER(SEARCH("계약만료",대장!H463&amp;"")),ISNUMBER(SEARCH("기간만료",대장!H463&amp;""))),"계약기간 만료로 퇴직",IF(ISNUMBER(SEARCH("의원면직",대장!H463&amp;"")),"의원면직",IF(ISNUMBER(SEARCH("정년퇴직",대장!H463&amp;"")),"정년퇴직",대장!H463))))</x:f>
        <x:v>#NAME?</x:v>
      </x:c>
      <x:c r="F928" s="27" t="e">
        <x:f>IF($A928="","",IF(발령대장_설정!$B$5="","",발령대장_설정!$B$5))</x:f>
        <x:v>#NAME?</x:v>
      </x:c>
      <x:c r="G928" s="27" t="e">
        <x:f>IF($A928="","",IF(발령대장_설정!$B$6="","",발령대장_설정!$B$6))</x:f>
        <x:v>#NAME?</x:v>
      </x:c>
      <x:c r="H928" s="27" t="e">
        <x:f>IF($A928="","",IF(발령대장_설정!$B$7="","",발령대장_설정!$B$7))</x:f>
        <x:v>#NAME?</x:v>
      </x:c>
      <x:c r="I928" s="27" t="e">
        <x:f>IF($A928="","",IF(발령대장_설정!$B$8="","",발령대장_설정!$B$8))</x:f>
        <x:v>#NAME?</x:v>
      </x:c>
      <x:c r="J928" s="27" t="str">
        <x:f>""</x:f>
      </x:c>
    </x:row>
    <x:row r="929" ht="42" customHeight="1">
      <x:c r="A929" s="47" t="e">
        <x:f>IF(AND(대장!A464&lt;&gt;"",ISNUMBER(대장!F464),OR(대장!G464="",AND(ISNUMBER(대장!G464),대장!G464&gt;=대장!F464))),대장!F464,"")</x:f>
        <x:v>#NAME?</x:v>
      </x:c>
      <x:c r="B929" s="27" t="e">
        <x:f>IF($A929="","",IF(발령대장_설정!$B$4="","",발령대장_설정!$B$4))</x:f>
        <x:v>#NAME?</x:v>
      </x:c>
      <x:c r="C929" s="27" t="e">
        <x:f>IF($A929="","",대장!D464)</x:f>
        <x:v>#NAME?</x:v>
      </x:c>
      <x:c r="D929" s="27" t="e">
        <x:f>IF($A929="","",대장!A464)</x:f>
        <x:v>#NAME?</x:v>
      </x:c>
      <x:c r="E929" s="27" t="e">
        <x:f>IF($A929="","",IF(대장!J464&lt;&gt;"",대장!J464,대장!D464&amp;"에 임함"&amp;IF(대장!E464="","",CHAR(10)&amp;"고용형태: "&amp;대장!E464)&amp;IF(대장!I464="","",CHAR(10)&amp;"소정근로시간: "&amp;대장!I464)&amp;CHAR(10)&amp;"근로기간: "&amp;YEAR(대장!F464)&amp;"."&amp;MONTH(대장!F464)&amp;"."&amp;DAY(대장!F464)&amp;"."&amp;" ~ "&amp;IF(ISNUMBER(대장!G464),YEAR(대장!G464)&amp;"."&amp;MONTH(대장!G464)&amp;"."&amp;DAY(대장!G464)&amp;".","재직 중")))</x:f>
        <x:v>#NAME?</x:v>
      </x:c>
      <x:c r="F929" s="27" t="e">
        <x:f>IF($A929="","",IF(발령대장_설정!$B$5="","",발령대장_설정!$B$5))</x:f>
        <x:v>#NAME?</x:v>
      </x:c>
      <x:c r="G929" s="27" t="e">
        <x:f>IF($A929="","",IF(발령대장_설정!$B$6="","",발령대장_설정!$B$6))</x:f>
        <x:v>#NAME?</x:v>
      </x:c>
      <x:c r="H929" s="27" t="e">
        <x:f>IF($A929="","",IF(발령대장_설정!$B$7="","",발령대장_설정!$B$7))</x:f>
        <x:v>#NAME?</x:v>
      </x:c>
      <x:c r="I929" s="27" t="e">
        <x:f>IF($A929="","",IF(발령대장_설정!$B$8="","",발령대장_설정!$B$8))</x:f>
        <x:v>#NAME?</x:v>
      </x:c>
      <x:c r="J929" s="27" t="e">
        <x:f>IF($A929="","",IF(대장!K464="","",대장!K464))</x:f>
        <x:v>#NAME?</x:v>
      </x:c>
    </x:row>
    <x:row r="930" ht="42" customHeight="1">
      <x:c r="A930" s="47" t="e">
        <x:f>IF(AND(대장!A464&lt;&gt;"",ISNUMBER(대장!F464),ISNUMBER(대장!G464),대장!G464&gt;=대장!F464,대장!H464&lt;&gt;""),대장!G464,"")</x:f>
        <x:v>#NAME?</x:v>
      </x:c>
      <x:c r="B930" s="27" t="e">
        <x:f>IF($A930="","",IF(발령대장_설정!$B$4="","",발령대장_설정!$B$4))</x:f>
        <x:v>#NAME?</x:v>
      </x:c>
      <x:c r="C930" s="27" t="e">
        <x:f>IF($A930="","",대장!D464)</x:f>
        <x:v>#NAME?</x:v>
      </x:c>
      <x:c r="D930" s="27" t="e">
        <x:f>IF($A930="","",대장!A464)</x:f>
        <x:v>#NAME?</x:v>
      </x:c>
      <x:c r="E930" s="27" t="e">
        <x:f>IF($A930="","",IF(OR(ISNUMBER(SEARCH("계약만료",대장!H464&amp;"")),ISNUMBER(SEARCH("기간만료",대장!H464&amp;""))),"계약기간 만료로 퇴직",IF(ISNUMBER(SEARCH("의원면직",대장!H464&amp;"")),"의원면직",IF(ISNUMBER(SEARCH("정년퇴직",대장!H464&amp;"")),"정년퇴직",대장!H464))))</x:f>
        <x:v>#NAME?</x:v>
      </x:c>
      <x:c r="F930" s="27" t="e">
        <x:f>IF($A930="","",IF(발령대장_설정!$B$5="","",발령대장_설정!$B$5))</x:f>
        <x:v>#NAME?</x:v>
      </x:c>
      <x:c r="G930" s="27" t="e">
        <x:f>IF($A930="","",IF(발령대장_설정!$B$6="","",발령대장_설정!$B$6))</x:f>
        <x:v>#NAME?</x:v>
      </x:c>
      <x:c r="H930" s="27" t="e">
        <x:f>IF($A930="","",IF(발령대장_설정!$B$7="","",발령대장_설정!$B$7))</x:f>
        <x:v>#NAME?</x:v>
      </x:c>
      <x:c r="I930" s="27" t="e">
        <x:f>IF($A930="","",IF(발령대장_설정!$B$8="","",발령대장_설정!$B$8))</x:f>
        <x:v>#NAME?</x:v>
      </x:c>
      <x:c r="J930" s="27" t="str">
        <x:f>""</x:f>
      </x:c>
    </x:row>
    <x:row r="931" ht="42" customHeight="1">
      <x:c r="A931" s="47" t="e">
        <x:f>IF(AND(대장!A465&lt;&gt;"",ISNUMBER(대장!F465),OR(대장!G465="",AND(ISNUMBER(대장!G465),대장!G465&gt;=대장!F465))),대장!F465,"")</x:f>
        <x:v>#NAME?</x:v>
      </x:c>
      <x:c r="B931" s="27" t="e">
        <x:f>IF($A931="","",IF(발령대장_설정!$B$4="","",발령대장_설정!$B$4))</x:f>
        <x:v>#NAME?</x:v>
      </x:c>
      <x:c r="C931" s="27" t="e">
        <x:f>IF($A931="","",대장!D465)</x:f>
        <x:v>#NAME?</x:v>
      </x:c>
      <x:c r="D931" s="27" t="e">
        <x:f>IF($A931="","",대장!A465)</x:f>
        <x:v>#NAME?</x:v>
      </x:c>
      <x:c r="E931" s="27" t="e">
        <x:f>IF($A931="","",IF(대장!J465&lt;&gt;"",대장!J465,대장!D465&amp;"에 임함"&amp;IF(대장!E465="","",CHAR(10)&amp;"고용형태: "&amp;대장!E465)&amp;IF(대장!I465="","",CHAR(10)&amp;"소정근로시간: "&amp;대장!I465)&amp;CHAR(10)&amp;"근로기간: "&amp;YEAR(대장!F465)&amp;"."&amp;MONTH(대장!F465)&amp;"."&amp;DAY(대장!F465)&amp;"."&amp;" ~ "&amp;IF(ISNUMBER(대장!G465),YEAR(대장!G465)&amp;"."&amp;MONTH(대장!G465)&amp;"."&amp;DAY(대장!G465)&amp;".","재직 중")))</x:f>
        <x:v>#NAME?</x:v>
      </x:c>
      <x:c r="F931" s="27" t="e">
        <x:f>IF($A931="","",IF(발령대장_설정!$B$5="","",발령대장_설정!$B$5))</x:f>
        <x:v>#NAME?</x:v>
      </x:c>
      <x:c r="G931" s="27" t="e">
        <x:f>IF($A931="","",IF(발령대장_설정!$B$6="","",발령대장_설정!$B$6))</x:f>
        <x:v>#NAME?</x:v>
      </x:c>
      <x:c r="H931" s="27" t="e">
        <x:f>IF($A931="","",IF(발령대장_설정!$B$7="","",발령대장_설정!$B$7))</x:f>
        <x:v>#NAME?</x:v>
      </x:c>
      <x:c r="I931" s="27" t="e">
        <x:f>IF($A931="","",IF(발령대장_설정!$B$8="","",발령대장_설정!$B$8))</x:f>
        <x:v>#NAME?</x:v>
      </x:c>
      <x:c r="J931" s="27" t="e">
        <x:f>IF($A931="","",IF(대장!K465="","",대장!K465))</x:f>
        <x:v>#NAME?</x:v>
      </x:c>
    </x:row>
    <x:row r="932" ht="42" customHeight="1">
      <x:c r="A932" s="47" t="e">
        <x:f>IF(AND(대장!A465&lt;&gt;"",ISNUMBER(대장!F465),ISNUMBER(대장!G465),대장!G465&gt;=대장!F465,대장!H465&lt;&gt;""),대장!G465,"")</x:f>
        <x:v>#NAME?</x:v>
      </x:c>
      <x:c r="B932" s="27" t="e">
        <x:f>IF($A932="","",IF(발령대장_설정!$B$4="","",발령대장_설정!$B$4))</x:f>
        <x:v>#NAME?</x:v>
      </x:c>
      <x:c r="C932" s="27" t="e">
        <x:f>IF($A932="","",대장!D465)</x:f>
        <x:v>#NAME?</x:v>
      </x:c>
      <x:c r="D932" s="27" t="e">
        <x:f>IF($A932="","",대장!A465)</x:f>
        <x:v>#NAME?</x:v>
      </x:c>
      <x:c r="E932" s="27" t="e">
        <x:f>IF($A932="","",IF(OR(ISNUMBER(SEARCH("계약만료",대장!H465&amp;"")),ISNUMBER(SEARCH("기간만료",대장!H465&amp;""))),"계약기간 만료로 퇴직",IF(ISNUMBER(SEARCH("의원면직",대장!H465&amp;"")),"의원면직",IF(ISNUMBER(SEARCH("정년퇴직",대장!H465&amp;"")),"정년퇴직",대장!H465))))</x:f>
        <x:v>#NAME?</x:v>
      </x:c>
      <x:c r="F932" s="27" t="e">
        <x:f>IF($A932="","",IF(발령대장_설정!$B$5="","",발령대장_설정!$B$5))</x:f>
        <x:v>#NAME?</x:v>
      </x:c>
      <x:c r="G932" s="27" t="e">
        <x:f>IF($A932="","",IF(발령대장_설정!$B$6="","",발령대장_설정!$B$6))</x:f>
        <x:v>#NAME?</x:v>
      </x:c>
      <x:c r="H932" s="27" t="e">
        <x:f>IF($A932="","",IF(발령대장_설정!$B$7="","",발령대장_설정!$B$7))</x:f>
        <x:v>#NAME?</x:v>
      </x:c>
      <x:c r="I932" s="27" t="e">
        <x:f>IF($A932="","",IF(발령대장_설정!$B$8="","",발령대장_설정!$B$8))</x:f>
        <x:v>#NAME?</x:v>
      </x:c>
      <x:c r="J932" s="27" t="str">
        <x:f>""</x:f>
      </x:c>
    </x:row>
    <x:row r="933" ht="42" customHeight="1">
      <x:c r="A933" s="47" t="e">
        <x:f>IF(AND(대장!A466&lt;&gt;"",ISNUMBER(대장!F466),OR(대장!G466="",AND(ISNUMBER(대장!G466),대장!G466&gt;=대장!F466))),대장!F466,"")</x:f>
        <x:v>#NAME?</x:v>
      </x:c>
      <x:c r="B933" s="27" t="e">
        <x:f>IF($A933="","",IF(발령대장_설정!$B$4="","",발령대장_설정!$B$4))</x:f>
        <x:v>#NAME?</x:v>
      </x:c>
      <x:c r="C933" s="27" t="e">
        <x:f>IF($A933="","",대장!D466)</x:f>
        <x:v>#NAME?</x:v>
      </x:c>
      <x:c r="D933" s="27" t="e">
        <x:f>IF($A933="","",대장!A466)</x:f>
        <x:v>#NAME?</x:v>
      </x:c>
      <x:c r="E933" s="27" t="e">
        <x:f>IF($A933="","",IF(대장!J466&lt;&gt;"",대장!J466,대장!D466&amp;"에 임함"&amp;IF(대장!E466="","",CHAR(10)&amp;"고용형태: "&amp;대장!E466)&amp;IF(대장!I466="","",CHAR(10)&amp;"소정근로시간: "&amp;대장!I466)&amp;CHAR(10)&amp;"근로기간: "&amp;YEAR(대장!F466)&amp;"."&amp;MONTH(대장!F466)&amp;"."&amp;DAY(대장!F466)&amp;"."&amp;" ~ "&amp;IF(ISNUMBER(대장!G466),YEAR(대장!G466)&amp;"."&amp;MONTH(대장!G466)&amp;"."&amp;DAY(대장!G466)&amp;".","재직 중")))</x:f>
        <x:v>#NAME?</x:v>
      </x:c>
      <x:c r="F933" s="27" t="e">
        <x:f>IF($A933="","",IF(발령대장_설정!$B$5="","",발령대장_설정!$B$5))</x:f>
        <x:v>#NAME?</x:v>
      </x:c>
      <x:c r="G933" s="27" t="e">
        <x:f>IF($A933="","",IF(발령대장_설정!$B$6="","",발령대장_설정!$B$6))</x:f>
        <x:v>#NAME?</x:v>
      </x:c>
      <x:c r="H933" s="27" t="e">
        <x:f>IF($A933="","",IF(발령대장_설정!$B$7="","",발령대장_설정!$B$7))</x:f>
        <x:v>#NAME?</x:v>
      </x:c>
      <x:c r="I933" s="27" t="e">
        <x:f>IF($A933="","",IF(발령대장_설정!$B$8="","",발령대장_설정!$B$8))</x:f>
        <x:v>#NAME?</x:v>
      </x:c>
      <x:c r="J933" s="27" t="e">
        <x:f>IF($A933="","",IF(대장!K466="","",대장!K466))</x:f>
        <x:v>#NAME?</x:v>
      </x:c>
    </x:row>
    <x:row r="934" ht="42" customHeight="1">
      <x:c r="A934" s="47" t="e">
        <x:f>IF(AND(대장!A466&lt;&gt;"",ISNUMBER(대장!F466),ISNUMBER(대장!G466),대장!G466&gt;=대장!F466,대장!H466&lt;&gt;""),대장!G466,"")</x:f>
        <x:v>#NAME?</x:v>
      </x:c>
      <x:c r="B934" s="27" t="e">
        <x:f>IF($A934="","",IF(발령대장_설정!$B$4="","",발령대장_설정!$B$4))</x:f>
        <x:v>#NAME?</x:v>
      </x:c>
      <x:c r="C934" s="27" t="e">
        <x:f>IF($A934="","",대장!D466)</x:f>
        <x:v>#NAME?</x:v>
      </x:c>
      <x:c r="D934" s="27" t="e">
        <x:f>IF($A934="","",대장!A466)</x:f>
        <x:v>#NAME?</x:v>
      </x:c>
      <x:c r="E934" s="27" t="e">
        <x:f>IF($A934="","",IF(OR(ISNUMBER(SEARCH("계약만료",대장!H466&amp;"")),ISNUMBER(SEARCH("기간만료",대장!H466&amp;""))),"계약기간 만료로 퇴직",IF(ISNUMBER(SEARCH("의원면직",대장!H466&amp;"")),"의원면직",IF(ISNUMBER(SEARCH("정년퇴직",대장!H466&amp;"")),"정년퇴직",대장!H466))))</x:f>
        <x:v>#NAME?</x:v>
      </x:c>
      <x:c r="F934" s="27" t="e">
        <x:f>IF($A934="","",IF(발령대장_설정!$B$5="","",발령대장_설정!$B$5))</x:f>
        <x:v>#NAME?</x:v>
      </x:c>
      <x:c r="G934" s="27" t="e">
        <x:f>IF($A934="","",IF(발령대장_설정!$B$6="","",발령대장_설정!$B$6))</x:f>
        <x:v>#NAME?</x:v>
      </x:c>
      <x:c r="H934" s="27" t="e">
        <x:f>IF($A934="","",IF(발령대장_설정!$B$7="","",발령대장_설정!$B$7))</x:f>
        <x:v>#NAME?</x:v>
      </x:c>
      <x:c r="I934" s="27" t="e">
        <x:f>IF($A934="","",IF(발령대장_설정!$B$8="","",발령대장_설정!$B$8))</x:f>
        <x:v>#NAME?</x:v>
      </x:c>
      <x:c r="J934" s="27" t="str">
        <x:f>""</x:f>
      </x:c>
    </x:row>
    <x:row r="935" ht="42" customHeight="1">
      <x:c r="A935" s="47" t="e">
        <x:f>IF(AND(대장!A467&lt;&gt;"",ISNUMBER(대장!F467),OR(대장!G467="",AND(ISNUMBER(대장!G467),대장!G467&gt;=대장!F467))),대장!F467,"")</x:f>
        <x:v>#NAME?</x:v>
      </x:c>
      <x:c r="B935" s="27" t="e">
        <x:f>IF($A935="","",IF(발령대장_설정!$B$4="","",발령대장_설정!$B$4))</x:f>
        <x:v>#NAME?</x:v>
      </x:c>
      <x:c r="C935" s="27" t="e">
        <x:f>IF($A935="","",대장!D467)</x:f>
        <x:v>#NAME?</x:v>
      </x:c>
      <x:c r="D935" s="27" t="e">
        <x:f>IF($A935="","",대장!A467)</x:f>
        <x:v>#NAME?</x:v>
      </x:c>
      <x:c r="E935" s="27" t="e">
        <x:f>IF($A935="","",IF(대장!J467&lt;&gt;"",대장!J467,대장!D467&amp;"에 임함"&amp;IF(대장!E467="","",CHAR(10)&amp;"고용형태: "&amp;대장!E467)&amp;IF(대장!I467="","",CHAR(10)&amp;"소정근로시간: "&amp;대장!I467)&amp;CHAR(10)&amp;"근로기간: "&amp;YEAR(대장!F467)&amp;"."&amp;MONTH(대장!F467)&amp;"."&amp;DAY(대장!F467)&amp;"."&amp;" ~ "&amp;IF(ISNUMBER(대장!G467),YEAR(대장!G467)&amp;"."&amp;MONTH(대장!G467)&amp;"."&amp;DAY(대장!G467)&amp;".","재직 중")))</x:f>
        <x:v>#NAME?</x:v>
      </x:c>
      <x:c r="F935" s="27" t="e">
        <x:f>IF($A935="","",IF(발령대장_설정!$B$5="","",발령대장_설정!$B$5))</x:f>
        <x:v>#NAME?</x:v>
      </x:c>
      <x:c r="G935" s="27" t="e">
        <x:f>IF($A935="","",IF(발령대장_설정!$B$6="","",발령대장_설정!$B$6))</x:f>
        <x:v>#NAME?</x:v>
      </x:c>
      <x:c r="H935" s="27" t="e">
        <x:f>IF($A935="","",IF(발령대장_설정!$B$7="","",발령대장_설정!$B$7))</x:f>
        <x:v>#NAME?</x:v>
      </x:c>
      <x:c r="I935" s="27" t="e">
        <x:f>IF($A935="","",IF(발령대장_설정!$B$8="","",발령대장_설정!$B$8))</x:f>
        <x:v>#NAME?</x:v>
      </x:c>
      <x:c r="J935" s="27" t="e">
        <x:f>IF($A935="","",IF(대장!K467="","",대장!K467))</x:f>
        <x:v>#NAME?</x:v>
      </x:c>
    </x:row>
    <x:row r="936" ht="42" customHeight="1">
      <x:c r="A936" s="47" t="e">
        <x:f>IF(AND(대장!A467&lt;&gt;"",ISNUMBER(대장!F467),ISNUMBER(대장!G467),대장!G467&gt;=대장!F467,대장!H467&lt;&gt;""),대장!G467,"")</x:f>
        <x:v>#NAME?</x:v>
      </x:c>
      <x:c r="B936" s="27" t="e">
        <x:f>IF($A936="","",IF(발령대장_설정!$B$4="","",발령대장_설정!$B$4))</x:f>
        <x:v>#NAME?</x:v>
      </x:c>
      <x:c r="C936" s="27" t="e">
        <x:f>IF($A936="","",대장!D467)</x:f>
        <x:v>#NAME?</x:v>
      </x:c>
      <x:c r="D936" s="27" t="e">
        <x:f>IF($A936="","",대장!A467)</x:f>
        <x:v>#NAME?</x:v>
      </x:c>
      <x:c r="E936" s="27" t="e">
        <x:f>IF($A936="","",IF(OR(ISNUMBER(SEARCH("계약만료",대장!H467&amp;"")),ISNUMBER(SEARCH("기간만료",대장!H467&amp;""))),"계약기간 만료로 퇴직",IF(ISNUMBER(SEARCH("의원면직",대장!H467&amp;"")),"의원면직",IF(ISNUMBER(SEARCH("정년퇴직",대장!H467&amp;"")),"정년퇴직",대장!H467))))</x:f>
        <x:v>#NAME?</x:v>
      </x:c>
      <x:c r="F936" s="27" t="e">
        <x:f>IF($A936="","",IF(발령대장_설정!$B$5="","",발령대장_설정!$B$5))</x:f>
        <x:v>#NAME?</x:v>
      </x:c>
      <x:c r="G936" s="27" t="e">
        <x:f>IF($A936="","",IF(발령대장_설정!$B$6="","",발령대장_설정!$B$6))</x:f>
        <x:v>#NAME?</x:v>
      </x:c>
      <x:c r="H936" s="27" t="e">
        <x:f>IF($A936="","",IF(발령대장_설정!$B$7="","",발령대장_설정!$B$7))</x:f>
        <x:v>#NAME?</x:v>
      </x:c>
      <x:c r="I936" s="27" t="e">
        <x:f>IF($A936="","",IF(발령대장_설정!$B$8="","",발령대장_설정!$B$8))</x:f>
        <x:v>#NAME?</x:v>
      </x:c>
      <x:c r="J936" s="27" t="str">
        <x:f>""</x:f>
      </x:c>
    </x:row>
    <x:row r="937" ht="42" customHeight="1">
      <x:c r="A937" s="47" t="e">
        <x:f>IF(AND(대장!A468&lt;&gt;"",ISNUMBER(대장!F468),OR(대장!G468="",AND(ISNUMBER(대장!G468),대장!G468&gt;=대장!F468))),대장!F468,"")</x:f>
        <x:v>#NAME?</x:v>
      </x:c>
      <x:c r="B937" s="27" t="e">
        <x:f>IF($A937="","",IF(발령대장_설정!$B$4="","",발령대장_설정!$B$4))</x:f>
        <x:v>#NAME?</x:v>
      </x:c>
      <x:c r="C937" s="27" t="e">
        <x:f>IF($A937="","",대장!D468)</x:f>
        <x:v>#NAME?</x:v>
      </x:c>
      <x:c r="D937" s="27" t="e">
        <x:f>IF($A937="","",대장!A468)</x:f>
        <x:v>#NAME?</x:v>
      </x:c>
      <x:c r="E937" s="27" t="e">
        <x:f>IF($A937="","",IF(대장!J468&lt;&gt;"",대장!J468,대장!D468&amp;"에 임함"&amp;IF(대장!E468="","",CHAR(10)&amp;"고용형태: "&amp;대장!E468)&amp;IF(대장!I468="","",CHAR(10)&amp;"소정근로시간: "&amp;대장!I468)&amp;CHAR(10)&amp;"근로기간: "&amp;YEAR(대장!F468)&amp;"."&amp;MONTH(대장!F468)&amp;"."&amp;DAY(대장!F468)&amp;"."&amp;" ~ "&amp;IF(ISNUMBER(대장!G468),YEAR(대장!G468)&amp;"."&amp;MONTH(대장!G468)&amp;"."&amp;DAY(대장!G468)&amp;".","재직 중")))</x:f>
        <x:v>#NAME?</x:v>
      </x:c>
      <x:c r="F937" s="27" t="e">
        <x:f>IF($A937="","",IF(발령대장_설정!$B$5="","",발령대장_설정!$B$5))</x:f>
        <x:v>#NAME?</x:v>
      </x:c>
      <x:c r="G937" s="27" t="e">
        <x:f>IF($A937="","",IF(발령대장_설정!$B$6="","",발령대장_설정!$B$6))</x:f>
        <x:v>#NAME?</x:v>
      </x:c>
      <x:c r="H937" s="27" t="e">
        <x:f>IF($A937="","",IF(발령대장_설정!$B$7="","",발령대장_설정!$B$7))</x:f>
        <x:v>#NAME?</x:v>
      </x:c>
      <x:c r="I937" s="27" t="e">
        <x:f>IF($A937="","",IF(발령대장_설정!$B$8="","",발령대장_설정!$B$8))</x:f>
        <x:v>#NAME?</x:v>
      </x:c>
      <x:c r="J937" s="27" t="e">
        <x:f>IF($A937="","",IF(대장!K468="","",대장!K468))</x:f>
        <x:v>#NAME?</x:v>
      </x:c>
    </x:row>
    <x:row r="938" ht="42" customHeight="1">
      <x:c r="A938" s="47" t="e">
        <x:f>IF(AND(대장!A468&lt;&gt;"",ISNUMBER(대장!F468),ISNUMBER(대장!G468),대장!G468&gt;=대장!F468,대장!H468&lt;&gt;""),대장!G468,"")</x:f>
        <x:v>#NAME?</x:v>
      </x:c>
      <x:c r="B938" s="27" t="e">
        <x:f>IF($A938="","",IF(발령대장_설정!$B$4="","",발령대장_설정!$B$4))</x:f>
        <x:v>#NAME?</x:v>
      </x:c>
      <x:c r="C938" s="27" t="e">
        <x:f>IF($A938="","",대장!D468)</x:f>
        <x:v>#NAME?</x:v>
      </x:c>
      <x:c r="D938" s="27" t="e">
        <x:f>IF($A938="","",대장!A468)</x:f>
        <x:v>#NAME?</x:v>
      </x:c>
      <x:c r="E938" s="27" t="e">
        <x:f>IF($A938="","",IF(OR(ISNUMBER(SEARCH("계약만료",대장!H468&amp;"")),ISNUMBER(SEARCH("기간만료",대장!H468&amp;""))),"계약기간 만료로 퇴직",IF(ISNUMBER(SEARCH("의원면직",대장!H468&amp;"")),"의원면직",IF(ISNUMBER(SEARCH("정년퇴직",대장!H468&amp;"")),"정년퇴직",대장!H468))))</x:f>
        <x:v>#NAME?</x:v>
      </x:c>
      <x:c r="F938" s="27" t="e">
        <x:f>IF($A938="","",IF(발령대장_설정!$B$5="","",발령대장_설정!$B$5))</x:f>
        <x:v>#NAME?</x:v>
      </x:c>
      <x:c r="G938" s="27" t="e">
        <x:f>IF($A938="","",IF(발령대장_설정!$B$6="","",발령대장_설정!$B$6))</x:f>
        <x:v>#NAME?</x:v>
      </x:c>
      <x:c r="H938" s="27" t="e">
        <x:f>IF($A938="","",IF(발령대장_설정!$B$7="","",발령대장_설정!$B$7))</x:f>
        <x:v>#NAME?</x:v>
      </x:c>
      <x:c r="I938" s="27" t="e">
        <x:f>IF($A938="","",IF(발령대장_설정!$B$8="","",발령대장_설정!$B$8))</x:f>
        <x:v>#NAME?</x:v>
      </x:c>
      <x:c r="J938" s="27" t="str">
        <x:f>""</x:f>
      </x:c>
    </x:row>
    <x:row r="939" ht="42" customHeight="1">
      <x:c r="A939" s="47" t="e">
        <x:f>IF(AND(대장!A469&lt;&gt;"",ISNUMBER(대장!F469),OR(대장!G469="",AND(ISNUMBER(대장!G469),대장!G469&gt;=대장!F469))),대장!F469,"")</x:f>
        <x:v>#NAME?</x:v>
      </x:c>
      <x:c r="B939" s="27" t="e">
        <x:f>IF($A939="","",IF(발령대장_설정!$B$4="","",발령대장_설정!$B$4))</x:f>
        <x:v>#NAME?</x:v>
      </x:c>
      <x:c r="C939" s="27" t="e">
        <x:f>IF($A939="","",대장!D469)</x:f>
        <x:v>#NAME?</x:v>
      </x:c>
      <x:c r="D939" s="27" t="e">
        <x:f>IF($A939="","",대장!A469)</x:f>
        <x:v>#NAME?</x:v>
      </x:c>
      <x:c r="E939" s="27" t="e">
        <x:f>IF($A939="","",IF(대장!J469&lt;&gt;"",대장!J469,대장!D469&amp;"에 임함"&amp;IF(대장!E469="","",CHAR(10)&amp;"고용형태: "&amp;대장!E469)&amp;IF(대장!I469="","",CHAR(10)&amp;"소정근로시간: "&amp;대장!I469)&amp;CHAR(10)&amp;"근로기간: "&amp;YEAR(대장!F469)&amp;"."&amp;MONTH(대장!F469)&amp;"."&amp;DAY(대장!F469)&amp;"."&amp;" ~ "&amp;IF(ISNUMBER(대장!G469),YEAR(대장!G469)&amp;"."&amp;MONTH(대장!G469)&amp;"."&amp;DAY(대장!G469)&amp;".","재직 중")))</x:f>
        <x:v>#NAME?</x:v>
      </x:c>
      <x:c r="F939" s="27" t="e">
        <x:f>IF($A939="","",IF(발령대장_설정!$B$5="","",발령대장_설정!$B$5))</x:f>
        <x:v>#NAME?</x:v>
      </x:c>
      <x:c r="G939" s="27" t="e">
        <x:f>IF($A939="","",IF(발령대장_설정!$B$6="","",발령대장_설정!$B$6))</x:f>
        <x:v>#NAME?</x:v>
      </x:c>
      <x:c r="H939" s="27" t="e">
        <x:f>IF($A939="","",IF(발령대장_설정!$B$7="","",발령대장_설정!$B$7))</x:f>
        <x:v>#NAME?</x:v>
      </x:c>
      <x:c r="I939" s="27" t="e">
        <x:f>IF($A939="","",IF(발령대장_설정!$B$8="","",발령대장_설정!$B$8))</x:f>
        <x:v>#NAME?</x:v>
      </x:c>
      <x:c r="J939" s="27" t="e">
        <x:f>IF($A939="","",IF(대장!K469="","",대장!K469))</x:f>
        <x:v>#NAME?</x:v>
      </x:c>
    </x:row>
    <x:row r="940" ht="42" customHeight="1">
      <x:c r="A940" s="47" t="e">
        <x:f>IF(AND(대장!A469&lt;&gt;"",ISNUMBER(대장!F469),ISNUMBER(대장!G469),대장!G469&gt;=대장!F469,대장!H469&lt;&gt;""),대장!G469,"")</x:f>
        <x:v>#NAME?</x:v>
      </x:c>
      <x:c r="B940" s="27" t="e">
        <x:f>IF($A940="","",IF(발령대장_설정!$B$4="","",발령대장_설정!$B$4))</x:f>
        <x:v>#NAME?</x:v>
      </x:c>
      <x:c r="C940" s="27" t="e">
        <x:f>IF($A940="","",대장!D469)</x:f>
        <x:v>#NAME?</x:v>
      </x:c>
      <x:c r="D940" s="27" t="e">
        <x:f>IF($A940="","",대장!A469)</x:f>
        <x:v>#NAME?</x:v>
      </x:c>
      <x:c r="E940" s="27" t="e">
        <x:f>IF($A940="","",IF(OR(ISNUMBER(SEARCH("계약만료",대장!H469&amp;"")),ISNUMBER(SEARCH("기간만료",대장!H469&amp;""))),"계약기간 만료로 퇴직",IF(ISNUMBER(SEARCH("의원면직",대장!H469&amp;"")),"의원면직",IF(ISNUMBER(SEARCH("정년퇴직",대장!H469&amp;"")),"정년퇴직",대장!H469))))</x:f>
        <x:v>#NAME?</x:v>
      </x:c>
      <x:c r="F940" s="27" t="e">
        <x:f>IF($A940="","",IF(발령대장_설정!$B$5="","",발령대장_설정!$B$5))</x:f>
        <x:v>#NAME?</x:v>
      </x:c>
      <x:c r="G940" s="27" t="e">
        <x:f>IF($A940="","",IF(발령대장_설정!$B$6="","",발령대장_설정!$B$6))</x:f>
        <x:v>#NAME?</x:v>
      </x:c>
      <x:c r="H940" s="27" t="e">
        <x:f>IF($A940="","",IF(발령대장_설정!$B$7="","",발령대장_설정!$B$7))</x:f>
        <x:v>#NAME?</x:v>
      </x:c>
      <x:c r="I940" s="27" t="e">
        <x:f>IF($A940="","",IF(발령대장_설정!$B$8="","",발령대장_설정!$B$8))</x:f>
        <x:v>#NAME?</x:v>
      </x:c>
      <x:c r="J940" s="27" t="str">
        <x:f>""</x:f>
      </x:c>
    </x:row>
    <x:row r="941" ht="42" customHeight="1">
      <x:c r="A941" s="47" t="e">
        <x:f>IF(AND(대장!A470&lt;&gt;"",ISNUMBER(대장!F470),OR(대장!G470="",AND(ISNUMBER(대장!G470),대장!G470&gt;=대장!F470))),대장!F470,"")</x:f>
        <x:v>#NAME?</x:v>
      </x:c>
      <x:c r="B941" s="27" t="e">
        <x:f>IF($A941="","",IF(발령대장_설정!$B$4="","",발령대장_설정!$B$4))</x:f>
        <x:v>#NAME?</x:v>
      </x:c>
      <x:c r="C941" s="27" t="e">
        <x:f>IF($A941="","",대장!D470)</x:f>
        <x:v>#NAME?</x:v>
      </x:c>
      <x:c r="D941" s="27" t="e">
        <x:f>IF($A941="","",대장!A470)</x:f>
        <x:v>#NAME?</x:v>
      </x:c>
      <x:c r="E941" s="27" t="e">
        <x:f>IF($A941="","",IF(대장!J470&lt;&gt;"",대장!J470,대장!D470&amp;"에 임함"&amp;IF(대장!E470="","",CHAR(10)&amp;"고용형태: "&amp;대장!E470)&amp;IF(대장!I470="","",CHAR(10)&amp;"소정근로시간: "&amp;대장!I470)&amp;CHAR(10)&amp;"근로기간: "&amp;YEAR(대장!F470)&amp;"."&amp;MONTH(대장!F470)&amp;"."&amp;DAY(대장!F470)&amp;"."&amp;" ~ "&amp;IF(ISNUMBER(대장!G470),YEAR(대장!G470)&amp;"."&amp;MONTH(대장!G470)&amp;"."&amp;DAY(대장!G470)&amp;".","재직 중")))</x:f>
        <x:v>#NAME?</x:v>
      </x:c>
      <x:c r="F941" s="27" t="e">
        <x:f>IF($A941="","",IF(발령대장_설정!$B$5="","",발령대장_설정!$B$5))</x:f>
        <x:v>#NAME?</x:v>
      </x:c>
      <x:c r="G941" s="27" t="e">
        <x:f>IF($A941="","",IF(발령대장_설정!$B$6="","",발령대장_설정!$B$6))</x:f>
        <x:v>#NAME?</x:v>
      </x:c>
      <x:c r="H941" s="27" t="e">
        <x:f>IF($A941="","",IF(발령대장_설정!$B$7="","",발령대장_설정!$B$7))</x:f>
        <x:v>#NAME?</x:v>
      </x:c>
      <x:c r="I941" s="27" t="e">
        <x:f>IF($A941="","",IF(발령대장_설정!$B$8="","",발령대장_설정!$B$8))</x:f>
        <x:v>#NAME?</x:v>
      </x:c>
      <x:c r="J941" s="27" t="e">
        <x:f>IF($A941="","",IF(대장!K470="","",대장!K470))</x:f>
        <x:v>#NAME?</x:v>
      </x:c>
    </x:row>
    <x:row r="942" ht="42" customHeight="1">
      <x:c r="A942" s="47" t="e">
        <x:f>IF(AND(대장!A470&lt;&gt;"",ISNUMBER(대장!F470),ISNUMBER(대장!G470),대장!G470&gt;=대장!F470,대장!H470&lt;&gt;""),대장!G470,"")</x:f>
        <x:v>#NAME?</x:v>
      </x:c>
      <x:c r="B942" s="27" t="e">
        <x:f>IF($A942="","",IF(발령대장_설정!$B$4="","",발령대장_설정!$B$4))</x:f>
        <x:v>#NAME?</x:v>
      </x:c>
      <x:c r="C942" s="27" t="e">
        <x:f>IF($A942="","",대장!D470)</x:f>
        <x:v>#NAME?</x:v>
      </x:c>
      <x:c r="D942" s="27" t="e">
        <x:f>IF($A942="","",대장!A470)</x:f>
        <x:v>#NAME?</x:v>
      </x:c>
      <x:c r="E942" s="27" t="e">
        <x:f>IF($A942="","",IF(OR(ISNUMBER(SEARCH("계약만료",대장!H470&amp;"")),ISNUMBER(SEARCH("기간만료",대장!H470&amp;""))),"계약기간 만료로 퇴직",IF(ISNUMBER(SEARCH("의원면직",대장!H470&amp;"")),"의원면직",IF(ISNUMBER(SEARCH("정년퇴직",대장!H470&amp;"")),"정년퇴직",대장!H470))))</x:f>
        <x:v>#NAME?</x:v>
      </x:c>
      <x:c r="F942" s="27" t="e">
        <x:f>IF($A942="","",IF(발령대장_설정!$B$5="","",발령대장_설정!$B$5))</x:f>
        <x:v>#NAME?</x:v>
      </x:c>
      <x:c r="G942" s="27" t="e">
        <x:f>IF($A942="","",IF(발령대장_설정!$B$6="","",발령대장_설정!$B$6))</x:f>
        <x:v>#NAME?</x:v>
      </x:c>
      <x:c r="H942" s="27" t="e">
        <x:f>IF($A942="","",IF(발령대장_설정!$B$7="","",발령대장_설정!$B$7))</x:f>
        <x:v>#NAME?</x:v>
      </x:c>
      <x:c r="I942" s="27" t="e">
        <x:f>IF($A942="","",IF(발령대장_설정!$B$8="","",발령대장_설정!$B$8))</x:f>
        <x:v>#NAME?</x:v>
      </x:c>
      <x:c r="J942" s="27" t="str">
        <x:f>""</x:f>
      </x:c>
    </x:row>
    <x:row r="943" ht="42" customHeight="1">
      <x:c r="A943" s="47" t="e">
        <x:f>IF(AND(대장!A471&lt;&gt;"",ISNUMBER(대장!F471),OR(대장!G471="",AND(ISNUMBER(대장!G471),대장!G471&gt;=대장!F471))),대장!F471,"")</x:f>
        <x:v>#NAME?</x:v>
      </x:c>
      <x:c r="B943" s="27" t="e">
        <x:f>IF($A943="","",IF(발령대장_설정!$B$4="","",발령대장_설정!$B$4))</x:f>
        <x:v>#NAME?</x:v>
      </x:c>
      <x:c r="C943" s="27" t="e">
        <x:f>IF($A943="","",대장!D471)</x:f>
        <x:v>#NAME?</x:v>
      </x:c>
      <x:c r="D943" s="27" t="e">
        <x:f>IF($A943="","",대장!A471)</x:f>
        <x:v>#NAME?</x:v>
      </x:c>
      <x:c r="E943" s="27" t="e">
        <x:f>IF($A943="","",IF(대장!J471&lt;&gt;"",대장!J471,대장!D471&amp;"에 임함"&amp;IF(대장!E471="","",CHAR(10)&amp;"고용형태: "&amp;대장!E471)&amp;IF(대장!I471="","",CHAR(10)&amp;"소정근로시간: "&amp;대장!I471)&amp;CHAR(10)&amp;"근로기간: "&amp;YEAR(대장!F471)&amp;"."&amp;MONTH(대장!F471)&amp;"."&amp;DAY(대장!F471)&amp;"."&amp;" ~ "&amp;IF(ISNUMBER(대장!G471),YEAR(대장!G471)&amp;"."&amp;MONTH(대장!G471)&amp;"."&amp;DAY(대장!G471)&amp;".","재직 중")))</x:f>
        <x:v>#NAME?</x:v>
      </x:c>
      <x:c r="F943" s="27" t="e">
        <x:f>IF($A943="","",IF(발령대장_설정!$B$5="","",발령대장_설정!$B$5))</x:f>
        <x:v>#NAME?</x:v>
      </x:c>
      <x:c r="G943" s="27" t="e">
        <x:f>IF($A943="","",IF(발령대장_설정!$B$6="","",발령대장_설정!$B$6))</x:f>
        <x:v>#NAME?</x:v>
      </x:c>
      <x:c r="H943" s="27" t="e">
        <x:f>IF($A943="","",IF(발령대장_설정!$B$7="","",발령대장_설정!$B$7))</x:f>
        <x:v>#NAME?</x:v>
      </x:c>
      <x:c r="I943" s="27" t="e">
        <x:f>IF($A943="","",IF(발령대장_설정!$B$8="","",발령대장_설정!$B$8))</x:f>
        <x:v>#NAME?</x:v>
      </x:c>
      <x:c r="J943" s="27" t="e">
        <x:f>IF($A943="","",IF(대장!K471="","",대장!K471))</x:f>
        <x:v>#NAME?</x:v>
      </x:c>
    </x:row>
    <x:row r="944" ht="42" customHeight="1">
      <x:c r="A944" s="47" t="e">
        <x:f>IF(AND(대장!A471&lt;&gt;"",ISNUMBER(대장!F471),ISNUMBER(대장!G471),대장!G471&gt;=대장!F471,대장!H471&lt;&gt;""),대장!G471,"")</x:f>
        <x:v>#NAME?</x:v>
      </x:c>
      <x:c r="B944" s="27" t="e">
        <x:f>IF($A944="","",IF(발령대장_설정!$B$4="","",발령대장_설정!$B$4))</x:f>
        <x:v>#NAME?</x:v>
      </x:c>
      <x:c r="C944" s="27" t="e">
        <x:f>IF($A944="","",대장!D471)</x:f>
        <x:v>#NAME?</x:v>
      </x:c>
      <x:c r="D944" s="27" t="e">
        <x:f>IF($A944="","",대장!A471)</x:f>
        <x:v>#NAME?</x:v>
      </x:c>
      <x:c r="E944" s="27" t="e">
        <x:f>IF($A944="","",IF(OR(ISNUMBER(SEARCH("계약만료",대장!H471&amp;"")),ISNUMBER(SEARCH("기간만료",대장!H471&amp;""))),"계약기간 만료로 퇴직",IF(ISNUMBER(SEARCH("의원면직",대장!H471&amp;"")),"의원면직",IF(ISNUMBER(SEARCH("정년퇴직",대장!H471&amp;"")),"정년퇴직",대장!H471))))</x:f>
        <x:v>#NAME?</x:v>
      </x:c>
      <x:c r="F944" s="27" t="e">
        <x:f>IF($A944="","",IF(발령대장_설정!$B$5="","",발령대장_설정!$B$5))</x:f>
        <x:v>#NAME?</x:v>
      </x:c>
      <x:c r="G944" s="27" t="e">
        <x:f>IF($A944="","",IF(발령대장_설정!$B$6="","",발령대장_설정!$B$6))</x:f>
        <x:v>#NAME?</x:v>
      </x:c>
      <x:c r="H944" s="27" t="e">
        <x:f>IF($A944="","",IF(발령대장_설정!$B$7="","",발령대장_설정!$B$7))</x:f>
        <x:v>#NAME?</x:v>
      </x:c>
      <x:c r="I944" s="27" t="e">
        <x:f>IF($A944="","",IF(발령대장_설정!$B$8="","",발령대장_설정!$B$8))</x:f>
        <x:v>#NAME?</x:v>
      </x:c>
      <x:c r="J944" s="27" t="str">
        <x:f>""</x:f>
      </x:c>
    </x:row>
    <x:row r="945" ht="42" customHeight="1">
      <x:c r="A945" s="47" t="e">
        <x:f>IF(AND(대장!A472&lt;&gt;"",ISNUMBER(대장!F472),OR(대장!G472="",AND(ISNUMBER(대장!G472),대장!G472&gt;=대장!F472))),대장!F472,"")</x:f>
        <x:v>#NAME?</x:v>
      </x:c>
      <x:c r="B945" s="27" t="e">
        <x:f>IF($A945="","",IF(발령대장_설정!$B$4="","",발령대장_설정!$B$4))</x:f>
        <x:v>#NAME?</x:v>
      </x:c>
      <x:c r="C945" s="27" t="e">
        <x:f>IF($A945="","",대장!D472)</x:f>
        <x:v>#NAME?</x:v>
      </x:c>
      <x:c r="D945" s="27" t="e">
        <x:f>IF($A945="","",대장!A472)</x:f>
        <x:v>#NAME?</x:v>
      </x:c>
      <x:c r="E945" s="27" t="e">
        <x:f>IF($A945="","",IF(대장!J472&lt;&gt;"",대장!J472,대장!D472&amp;"에 임함"&amp;IF(대장!E472="","",CHAR(10)&amp;"고용형태: "&amp;대장!E472)&amp;IF(대장!I472="","",CHAR(10)&amp;"소정근로시간: "&amp;대장!I472)&amp;CHAR(10)&amp;"근로기간: "&amp;YEAR(대장!F472)&amp;"."&amp;MONTH(대장!F472)&amp;"."&amp;DAY(대장!F472)&amp;"."&amp;" ~ "&amp;IF(ISNUMBER(대장!G472),YEAR(대장!G472)&amp;"."&amp;MONTH(대장!G472)&amp;"."&amp;DAY(대장!G472)&amp;".","재직 중")))</x:f>
        <x:v>#NAME?</x:v>
      </x:c>
      <x:c r="F945" s="27" t="e">
        <x:f>IF($A945="","",IF(발령대장_설정!$B$5="","",발령대장_설정!$B$5))</x:f>
        <x:v>#NAME?</x:v>
      </x:c>
      <x:c r="G945" s="27" t="e">
        <x:f>IF($A945="","",IF(발령대장_설정!$B$6="","",발령대장_설정!$B$6))</x:f>
        <x:v>#NAME?</x:v>
      </x:c>
      <x:c r="H945" s="27" t="e">
        <x:f>IF($A945="","",IF(발령대장_설정!$B$7="","",발령대장_설정!$B$7))</x:f>
        <x:v>#NAME?</x:v>
      </x:c>
      <x:c r="I945" s="27" t="e">
        <x:f>IF($A945="","",IF(발령대장_설정!$B$8="","",발령대장_설정!$B$8))</x:f>
        <x:v>#NAME?</x:v>
      </x:c>
      <x:c r="J945" s="27" t="e">
        <x:f>IF($A945="","",IF(대장!K472="","",대장!K472))</x:f>
        <x:v>#NAME?</x:v>
      </x:c>
    </x:row>
    <x:row r="946" ht="42" customHeight="1">
      <x:c r="A946" s="47" t="e">
        <x:f>IF(AND(대장!A472&lt;&gt;"",ISNUMBER(대장!F472),ISNUMBER(대장!G472),대장!G472&gt;=대장!F472,대장!H472&lt;&gt;""),대장!G472,"")</x:f>
        <x:v>#NAME?</x:v>
      </x:c>
      <x:c r="B946" s="27" t="e">
        <x:f>IF($A946="","",IF(발령대장_설정!$B$4="","",발령대장_설정!$B$4))</x:f>
        <x:v>#NAME?</x:v>
      </x:c>
      <x:c r="C946" s="27" t="e">
        <x:f>IF($A946="","",대장!D472)</x:f>
        <x:v>#NAME?</x:v>
      </x:c>
      <x:c r="D946" s="27" t="e">
        <x:f>IF($A946="","",대장!A472)</x:f>
        <x:v>#NAME?</x:v>
      </x:c>
      <x:c r="E946" s="27" t="e">
        <x:f>IF($A946="","",IF(OR(ISNUMBER(SEARCH("계약만료",대장!H472&amp;"")),ISNUMBER(SEARCH("기간만료",대장!H472&amp;""))),"계약기간 만료로 퇴직",IF(ISNUMBER(SEARCH("의원면직",대장!H472&amp;"")),"의원면직",IF(ISNUMBER(SEARCH("정년퇴직",대장!H472&amp;"")),"정년퇴직",대장!H472))))</x:f>
        <x:v>#NAME?</x:v>
      </x:c>
      <x:c r="F946" s="27" t="e">
        <x:f>IF($A946="","",IF(발령대장_설정!$B$5="","",발령대장_설정!$B$5))</x:f>
        <x:v>#NAME?</x:v>
      </x:c>
      <x:c r="G946" s="27" t="e">
        <x:f>IF($A946="","",IF(발령대장_설정!$B$6="","",발령대장_설정!$B$6))</x:f>
        <x:v>#NAME?</x:v>
      </x:c>
      <x:c r="H946" s="27" t="e">
        <x:f>IF($A946="","",IF(발령대장_설정!$B$7="","",발령대장_설정!$B$7))</x:f>
        <x:v>#NAME?</x:v>
      </x:c>
      <x:c r="I946" s="27" t="e">
        <x:f>IF($A946="","",IF(발령대장_설정!$B$8="","",발령대장_설정!$B$8))</x:f>
        <x:v>#NAME?</x:v>
      </x:c>
      <x:c r="J946" s="27" t="str">
        <x:f>""</x:f>
      </x:c>
    </x:row>
    <x:row r="947" ht="42" customHeight="1">
      <x:c r="A947" s="47" t="e">
        <x:f>IF(AND(대장!A473&lt;&gt;"",ISNUMBER(대장!F473),OR(대장!G473="",AND(ISNUMBER(대장!G473),대장!G473&gt;=대장!F473))),대장!F473,"")</x:f>
        <x:v>#NAME?</x:v>
      </x:c>
      <x:c r="B947" s="27" t="e">
        <x:f>IF($A947="","",IF(발령대장_설정!$B$4="","",발령대장_설정!$B$4))</x:f>
        <x:v>#NAME?</x:v>
      </x:c>
      <x:c r="C947" s="27" t="e">
        <x:f>IF($A947="","",대장!D473)</x:f>
        <x:v>#NAME?</x:v>
      </x:c>
      <x:c r="D947" s="27" t="e">
        <x:f>IF($A947="","",대장!A473)</x:f>
        <x:v>#NAME?</x:v>
      </x:c>
      <x:c r="E947" s="27" t="e">
        <x:f>IF($A947="","",IF(대장!J473&lt;&gt;"",대장!J473,대장!D473&amp;"에 임함"&amp;IF(대장!E473="","",CHAR(10)&amp;"고용형태: "&amp;대장!E473)&amp;IF(대장!I473="","",CHAR(10)&amp;"소정근로시간: "&amp;대장!I473)&amp;CHAR(10)&amp;"근로기간: "&amp;YEAR(대장!F473)&amp;"."&amp;MONTH(대장!F473)&amp;"."&amp;DAY(대장!F473)&amp;"."&amp;" ~ "&amp;IF(ISNUMBER(대장!G473),YEAR(대장!G473)&amp;"."&amp;MONTH(대장!G473)&amp;"."&amp;DAY(대장!G473)&amp;".","재직 중")))</x:f>
        <x:v>#NAME?</x:v>
      </x:c>
      <x:c r="F947" s="27" t="e">
        <x:f>IF($A947="","",IF(발령대장_설정!$B$5="","",발령대장_설정!$B$5))</x:f>
        <x:v>#NAME?</x:v>
      </x:c>
      <x:c r="G947" s="27" t="e">
        <x:f>IF($A947="","",IF(발령대장_설정!$B$6="","",발령대장_설정!$B$6))</x:f>
        <x:v>#NAME?</x:v>
      </x:c>
      <x:c r="H947" s="27" t="e">
        <x:f>IF($A947="","",IF(발령대장_설정!$B$7="","",발령대장_설정!$B$7))</x:f>
        <x:v>#NAME?</x:v>
      </x:c>
      <x:c r="I947" s="27" t="e">
        <x:f>IF($A947="","",IF(발령대장_설정!$B$8="","",발령대장_설정!$B$8))</x:f>
        <x:v>#NAME?</x:v>
      </x:c>
      <x:c r="J947" s="27" t="e">
        <x:f>IF($A947="","",IF(대장!K473="","",대장!K473))</x:f>
        <x:v>#NAME?</x:v>
      </x:c>
    </x:row>
    <x:row r="948" ht="42" customHeight="1">
      <x:c r="A948" s="47" t="e">
        <x:f>IF(AND(대장!A473&lt;&gt;"",ISNUMBER(대장!F473),ISNUMBER(대장!G473),대장!G473&gt;=대장!F473,대장!H473&lt;&gt;""),대장!G473,"")</x:f>
        <x:v>#NAME?</x:v>
      </x:c>
      <x:c r="B948" s="27" t="e">
        <x:f>IF($A948="","",IF(발령대장_설정!$B$4="","",발령대장_설정!$B$4))</x:f>
        <x:v>#NAME?</x:v>
      </x:c>
      <x:c r="C948" s="27" t="e">
        <x:f>IF($A948="","",대장!D473)</x:f>
        <x:v>#NAME?</x:v>
      </x:c>
      <x:c r="D948" s="27" t="e">
        <x:f>IF($A948="","",대장!A473)</x:f>
        <x:v>#NAME?</x:v>
      </x:c>
      <x:c r="E948" s="27" t="e">
        <x:f>IF($A948="","",IF(OR(ISNUMBER(SEARCH("계약만료",대장!H473&amp;"")),ISNUMBER(SEARCH("기간만료",대장!H473&amp;""))),"계약기간 만료로 퇴직",IF(ISNUMBER(SEARCH("의원면직",대장!H473&amp;"")),"의원면직",IF(ISNUMBER(SEARCH("정년퇴직",대장!H473&amp;"")),"정년퇴직",대장!H473))))</x:f>
        <x:v>#NAME?</x:v>
      </x:c>
      <x:c r="F948" s="27" t="e">
        <x:f>IF($A948="","",IF(발령대장_설정!$B$5="","",발령대장_설정!$B$5))</x:f>
        <x:v>#NAME?</x:v>
      </x:c>
      <x:c r="G948" s="27" t="e">
        <x:f>IF($A948="","",IF(발령대장_설정!$B$6="","",발령대장_설정!$B$6))</x:f>
        <x:v>#NAME?</x:v>
      </x:c>
      <x:c r="H948" s="27" t="e">
        <x:f>IF($A948="","",IF(발령대장_설정!$B$7="","",발령대장_설정!$B$7))</x:f>
        <x:v>#NAME?</x:v>
      </x:c>
      <x:c r="I948" s="27" t="e">
        <x:f>IF($A948="","",IF(발령대장_설정!$B$8="","",발령대장_설정!$B$8))</x:f>
        <x:v>#NAME?</x:v>
      </x:c>
      <x:c r="J948" s="27" t="str">
        <x:f>""</x:f>
      </x:c>
    </x:row>
    <x:row r="949" ht="42" customHeight="1">
      <x:c r="A949" s="47" t="e">
        <x:f>IF(AND(대장!A474&lt;&gt;"",ISNUMBER(대장!F474),OR(대장!G474="",AND(ISNUMBER(대장!G474),대장!G474&gt;=대장!F474))),대장!F474,"")</x:f>
        <x:v>#NAME?</x:v>
      </x:c>
      <x:c r="B949" s="27" t="e">
        <x:f>IF($A949="","",IF(발령대장_설정!$B$4="","",발령대장_설정!$B$4))</x:f>
        <x:v>#NAME?</x:v>
      </x:c>
      <x:c r="C949" s="27" t="e">
        <x:f>IF($A949="","",대장!D474)</x:f>
        <x:v>#NAME?</x:v>
      </x:c>
      <x:c r="D949" s="27" t="e">
        <x:f>IF($A949="","",대장!A474)</x:f>
        <x:v>#NAME?</x:v>
      </x:c>
      <x:c r="E949" s="27" t="e">
        <x:f>IF($A949="","",IF(대장!J474&lt;&gt;"",대장!J474,대장!D474&amp;"에 임함"&amp;IF(대장!E474="","",CHAR(10)&amp;"고용형태: "&amp;대장!E474)&amp;IF(대장!I474="","",CHAR(10)&amp;"소정근로시간: "&amp;대장!I474)&amp;CHAR(10)&amp;"근로기간: "&amp;YEAR(대장!F474)&amp;"."&amp;MONTH(대장!F474)&amp;"."&amp;DAY(대장!F474)&amp;"."&amp;" ~ "&amp;IF(ISNUMBER(대장!G474),YEAR(대장!G474)&amp;"."&amp;MONTH(대장!G474)&amp;"."&amp;DAY(대장!G474)&amp;".","재직 중")))</x:f>
        <x:v>#NAME?</x:v>
      </x:c>
      <x:c r="F949" s="27" t="e">
        <x:f>IF($A949="","",IF(발령대장_설정!$B$5="","",발령대장_설정!$B$5))</x:f>
        <x:v>#NAME?</x:v>
      </x:c>
      <x:c r="G949" s="27" t="e">
        <x:f>IF($A949="","",IF(발령대장_설정!$B$6="","",발령대장_설정!$B$6))</x:f>
        <x:v>#NAME?</x:v>
      </x:c>
      <x:c r="H949" s="27" t="e">
        <x:f>IF($A949="","",IF(발령대장_설정!$B$7="","",발령대장_설정!$B$7))</x:f>
        <x:v>#NAME?</x:v>
      </x:c>
      <x:c r="I949" s="27" t="e">
        <x:f>IF($A949="","",IF(발령대장_설정!$B$8="","",발령대장_설정!$B$8))</x:f>
        <x:v>#NAME?</x:v>
      </x:c>
      <x:c r="J949" s="27" t="e">
        <x:f>IF($A949="","",IF(대장!K474="","",대장!K474))</x:f>
        <x:v>#NAME?</x:v>
      </x:c>
    </x:row>
    <x:row r="950" ht="42" customHeight="1">
      <x:c r="A950" s="47" t="e">
        <x:f>IF(AND(대장!A474&lt;&gt;"",ISNUMBER(대장!F474),ISNUMBER(대장!G474),대장!G474&gt;=대장!F474,대장!H474&lt;&gt;""),대장!G474,"")</x:f>
        <x:v>#NAME?</x:v>
      </x:c>
      <x:c r="B950" s="27" t="e">
        <x:f>IF($A950="","",IF(발령대장_설정!$B$4="","",발령대장_설정!$B$4))</x:f>
        <x:v>#NAME?</x:v>
      </x:c>
      <x:c r="C950" s="27" t="e">
        <x:f>IF($A950="","",대장!D474)</x:f>
        <x:v>#NAME?</x:v>
      </x:c>
      <x:c r="D950" s="27" t="e">
        <x:f>IF($A950="","",대장!A474)</x:f>
        <x:v>#NAME?</x:v>
      </x:c>
      <x:c r="E950" s="27" t="e">
        <x:f>IF($A950="","",IF(OR(ISNUMBER(SEARCH("계약만료",대장!H474&amp;"")),ISNUMBER(SEARCH("기간만료",대장!H474&amp;""))),"계약기간 만료로 퇴직",IF(ISNUMBER(SEARCH("의원면직",대장!H474&amp;"")),"의원면직",IF(ISNUMBER(SEARCH("정년퇴직",대장!H474&amp;"")),"정년퇴직",대장!H474))))</x:f>
        <x:v>#NAME?</x:v>
      </x:c>
      <x:c r="F950" s="27" t="e">
        <x:f>IF($A950="","",IF(발령대장_설정!$B$5="","",발령대장_설정!$B$5))</x:f>
        <x:v>#NAME?</x:v>
      </x:c>
      <x:c r="G950" s="27" t="e">
        <x:f>IF($A950="","",IF(발령대장_설정!$B$6="","",발령대장_설정!$B$6))</x:f>
        <x:v>#NAME?</x:v>
      </x:c>
      <x:c r="H950" s="27" t="e">
        <x:f>IF($A950="","",IF(발령대장_설정!$B$7="","",발령대장_설정!$B$7))</x:f>
        <x:v>#NAME?</x:v>
      </x:c>
      <x:c r="I950" s="27" t="e">
        <x:f>IF($A950="","",IF(발령대장_설정!$B$8="","",발령대장_설정!$B$8))</x:f>
        <x:v>#NAME?</x:v>
      </x:c>
      <x:c r="J950" s="27" t="str">
        <x:f>""</x:f>
      </x:c>
    </x:row>
    <x:row r="951" ht="42" customHeight="1">
      <x:c r="A951" s="47" t="e">
        <x:f>IF(AND(대장!A475&lt;&gt;"",ISNUMBER(대장!F475),OR(대장!G475="",AND(ISNUMBER(대장!G475),대장!G475&gt;=대장!F475))),대장!F475,"")</x:f>
        <x:v>#NAME?</x:v>
      </x:c>
      <x:c r="B951" s="27" t="e">
        <x:f>IF($A951="","",IF(발령대장_설정!$B$4="","",발령대장_설정!$B$4))</x:f>
        <x:v>#NAME?</x:v>
      </x:c>
      <x:c r="C951" s="27" t="e">
        <x:f>IF($A951="","",대장!D475)</x:f>
        <x:v>#NAME?</x:v>
      </x:c>
      <x:c r="D951" s="27" t="e">
        <x:f>IF($A951="","",대장!A475)</x:f>
        <x:v>#NAME?</x:v>
      </x:c>
      <x:c r="E951" s="27" t="e">
        <x:f>IF($A951="","",IF(대장!J475&lt;&gt;"",대장!J475,대장!D475&amp;"에 임함"&amp;IF(대장!E475="","",CHAR(10)&amp;"고용형태: "&amp;대장!E475)&amp;IF(대장!I475="","",CHAR(10)&amp;"소정근로시간: "&amp;대장!I475)&amp;CHAR(10)&amp;"근로기간: "&amp;YEAR(대장!F475)&amp;"."&amp;MONTH(대장!F475)&amp;"."&amp;DAY(대장!F475)&amp;"."&amp;" ~ "&amp;IF(ISNUMBER(대장!G475),YEAR(대장!G475)&amp;"."&amp;MONTH(대장!G475)&amp;"."&amp;DAY(대장!G475)&amp;".","재직 중")))</x:f>
        <x:v>#NAME?</x:v>
      </x:c>
      <x:c r="F951" s="27" t="e">
        <x:f>IF($A951="","",IF(발령대장_설정!$B$5="","",발령대장_설정!$B$5))</x:f>
        <x:v>#NAME?</x:v>
      </x:c>
      <x:c r="G951" s="27" t="e">
        <x:f>IF($A951="","",IF(발령대장_설정!$B$6="","",발령대장_설정!$B$6))</x:f>
        <x:v>#NAME?</x:v>
      </x:c>
      <x:c r="H951" s="27" t="e">
        <x:f>IF($A951="","",IF(발령대장_설정!$B$7="","",발령대장_설정!$B$7))</x:f>
        <x:v>#NAME?</x:v>
      </x:c>
      <x:c r="I951" s="27" t="e">
        <x:f>IF($A951="","",IF(발령대장_설정!$B$8="","",발령대장_설정!$B$8))</x:f>
        <x:v>#NAME?</x:v>
      </x:c>
      <x:c r="J951" s="27" t="e">
        <x:f>IF($A951="","",IF(대장!K475="","",대장!K475))</x:f>
        <x:v>#NAME?</x:v>
      </x:c>
    </x:row>
    <x:row r="952" ht="42" customHeight="1">
      <x:c r="A952" s="47" t="e">
        <x:f>IF(AND(대장!A475&lt;&gt;"",ISNUMBER(대장!F475),ISNUMBER(대장!G475),대장!G475&gt;=대장!F475,대장!H475&lt;&gt;""),대장!G475,"")</x:f>
        <x:v>#NAME?</x:v>
      </x:c>
      <x:c r="B952" s="27" t="e">
        <x:f>IF($A952="","",IF(발령대장_설정!$B$4="","",발령대장_설정!$B$4))</x:f>
        <x:v>#NAME?</x:v>
      </x:c>
      <x:c r="C952" s="27" t="e">
        <x:f>IF($A952="","",대장!D475)</x:f>
        <x:v>#NAME?</x:v>
      </x:c>
      <x:c r="D952" s="27" t="e">
        <x:f>IF($A952="","",대장!A475)</x:f>
        <x:v>#NAME?</x:v>
      </x:c>
      <x:c r="E952" s="27" t="e">
        <x:f>IF($A952="","",IF(OR(ISNUMBER(SEARCH("계약만료",대장!H475&amp;"")),ISNUMBER(SEARCH("기간만료",대장!H475&amp;""))),"계약기간 만료로 퇴직",IF(ISNUMBER(SEARCH("의원면직",대장!H475&amp;"")),"의원면직",IF(ISNUMBER(SEARCH("정년퇴직",대장!H475&amp;"")),"정년퇴직",대장!H475))))</x:f>
        <x:v>#NAME?</x:v>
      </x:c>
      <x:c r="F952" s="27" t="e">
        <x:f>IF($A952="","",IF(발령대장_설정!$B$5="","",발령대장_설정!$B$5))</x:f>
        <x:v>#NAME?</x:v>
      </x:c>
      <x:c r="G952" s="27" t="e">
        <x:f>IF($A952="","",IF(발령대장_설정!$B$6="","",발령대장_설정!$B$6))</x:f>
        <x:v>#NAME?</x:v>
      </x:c>
      <x:c r="H952" s="27" t="e">
        <x:f>IF($A952="","",IF(발령대장_설정!$B$7="","",발령대장_설정!$B$7))</x:f>
        <x:v>#NAME?</x:v>
      </x:c>
      <x:c r="I952" s="27" t="e">
        <x:f>IF($A952="","",IF(발령대장_설정!$B$8="","",발령대장_설정!$B$8))</x:f>
        <x:v>#NAME?</x:v>
      </x:c>
      <x:c r="J952" s="27" t="str">
        <x:f>""</x:f>
      </x:c>
    </x:row>
    <x:row r="953" ht="42" customHeight="1">
      <x:c r="A953" s="47" t="e">
        <x:f>IF(AND(대장!A476&lt;&gt;"",ISNUMBER(대장!F476),OR(대장!G476="",AND(ISNUMBER(대장!G476),대장!G476&gt;=대장!F476))),대장!F476,"")</x:f>
        <x:v>#NAME?</x:v>
      </x:c>
      <x:c r="B953" s="27" t="e">
        <x:f>IF($A953="","",IF(발령대장_설정!$B$4="","",발령대장_설정!$B$4))</x:f>
        <x:v>#NAME?</x:v>
      </x:c>
      <x:c r="C953" s="27" t="e">
        <x:f>IF($A953="","",대장!D476)</x:f>
        <x:v>#NAME?</x:v>
      </x:c>
      <x:c r="D953" s="27" t="e">
        <x:f>IF($A953="","",대장!A476)</x:f>
        <x:v>#NAME?</x:v>
      </x:c>
      <x:c r="E953" s="27" t="e">
        <x:f>IF($A953="","",IF(대장!J476&lt;&gt;"",대장!J476,대장!D476&amp;"에 임함"&amp;IF(대장!E476="","",CHAR(10)&amp;"고용형태: "&amp;대장!E476)&amp;IF(대장!I476="","",CHAR(10)&amp;"소정근로시간: "&amp;대장!I476)&amp;CHAR(10)&amp;"근로기간: "&amp;YEAR(대장!F476)&amp;"."&amp;MONTH(대장!F476)&amp;"."&amp;DAY(대장!F476)&amp;"."&amp;" ~ "&amp;IF(ISNUMBER(대장!G476),YEAR(대장!G476)&amp;"."&amp;MONTH(대장!G476)&amp;"."&amp;DAY(대장!G476)&amp;".","재직 중")))</x:f>
        <x:v>#NAME?</x:v>
      </x:c>
      <x:c r="F953" s="27" t="e">
        <x:f>IF($A953="","",IF(발령대장_설정!$B$5="","",발령대장_설정!$B$5))</x:f>
        <x:v>#NAME?</x:v>
      </x:c>
      <x:c r="G953" s="27" t="e">
        <x:f>IF($A953="","",IF(발령대장_설정!$B$6="","",발령대장_설정!$B$6))</x:f>
        <x:v>#NAME?</x:v>
      </x:c>
      <x:c r="H953" s="27" t="e">
        <x:f>IF($A953="","",IF(발령대장_설정!$B$7="","",발령대장_설정!$B$7))</x:f>
        <x:v>#NAME?</x:v>
      </x:c>
      <x:c r="I953" s="27" t="e">
        <x:f>IF($A953="","",IF(발령대장_설정!$B$8="","",발령대장_설정!$B$8))</x:f>
        <x:v>#NAME?</x:v>
      </x:c>
      <x:c r="J953" s="27" t="e">
        <x:f>IF($A953="","",IF(대장!K476="","",대장!K476))</x:f>
        <x:v>#NAME?</x:v>
      </x:c>
    </x:row>
    <x:row r="954" ht="42" customHeight="1">
      <x:c r="A954" s="47" t="e">
        <x:f>IF(AND(대장!A476&lt;&gt;"",ISNUMBER(대장!F476),ISNUMBER(대장!G476),대장!G476&gt;=대장!F476,대장!H476&lt;&gt;""),대장!G476,"")</x:f>
        <x:v>#NAME?</x:v>
      </x:c>
      <x:c r="B954" s="27" t="e">
        <x:f>IF($A954="","",IF(발령대장_설정!$B$4="","",발령대장_설정!$B$4))</x:f>
        <x:v>#NAME?</x:v>
      </x:c>
      <x:c r="C954" s="27" t="e">
        <x:f>IF($A954="","",대장!D476)</x:f>
        <x:v>#NAME?</x:v>
      </x:c>
      <x:c r="D954" s="27" t="e">
        <x:f>IF($A954="","",대장!A476)</x:f>
        <x:v>#NAME?</x:v>
      </x:c>
      <x:c r="E954" s="27" t="e">
        <x:f>IF($A954="","",IF(OR(ISNUMBER(SEARCH("계약만료",대장!H476&amp;"")),ISNUMBER(SEARCH("기간만료",대장!H476&amp;""))),"계약기간 만료로 퇴직",IF(ISNUMBER(SEARCH("의원면직",대장!H476&amp;"")),"의원면직",IF(ISNUMBER(SEARCH("정년퇴직",대장!H476&amp;"")),"정년퇴직",대장!H476))))</x:f>
        <x:v>#NAME?</x:v>
      </x:c>
      <x:c r="F954" s="27" t="e">
        <x:f>IF($A954="","",IF(발령대장_설정!$B$5="","",발령대장_설정!$B$5))</x:f>
        <x:v>#NAME?</x:v>
      </x:c>
      <x:c r="G954" s="27" t="e">
        <x:f>IF($A954="","",IF(발령대장_설정!$B$6="","",발령대장_설정!$B$6))</x:f>
        <x:v>#NAME?</x:v>
      </x:c>
      <x:c r="H954" s="27" t="e">
        <x:f>IF($A954="","",IF(발령대장_설정!$B$7="","",발령대장_설정!$B$7))</x:f>
        <x:v>#NAME?</x:v>
      </x:c>
      <x:c r="I954" s="27" t="e">
        <x:f>IF($A954="","",IF(발령대장_설정!$B$8="","",발령대장_설정!$B$8))</x:f>
        <x:v>#NAME?</x:v>
      </x:c>
      <x:c r="J954" s="27" t="str">
        <x:f>""</x:f>
      </x:c>
    </x:row>
    <x:row r="955" ht="42" customHeight="1">
      <x:c r="A955" s="47" t="e">
        <x:f>IF(AND(대장!A477&lt;&gt;"",ISNUMBER(대장!F477),OR(대장!G477="",AND(ISNUMBER(대장!G477),대장!G477&gt;=대장!F477))),대장!F477,"")</x:f>
        <x:v>#NAME?</x:v>
      </x:c>
      <x:c r="B955" s="27" t="e">
        <x:f>IF($A955="","",IF(발령대장_설정!$B$4="","",발령대장_설정!$B$4))</x:f>
        <x:v>#NAME?</x:v>
      </x:c>
      <x:c r="C955" s="27" t="e">
        <x:f>IF($A955="","",대장!D477)</x:f>
        <x:v>#NAME?</x:v>
      </x:c>
      <x:c r="D955" s="27" t="e">
        <x:f>IF($A955="","",대장!A477)</x:f>
        <x:v>#NAME?</x:v>
      </x:c>
      <x:c r="E955" s="27" t="e">
        <x:f>IF($A955="","",IF(대장!J477&lt;&gt;"",대장!J477,대장!D477&amp;"에 임함"&amp;IF(대장!E477="","",CHAR(10)&amp;"고용형태: "&amp;대장!E477)&amp;IF(대장!I477="","",CHAR(10)&amp;"소정근로시간: "&amp;대장!I477)&amp;CHAR(10)&amp;"근로기간: "&amp;YEAR(대장!F477)&amp;"."&amp;MONTH(대장!F477)&amp;"."&amp;DAY(대장!F477)&amp;"."&amp;" ~ "&amp;IF(ISNUMBER(대장!G477),YEAR(대장!G477)&amp;"."&amp;MONTH(대장!G477)&amp;"."&amp;DAY(대장!G477)&amp;".","재직 중")))</x:f>
        <x:v>#NAME?</x:v>
      </x:c>
      <x:c r="F955" s="27" t="e">
        <x:f>IF($A955="","",IF(발령대장_설정!$B$5="","",발령대장_설정!$B$5))</x:f>
        <x:v>#NAME?</x:v>
      </x:c>
      <x:c r="G955" s="27" t="e">
        <x:f>IF($A955="","",IF(발령대장_설정!$B$6="","",발령대장_설정!$B$6))</x:f>
        <x:v>#NAME?</x:v>
      </x:c>
      <x:c r="H955" s="27" t="e">
        <x:f>IF($A955="","",IF(발령대장_설정!$B$7="","",발령대장_설정!$B$7))</x:f>
        <x:v>#NAME?</x:v>
      </x:c>
      <x:c r="I955" s="27" t="e">
        <x:f>IF($A955="","",IF(발령대장_설정!$B$8="","",발령대장_설정!$B$8))</x:f>
        <x:v>#NAME?</x:v>
      </x:c>
      <x:c r="J955" s="27" t="e">
        <x:f>IF($A955="","",IF(대장!K477="","",대장!K477))</x:f>
        <x:v>#NAME?</x:v>
      </x:c>
    </x:row>
    <x:row r="956" ht="42" customHeight="1">
      <x:c r="A956" s="47" t="e">
        <x:f>IF(AND(대장!A477&lt;&gt;"",ISNUMBER(대장!F477),ISNUMBER(대장!G477),대장!G477&gt;=대장!F477,대장!H477&lt;&gt;""),대장!G477,"")</x:f>
        <x:v>#NAME?</x:v>
      </x:c>
      <x:c r="B956" s="27" t="e">
        <x:f>IF($A956="","",IF(발령대장_설정!$B$4="","",발령대장_설정!$B$4))</x:f>
        <x:v>#NAME?</x:v>
      </x:c>
      <x:c r="C956" s="27" t="e">
        <x:f>IF($A956="","",대장!D477)</x:f>
        <x:v>#NAME?</x:v>
      </x:c>
      <x:c r="D956" s="27" t="e">
        <x:f>IF($A956="","",대장!A477)</x:f>
        <x:v>#NAME?</x:v>
      </x:c>
      <x:c r="E956" s="27" t="e">
        <x:f>IF($A956="","",IF(OR(ISNUMBER(SEARCH("계약만료",대장!H477&amp;"")),ISNUMBER(SEARCH("기간만료",대장!H477&amp;""))),"계약기간 만료로 퇴직",IF(ISNUMBER(SEARCH("의원면직",대장!H477&amp;"")),"의원면직",IF(ISNUMBER(SEARCH("정년퇴직",대장!H477&amp;"")),"정년퇴직",대장!H477))))</x:f>
        <x:v>#NAME?</x:v>
      </x:c>
      <x:c r="F956" s="27" t="e">
        <x:f>IF($A956="","",IF(발령대장_설정!$B$5="","",발령대장_설정!$B$5))</x:f>
        <x:v>#NAME?</x:v>
      </x:c>
      <x:c r="G956" s="27" t="e">
        <x:f>IF($A956="","",IF(발령대장_설정!$B$6="","",발령대장_설정!$B$6))</x:f>
        <x:v>#NAME?</x:v>
      </x:c>
      <x:c r="H956" s="27" t="e">
        <x:f>IF($A956="","",IF(발령대장_설정!$B$7="","",발령대장_설정!$B$7))</x:f>
        <x:v>#NAME?</x:v>
      </x:c>
      <x:c r="I956" s="27" t="e">
        <x:f>IF($A956="","",IF(발령대장_설정!$B$8="","",발령대장_설정!$B$8))</x:f>
        <x:v>#NAME?</x:v>
      </x:c>
      <x:c r="J956" s="27" t="str">
        <x:f>""</x:f>
      </x:c>
    </x:row>
    <x:row r="957" ht="42" customHeight="1">
      <x:c r="A957" s="47" t="e">
        <x:f>IF(AND(대장!A478&lt;&gt;"",ISNUMBER(대장!F478),OR(대장!G478="",AND(ISNUMBER(대장!G478),대장!G478&gt;=대장!F478))),대장!F478,"")</x:f>
        <x:v>#NAME?</x:v>
      </x:c>
      <x:c r="B957" s="27" t="e">
        <x:f>IF($A957="","",IF(발령대장_설정!$B$4="","",발령대장_설정!$B$4))</x:f>
        <x:v>#NAME?</x:v>
      </x:c>
      <x:c r="C957" s="27" t="e">
        <x:f>IF($A957="","",대장!D478)</x:f>
        <x:v>#NAME?</x:v>
      </x:c>
      <x:c r="D957" s="27" t="e">
        <x:f>IF($A957="","",대장!A478)</x:f>
        <x:v>#NAME?</x:v>
      </x:c>
      <x:c r="E957" s="27" t="e">
        <x:f>IF($A957="","",IF(대장!J478&lt;&gt;"",대장!J478,대장!D478&amp;"에 임함"&amp;IF(대장!E478="","",CHAR(10)&amp;"고용형태: "&amp;대장!E478)&amp;IF(대장!I478="","",CHAR(10)&amp;"소정근로시간: "&amp;대장!I478)&amp;CHAR(10)&amp;"근로기간: "&amp;YEAR(대장!F478)&amp;"."&amp;MONTH(대장!F478)&amp;"."&amp;DAY(대장!F478)&amp;"."&amp;" ~ "&amp;IF(ISNUMBER(대장!G478),YEAR(대장!G478)&amp;"."&amp;MONTH(대장!G478)&amp;"."&amp;DAY(대장!G478)&amp;".","재직 중")))</x:f>
        <x:v>#NAME?</x:v>
      </x:c>
      <x:c r="F957" s="27" t="e">
        <x:f>IF($A957="","",IF(발령대장_설정!$B$5="","",발령대장_설정!$B$5))</x:f>
        <x:v>#NAME?</x:v>
      </x:c>
      <x:c r="G957" s="27" t="e">
        <x:f>IF($A957="","",IF(발령대장_설정!$B$6="","",발령대장_설정!$B$6))</x:f>
        <x:v>#NAME?</x:v>
      </x:c>
      <x:c r="H957" s="27" t="e">
        <x:f>IF($A957="","",IF(발령대장_설정!$B$7="","",발령대장_설정!$B$7))</x:f>
        <x:v>#NAME?</x:v>
      </x:c>
      <x:c r="I957" s="27" t="e">
        <x:f>IF($A957="","",IF(발령대장_설정!$B$8="","",발령대장_설정!$B$8))</x:f>
        <x:v>#NAME?</x:v>
      </x:c>
      <x:c r="J957" s="27" t="e">
        <x:f>IF($A957="","",IF(대장!K478="","",대장!K478))</x:f>
        <x:v>#NAME?</x:v>
      </x:c>
    </x:row>
    <x:row r="958" ht="42" customHeight="1">
      <x:c r="A958" s="47" t="e">
        <x:f>IF(AND(대장!A478&lt;&gt;"",ISNUMBER(대장!F478),ISNUMBER(대장!G478),대장!G478&gt;=대장!F478,대장!H478&lt;&gt;""),대장!G478,"")</x:f>
        <x:v>#NAME?</x:v>
      </x:c>
      <x:c r="B958" s="27" t="e">
        <x:f>IF($A958="","",IF(발령대장_설정!$B$4="","",발령대장_설정!$B$4))</x:f>
        <x:v>#NAME?</x:v>
      </x:c>
      <x:c r="C958" s="27" t="e">
        <x:f>IF($A958="","",대장!D478)</x:f>
        <x:v>#NAME?</x:v>
      </x:c>
      <x:c r="D958" s="27" t="e">
        <x:f>IF($A958="","",대장!A478)</x:f>
        <x:v>#NAME?</x:v>
      </x:c>
      <x:c r="E958" s="27" t="e">
        <x:f>IF($A958="","",IF(OR(ISNUMBER(SEARCH("계약만료",대장!H478&amp;"")),ISNUMBER(SEARCH("기간만료",대장!H478&amp;""))),"계약기간 만료로 퇴직",IF(ISNUMBER(SEARCH("의원면직",대장!H478&amp;"")),"의원면직",IF(ISNUMBER(SEARCH("정년퇴직",대장!H478&amp;"")),"정년퇴직",대장!H478))))</x:f>
        <x:v>#NAME?</x:v>
      </x:c>
      <x:c r="F958" s="27" t="e">
        <x:f>IF($A958="","",IF(발령대장_설정!$B$5="","",발령대장_설정!$B$5))</x:f>
        <x:v>#NAME?</x:v>
      </x:c>
      <x:c r="G958" s="27" t="e">
        <x:f>IF($A958="","",IF(발령대장_설정!$B$6="","",발령대장_설정!$B$6))</x:f>
        <x:v>#NAME?</x:v>
      </x:c>
      <x:c r="H958" s="27" t="e">
        <x:f>IF($A958="","",IF(발령대장_설정!$B$7="","",발령대장_설정!$B$7))</x:f>
        <x:v>#NAME?</x:v>
      </x:c>
      <x:c r="I958" s="27" t="e">
        <x:f>IF($A958="","",IF(발령대장_설정!$B$8="","",발령대장_설정!$B$8))</x:f>
        <x:v>#NAME?</x:v>
      </x:c>
      <x:c r="J958" s="27" t="str">
        <x:f>""</x:f>
      </x:c>
    </x:row>
    <x:row r="959" ht="42" customHeight="1">
      <x:c r="A959" s="47" t="e">
        <x:f>IF(AND(대장!A479&lt;&gt;"",ISNUMBER(대장!F479),OR(대장!G479="",AND(ISNUMBER(대장!G479),대장!G479&gt;=대장!F479))),대장!F479,"")</x:f>
        <x:v>#NAME?</x:v>
      </x:c>
      <x:c r="B959" s="27" t="e">
        <x:f>IF($A959="","",IF(발령대장_설정!$B$4="","",발령대장_설정!$B$4))</x:f>
        <x:v>#NAME?</x:v>
      </x:c>
      <x:c r="C959" s="27" t="e">
        <x:f>IF($A959="","",대장!D479)</x:f>
        <x:v>#NAME?</x:v>
      </x:c>
      <x:c r="D959" s="27" t="e">
        <x:f>IF($A959="","",대장!A479)</x:f>
        <x:v>#NAME?</x:v>
      </x:c>
      <x:c r="E959" s="27" t="e">
        <x:f>IF($A959="","",IF(대장!J479&lt;&gt;"",대장!J479,대장!D479&amp;"에 임함"&amp;IF(대장!E479="","",CHAR(10)&amp;"고용형태: "&amp;대장!E479)&amp;IF(대장!I479="","",CHAR(10)&amp;"소정근로시간: "&amp;대장!I479)&amp;CHAR(10)&amp;"근로기간: "&amp;YEAR(대장!F479)&amp;"."&amp;MONTH(대장!F479)&amp;"."&amp;DAY(대장!F479)&amp;"."&amp;" ~ "&amp;IF(ISNUMBER(대장!G479),YEAR(대장!G479)&amp;"."&amp;MONTH(대장!G479)&amp;"."&amp;DAY(대장!G479)&amp;".","재직 중")))</x:f>
        <x:v>#NAME?</x:v>
      </x:c>
      <x:c r="F959" s="27" t="e">
        <x:f>IF($A959="","",IF(발령대장_설정!$B$5="","",발령대장_설정!$B$5))</x:f>
        <x:v>#NAME?</x:v>
      </x:c>
      <x:c r="G959" s="27" t="e">
        <x:f>IF($A959="","",IF(발령대장_설정!$B$6="","",발령대장_설정!$B$6))</x:f>
        <x:v>#NAME?</x:v>
      </x:c>
      <x:c r="H959" s="27" t="e">
        <x:f>IF($A959="","",IF(발령대장_설정!$B$7="","",발령대장_설정!$B$7))</x:f>
        <x:v>#NAME?</x:v>
      </x:c>
      <x:c r="I959" s="27" t="e">
        <x:f>IF($A959="","",IF(발령대장_설정!$B$8="","",발령대장_설정!$B$8))</x:f>
        <x:v>#NAME?</x:v>
      </x:c>
      <x:c r="J959" s="27" t="e">
        <x:f>IF($A959="","",IF(대장!K479="","",대장!K479))</x:f>
        <x:v>#NAME?</x:v>
      </x:c>
    </x:row>
    <x:row r="960" ht="42" customHeight="1">
      <x:c r="A960" s="47" t="e">
        <x:f>IF(AND(대장!A479&lt;&gt;"",ISNUMBER(대장!F479),ISNUMBER(대장!G479),대장!G479&gt;=대장!F479,대장!H479&lt;&gt;""),대장!G479,"")</x:f>
        <x:v>#NAME?</x:v>
      </x:c>
      <x:c r="B960" s="27" t="e">
        <x:f>IF($A960="","",IF(발령대장_설정!$B$4="","",발령대장_설정!$B$4))</x:f>
        <x:v>#NAME?</x:v>
      </x:c>
      <x:c r="C960" s="27" t="e">
        <x:f>IF($A960="","",대장!D479)</x:f>
        <x:v>#NAME?</x:v>
      </x:c>
      <x:c r="D960" s="27" t="e">
        <x:f>IF($A960="","",대장!A479)</x:f>
        <x:v>#NAME?</x:v>
      </x:c>
      <x:c r="E960" s="27" t="e">
        <x:f>IF($A960="","",IF(OR(ISNUMBER(SEARCH("계약만료",대장!H479&amp;"")),ISNUMBER(SEARCH("기간만료",대장!H479&amp;""))),"계약기간 만료로 퇴직",IF(ISNUMBER(SEARCH("의원면직",대장!H479&amp;"")),"의원면직",IF(ISNUMBER(SEARCH("정년퇴직",대장!H479&amp;"")),"정년퇴직",대장!H479))))</x:f>
        <x:v>#NAME?</x:v>
      </x:c>
      <x:c r="F960" s="27" t="e">
        <x:f>IF($A960="","",IF(발령대장_설정!$B$5="","",발령대장_설정!$B$5))</x:f>
        <x:v>#NAME?</x:v>
      </x:c>
      <x:c r="G960" s="27" t="e">
        <x:f>IF($A960="","",IF(발령대장_설정!$B$6="","",발령대장_설정!$B$6))</x:f>
        <x:v>#NAME?</x:v>
      </x:c>
      <x:c r="H960" s="27" t="e">
        <x:f>IF($A960="","",IF(발령대장_설정!$B$7="","",발령대장_설정!$B$7))</x:f>
        <x:v>#NAME?</x:v>
      </x:c>
      <x:c r="I960" s="27" t="e">
        <x:f>IF($A960="","",IF(발령대장_설정!$B$8="","",발령대장_설정!$B$8))</x:f>
        <x:v>#NAME?</x:v>
      </x:c>
      <x:c r="J960" s="27" t="str">
        <x:f>""</x:f>
      </x:c>
    </x:row>
    <x:row r="961" ht="42" customHeight="1">
      <x:c r="A961" s="47" t="e">
        <x:f>IF(AND(대장!A480&lt;&gt;"",ISNUMBER(대장!F480),OR(대장!G480="",AND(ISNUMBER(대장!G480),대장!G480&gt;=대장!F480))),대장!F480,"")</x:f>
        <x:v>#NAME?</x:v>
      </x:c>
      <x:c r="B961" s="27" t="e">
        <x:f>IF($A961="","",IF(발령대장_설정!$B$4="","",발령대장_설정!$B$4))</x:f>
        <x:v>#NAME?</x:v>
      </x:c>
      <x:c r="C961" s="27" t="e">
        <x:f>IF($A961="","",대장!D480)</x:f>
        <x:v>#NAME?</x:v>
      </x:c>
      <x:c r="D961" s="27" t="e">
        <x:f>IF($A961="","",대장!A480)</x:f>
        <x:v>#NAME?</x:v>
      </x:c>
      <x:c r="E961" s="27" t="e">
        <x:f>IF($A961="","",IF(대장!J480&lt;&gt;"",대장!J480,대장!D480&amp;"에 임함"&amp;IF(대장!E480="","",CHAR(10)&amp;"고용형태: "&amp;대장!E480)&amp;IF(대장!I480="","",CHAR(10)&amp;"소정근로시간: "&amp;대장!I480)&amp;CHAR(10)&amp;"근로기간: "&amp;YEAR(대장!F480)&amp;"."&amp;MONTH(대장!F480)&amp;"."&amp;DAY(대장!F480)&amp;"."&amp;" ~ "&amp;IF(ISNUMBER(대장!G480),YEAR(대장!G480)&amp;"."&amp;MONTH(대장!G480)&amp;"."&amp;DAY(대장!G480)&amp;".","재직 중")))</x:f>
        <x:v>#NAME?</x:v>
      </x:c>
      <x:c r="F961" s="27" t="e">
        <x:f>IF($A961="","",IF(발령대장_설정!$B$5="","",발령대장_설정!$B$5))</x:f>
        <x:v>#NAME?</x:v>
      </x:c>
      <x:c r="G961" s="27" t="e">
        <x:f>IF($A961="","",IF(발령대장_설정!$B$6="","",발령대장_설정!$B$6))</x:f>
        <x:v>#NAME?</x:v>
      </x:c>
      <x:c r="H961" s="27" t="e">
        <x:f>IF($A961="","",IF(발령대장_설정!$B$7="","",발령대장_설정!$B$7))</x:f>
        <x:v>#NAME?</x:v>
      </x:c>
      <x:c r="I961" s="27" t="e">
        <x:f>IF($A961="","",IF(발령대장_설정!$B$8="","",발령대장_설정!$B$8))</x:f>
        <x:v>#NAME?</x:v>
      </x:c>
      <x:c r="J961" s="27" t="e">
        <x:f>IF($A961="","",IF(대장!K480="","",대장!K480))</x:f>
        <x:v>#NAME?</x:v>
      </x:c>
    </x:row>
    <x:row r="962" ht="42" customHeight="1">
      <x:c r="A962" s="47" t="e">
        <x:f>IF(AND(대장!A480&lt;&gt;"",ISNUMBER(대장!F480),ISNUMBER(대장!G480),대장!G480&gt;=대장!F480,대장!H480&lt;&gt;""),대장!G480,"")</x:f>
        <x:v>#NAME?</x:v>
      </x:c>
      <x:c r="B962" s="27" t="e">
        <x:f>IF($A962="","",IF(발령대장_설정!$B$4="","",발령대장_설정!$B$4))</x:f>
        <x:v>#NAME?</x:v>
      </x:c>
      <x:c r="C962" s="27" t="e">
        <x:f>IF($A962="","",대장!D480)</x:f>
        <x:v>#NAME?</x:v>
      </x:c>
      <x:c r="D962" s="27" t="e">
        <x:f>IF($A962="","",대장!A480)</x:f>
        <x:v>#NAME?</x:v>
      </x:c>
      <x:c r="E962" s="27" t="e">
        <x:f>IF($A962="","",IF(OR(ISNUMBER(SEARCH("계약만료",대장!H480&amp;"")),ISNUMBER(SEARCH("기간만료",대장!H480&amp;""))),"계약기간 만료로 퇴직",IF(ISNUMBER(SEARCH("의원면직",대장!H480&amp;"")),"의원면직",IF(ISNUMBER(SEARCH("정년퇴직",대장!H480&amp;"")),"정년퇴직",대장!H480))))</x:f>
        <x:v>#NAME?</x:v>
      </x:c>
      <x:c r="F962" s="27" t="e">
        <x:f>IF($A962="","",IF(발령대장_설정!$B$5="","",발령대장_설정!$B$5))</x:f>
        <x:v>#NAME?</x:v>
      </x:c>
      <x:c r="G962" s="27" t="e">
        <x:f>IF($A962="","",IF(발령대장_설정!$B$6="","",발령대장_설정!$B$6))</x:f>
        <x:v>#NAME?</x:v>
      </x:c>
      <x:c r="H962" s="27" t="e">
        <x:f>IF($A962="","",IF(발령대장_설정!$B$7="","",발령대장_설정!$B$7))</x:f>
        <x:v>#NAME?</x:v>
      </x:c>
      <x:c r="I962" s="27" t="e">
        <x:f>IF($A962="","",IF(발령대장_설정!$B$8="","",발령대장_설정!$B$8))</x:f>
        <x:v>#NAME?</x:v>
      </x:c>
      <x:c r="J962" s="27" t="str">
        <x:f>""</x:f>
      </x:c>
    </x:row>
    <x:row r="963" ht="42" customHeight="1">
      <x:c r="A963" s="47" t="e">
        <x:f>IF(AND(대장!A481&lt;&gt;"",ISNUMBER(대장!F481),OR(대장!G481="",AND(ISNUMBER(대장!G481),대장!G481&gt;=대장!F481))),대장!F481,"")</x:f>
        <x:v>#NAME?</x:v>
      </x:c>
      <x:c r="B963" s="27" t="e">
        <x:f>IF($A963="","",IF(발령대장_설정!$B$4="","",발령대장_설정!$B$4))</x:f>
        <x:v>#NAME?</x:v>
      </x:c>
      <x:c r="C963" s="27" t="e">
        <x:f>IF($A963="","",대장!D481)</x:f>
        <x:v>#NAME?</x:v>
      </x:c>
      <x:c r="D963" s="27" t="e">
        <x:f>IF($A963="","",대장!A481)</x:f>
        <x:v>#NAME?</x:v>
      </x:c>
      <x:c r="E963" s="27" t="e">
        <x:f>IF($A963="","",IF(대장!J481&lt;&gt;"",대장!J481,대장!D481&amp;"에 임함"&amp;IF(대장!E481="","",CHAR(10)&amp;"고용형태: "&amp;대장!E481)&amp;IF(대장!I481="","",CHAR(10)&amp;"소정근로시간: "&amp;대장!I481)&amp;CHAR(10)&amp;"근로기간: "&amp;YEAR(대장!F481)&amp;"."&amp;MONTH(대장!F481)&amp;"."&amp;DAY(대장!F481)&amp;"."&amp;" ~ "&amp;IF(ISNUMBER(대장!G481),YEAR(대장!G481)&amp;"."&amp;MONTH(대장!G481)&amp;"."&amp;DAY(대장!G481)&amp;".","재직 중")))</x:f>
        <x:v>#NAME?</x:v>
      </x:c>
      <x:c r="F963" s="27" t="e">
        <x:f>IF($A963="","",IF(발령대장_설정!$B$5="","",발령대장_설정!$B$5))</x:f>
        <x:v>#NAME?</x:v>
      </x:c>
      <x:c r="G963" s="27" t="e">
        <x:f>IF($A963="","",IF(발령대장_설정!$B$6="","",발령대장_설정!$B$6))</x:f>
        <x:v>#NAME?</x:v>
      </x:c>
      <x:c r="H963" s="27" t="e">
        <x:f>IF($A963="","",IF(발령대장_설정!$B$7="","",발령대장_설정!$B$7))</x:f>
        <x:v>#NAME?</x:v>
      </x:c>
      <x:c r="I963" s="27" t="e">
        <x:f>IF($A963="","",IF(발령대장_설정!$B$8="","",발령대장_설정!$B$8))</x:f>
        <x:v>#NAME?</x:v>
      </x:c>
      <x:c r="J963" s="27" t="e">
        <x:f>IF($A963="","",IF(대장!K481="","",대장!K481))</x:f>
        <x:v>#NAME?</x:v>
      </x:c>
    </x:row>
    <x:row r="964" ht="42" customHeight="1">
      <x:c r="A964" s="47" t="e">
        <x:f>IF(AND(대장!A481&lt;&gt;"",ISNUMBER(대장!F481),ISNUMBER(대장!G481),대장!G481&gt;=대장!F481,대장!H481&lt;&gt;""),대장!G481,"")</x:f>
        <x:v>#NAME?</x:v>
      </x:c>
      <x:c r="B964" s="27" t="e">
        <x:f>IF($A964="","",IF(발령대장_설정!$B$4="","",발령대장_설정!$B$4))</x:f>
        <x:v>#NAME?</x:v>
      </x:c>
      <x:c r="C964" s="27" t="e">
        <x:f>IF($A964="","",대장!D481)</x:f>
        <x:v>#NAME?</x:v>
      </x:c>
      <x:c r="D964" s="27" t="e">
        <x:f>IF($A964="","",대장!A481)</x:f>
        <x:v>#NAME?</x:v>
      </x:c>
      <x:c r="E964" s="27" t="e">
        <x:f>IF($A964="","",IF(OR(ISNUMBER(SEARCH("계약만료",대장!H481&amp;"")),ISNUMBER(SEARCH("기간만료",대장!H481&amp;""))),"계약기간 만료로 퇴직",IF(ISNUMBER(SEARCH("의원면직",대장!H481&amp;"")),"의원면직",IF(ISNUMBER(SEARCH("정년퇴직",대장!H481&amp;"")),"정년퇴직",대장!H481))))</x:f>
        <x:v>#NAME?</x:v>
      </x:c>
      <x:c r="F964" s="27" t="e">
        <x:f>IF($A964="","",IF(발령대장_설정!$B$5="","",발령대장_설정!$B$5))</x:f>
        <x:v>#NAME?</x:v>
      </x:c>
      <x:c r="G964" s="27" t="e">
        <x:f>IF($A964="","",IF(발령대장_설정!$B$6="","",발령대장_설정!$B$6))</x:f>
        <x:v>#NAME?</x:v>
      </x:c>
      <x:c r="H964" s="27" t="e">
        <x:f>IF($A964="","",IF(발령대장_설정!$B$7="","",발령대장_설정!$B$7))</x:f>
        <x:v>#NAME?</x:v>
      </x:c>
      <x:c r="I964" s="27" t="e">
        <x:f>IF($A964="","",IF(발령대장_설정!$B$8="","",발령대장_설정!$B$8))</x:f>
        <x:v>#NAME?</x:v>
      </x:c>
      <x:c r="J964" s="27" t="str">
        <x:f>""</x:f>
      </x:c>
    </x:row>
    <x:row r="965" ht="42" customHeight="1">
      <x:c r="A965" s="47" t="e">
        <x:f>IF(AND(대장!A482&lt;&gt;"",ISNUMBER(대장!F482),OR(대장!G482="",AND(ISNUMBER(대장!G482),대장!G482&gt;=대장!F482))),대장!F482,"")</x:f>
        <x:v>#NAME?</x:v>
      </x:c>
      <x:c r="B965" s="27" t="e">
        <x:f>IF($A965="","",IF(발령대장_설정!$B$4="","",발령대장_설정!$B$4))</x:f>
        <x:v>#NAME?</x:v>
      </x:c>
      <x:c r="C965" s="27" t="e">
        <x:f>IF($A965="","",대장!D482)</x:f>
        <x:v>#NAME?</x:v>
      </x:c>
      <x:c r="D965" s="27" t="e">
        <x:f>IF($A965="","",대장!A482)</x:f>
        <x:v>#NAME?</x:v>
      </x:c>
      <x:c r="E965" s="27" t="e">
        <x:f>IF($A965="","",IF(대장!J482&lt;&gt;"",대장!J482,대장!D482&amp;"에 임함"&amp;IF(대장!E482="","",CHAR(10)&amp;"고용형태: "&amp;대장!E482)&amp;IF(대장!I482="","",CHAR(10)&amp;"소정근로시간: "&amp;대장!I482)&amp;CHAR(10)&amp;"근로기간: "&amp;YEAR(대장!F482)&amp;"."&amp;MONTH(대장!F482)&amp;"."&amp;DAY(대장!F482)&amp;"."&amp;" ~ "&amp;IF(ISNUMBER(대장!G482),YEAR(대장!G482)&amp;"."&amp;MONTH(대장!G482)&amp;"."&amp;DAY(대장!G482)&amp;".","재직 중")))</x:f>
        <x:v>#NAME?</x:v>
      </x:c>
      <x:c r="F965" s="27" t="e">
        <x:f>IF($A965="","",IF(발령대장_설정!$B$5="","",발령대장_설정!$B$5))</x:f>
        <x:v>#NAME?</x:v>
      </x:c>
      <x:c r="G965" s="27" t="e">
        <x:f>IF($A965="","",IF(발령대장_설정!$B$6="","",발령대장_설정!$B$6))</x:f>
        <x:v>#NAME?</x:v>
      </x:c>
      <x:c r="H965" s="27" t="e">
        <x:f>IF($A965="","",IF(발령대장_설정!$B$7="","",발령대장_설정!$B$7))</x:f>
        <x:v>#NAME?</x:v>
      </x:c>
      <x:c r="I965" s="27" t="e">
        <x:f>IF($A965="","",IF(발령대장_설정!$B$8="","",발령대장_설정!$B$8))</x:f>
        <x:v>#NAME?</x:v>
      </x:c>
      <x:c r="J965" s="27" t="e">
        <x:f>IF($A965="","",IF(대장!K482="","",대장!K482))</x:f>
        <x:v>#NAME?</x:v>
      </x:c>
    </x:row>
    <x:row r="966" ht="42" customHeight="1">
      <x:c r="A966" s="47" t="e">
        <x:f>IF(AND(대장!A482&lt;&gt;"",ISNUMBER(대장!F482),ISNUMBER(대장!G482),대장!G482&gt;=대장!F482,대장!H482&lt;&gt;""),대장!G482,"")</x:f>
        <x:v>#NAME?</x:v>
      </x:c>
      <x:c r="B966" s="27" t="e">
        <x:f>IF($A966="","",IF(발령대장_설정!$B$4="","",발령대장_설정!$B$4))</x:f>
        <x:v>#NAME?</x:v>
      </x:c>
      <x:c r="C966" s="27" t="e">
        <x:f>IF($A966="","",대장!D482)</x:f>
        <x:v>#NAME?</x:v>
      </x:c>
      <x:c r="D966" s="27" t="e">
        <x:f>IF($A966="","",대장!A482)</x:f>
        <x:v>#NAME?</x:v>
      </x:c>
      <x:c r="E966" s="27" t="e">
        <x:f>IF($A966="","",IF(OR(ISNUMBER(SEARCH("계약만료",대장!H482&amp;"")),ISNUMBER(SEARCH("기간만료",대장!H482&amp;""))),"계약기간 만료로 퇴직",IF(ISNUMBER(SEARCH("의원면직",대장!H482&amp;"")),"의원면직",IF(ISNUMBER(SEARCH("정년퇴직",대장!H482&amp;"")),"정년퇴직",대장!H482))))</x:f>
        <x:v>#NAME?</x:v>
      </x:c>
      <x:c r="F966" s="27" t="e">
        <x:f>IF($A966="","",IF(발령대장_설정!$B$5="","",발령대장_설정!$B$5))</x:f>
        <x:v>#NAME?</x:v>
      </x:c>
      <x:c r="G966" s="27" t="e">
        <x:f>IF($A966="","",IF(발령대장_설정!$B$6="","",발령대장_설정!$B$6))</x:f>
        <x:v>#NAME?</x:v>
      </x:c>
      <x:c r="H966" s="27" t="e">
        <x:f>IF($A966="","",IF(발령대장_설정!$B$7="","",발령대장_설정!$B$7))</x:f>
        <x:v>#NAME?</x:v>
      </x:c>
      <x:c r="I966" s="27" t="e">
        <x:f>IF($A966="","",IF(발령대장_설정!$B$8="","",발령대장_설정!$B$8))</x:f>
        <x:v>#NAME?</x:v>
      </x:c>
      <x:c r="J966" s="27" t="str">
        <x:f>""</x:f>
      </x:c>
    </x:row>
    <x:row r="967" ht="42" customHeight="1">
      <x:c r="A967" s="47" t="e">
        <x:f>IF(AND(대장!A483&lt;&gt;"",ISNUMBER(대장!F483),OR(대장!G483="",AND(ISNUMBER(대장!G483),대장!G483&gt;=대장!F483))),대장!F483,"")</x:f>
        <x:v>#NAME?</x:v>
      </x:c>
      <x:c r="B967" s="27" t="e">
        <x:f>IF($A967="","",IF(발령대장_설정!$B$4="","",발령대장_설정!$B$4))</x:f>
        <x:v>#NAME?</x:v>
      </x:c>
      <x:c r="C967" s="27" t="e">
        <x:f>IF($A967="","",대장!D483)</x:f>
        <x:v>#NAME?</x:v>
      </x:c>
      <x:c r="D967" s="27" t="e">
        <x:f>IF($A967="","",대장!A483)</x:f>
        <x:v>#NAME?</x:v>
      </x:c>
      <x:c r="E967" s="27" t="e">
        <x:f>IF($A967="","",IF(대장!J483&lt;&gt;"",대장!J483,대장!D483&amp;"에 임함"&amp;IF(대장!E483="","",CHAR(10)&amp;"고용형태: "&amp;대장!E483)&amp;IF(대장!I483="","",CHAR(10)&amp;"소정근로시간: "&amp;대장!I483)&amp;CHAR(10)&amp;"근로기간: "&amp;YEAR(대장!F483)&amp;"."&amp;MONTH(대장!F483)&amp;"."&amp;DAY(대장!F483)&amp;"."&amp;" ~ "&amp;IF(ISNUMBER(대장!G483),YEAR(대장!G483)&amp;"."&amp;MONTH(대장!G483)&amp;"."&amp;DAY(대장!G483)&amp;".","재직 중")))</x:f>
        <x:v>#NAME?</x:v>
      </x:c>
      <x:c r="F967" s="27" t="e">
        <x:f>IF($A967="","",IF(발령대장_설정!$B$5="","",발령대장_설정!$B$5))</x:f>
        <x:v>#NAME?</x:v>
      </x:c>
      <x:c r="G967" s="27" t="e">
        <x:f>IF($A967="","",IF(발령대장_설정!$B$6="","",발령대장_설정!$B$6))</x:f>
        <x:v>#NAME?</x:v>
      </x:c>
      <x:c r="H967" s="27" t="e">
        <x:f>IF($A967="","",IF(발령대장_설정!$B$7="","",발령대장_설정!$B$7))</x:f>
        <x:v>#NAME?</x:v>
      </x:c>
      <x:c r="I967" s="27" t="e">
        <x:f>IF($A967="","",IF(발령대장_설정!$B$8="","",발령대장_설정!$B$8))</x:f>
        <x:v>#NAME?</x:v>
      </x:c>
      <x:c r="J967" s="27" t="e">
        <x:f>IF($A967="","",IF(대장!K483="","",대장!K483))</x:f>
        <x:v>#NAME?</x:v>
      </x:c>
    </x:row>
    <x:row r="968" ht="42" customHeight="1">
      <x:c r="A968" s="47" t="e">
        <x:f>IF(AND(대장!A483&lt;&gt;"",ISNUMBER(대장!F483),ISNUMBER(대장!G483),대장!G483&gt;=대장!F483,대장!H483&lt;&gt;""),대장!G483,"")</x:f>
        <x:v>#NAME?</x:v>
      </x:c>
      <x:c r="B968" s="27" t="e">
        <x:f>IF($A968="","",IF(발령대장_설정!$B$4="","",발령대장_설정!$B$4))</x:f>
        <x:v>#NAME?</x:v>
      </x:c>
      <x:c r="C968" s="27" t="e">
        <x:f>IF($A968="","",대장!D483)</x:f>
        <x:v>#NAME?</x:v>
      </x:c>
      <x:c r="D968" s="27" t="e">
        <x:f>IF($A968="","",대장!A483)</x:f>
        <x:v>#NAME?</x:v>
      </x:c>
      <x:c r="E968" s="27" t="e">
        <x:f>IF($A968="","",IF(OR(ISNUMBER(SEARCH("계약만료",대장!H483&amp;"")),ISNUMBER(SEARCH("기간만료",대장!H483&amp;""))),"계약기간 만료로 퇴직",IF(ISNUMBER(SEARCH("의원면직",대장!H483&amp;"")),"의원면직",IF(ISNUMBER(SEARCH("정년퇴직",대장!H483&amp;"")),"정년퇴직",대장!H483))))</x:f>
        <x:v>#NAME?</x:v>
      </x:c>
      <x:c r="F968" s="27" t="e">
        <x:f>IF($A968="","",IF(발령대장_설정!$B$5="","",발령대장_설정!$B$5))</x:f>
        <x:v>#NAME?</x:v>
      </x:c>
      <x:c r="G968" s="27" t="e">
        <x:f>IF($A968="","",IF(발령대장_설정!$B$6="","",발령대장_설정!$B$6))</x:f>
        <x:v>#NAME?</x:v>
      </x:c>
      <x:c r="H968" s="27" t="e">
        <x:f>IF($A968="","",IF(발령대장_설정!$B$7="","",발령대장_설정!$B$7))</x:f>
        <x:v>#NAME?</x:v>
      </x:c>
      <x:c r="I968" s="27" t="e">
        <x:f>IF($A968="","",IF(발령대장_설정!$B$8="","",발령대장_설정!$B$8))</x:f>
        <x:v>#NAME?</x:v>
      </x:c>
      <x:c r="J968" s="27" t="str">
        <x:f>""</x:f>
      </x:c>
    </x:row>
    <x:row r="969" ht="42" customHeight="1">
      <x:c r="A969" s="47" t="e">
        <x:f>IF(AND(대장!A484&lt;&gt;"",ISNUMBER(대장!F484),OR(대장!G484="",AND(ISNUMBER(대장!G484),대장!G484&gt;=대장!F484))),대장!F484,"")</x:f>
        <x:v>#NAME?</x:v>
      </x:c>
      <x:c r="B969" s="27" t="e">
        <x:f>IF($A969="","",IF(발령대장_설정!$B$4="","",발령대장_설정!$B$4))</x:f>
        <x:v>#NAME?</x:v>
      </x:c>
      <x:c r="C969" s="27" t="e">
        <x:f>IF($A969="","",대장!D484)</x:f>
        <x:v>#NAME?</x:v>
      </x:c>
      <x:c r="D969" s="27" t="e">
        <x:f>IF($A969="","",대장!A484)</x:f>
        <x:v>#NAME?</x:v>
      </x:c>
      <x:c r="E969" s="27" t="e">
        <x:f>IF($A969="","",IF(대장!J484&lt;&gt;"",대장!J484,대장!D484&amp;"에 임함"&amp;IF(대장!E484="","",CHAR(10)&amp;"고용형태: "&amp;대장!E484)&amp;IF(대장!I484="","",CHAR(10)&amp;"소정근로시간: "&amp;대장!I484)&amp;CHAR(10)&amp;"근로기간: "&amp;YEAR(대장!F484)&amp;"."&amp;MONTH(대장!F484)&amp;"."&amp;DAY(대장!F484)&amp;"."&amp;" ~ "&amp;IF(ISNUMBER(대장!G484),YEAR(대장!G484)&amp;"."&amp;MONTH(대장!G484)&amp;"."&amp;DAY(대장!G484)&amp;".","재직 중")))</x:f>
        <x:v>#NAME?</x:v>
      </x:c>
      <x:c r="F969" s="27" t="e">
        <x:f>IF($A969="","",IF(발령대장_설정!$B$5="","",발령대장_설정!$B$5))</x:f>
        <x:v>#NAME?</x:v>
      </x:c>
      <x:c r="G969" s="27" t="e">
        <x:f>IF($A969="","",IF(발령대장_설정!$B$6="","",발령대장_설정!$B$6))</x:f>
        <x:v>#NAME?</x:v>
      </x:c>
      <x:c r="H969" s="27" t="e">
        <x:f>IF($A969="","",IF(발령대장_설정!$B$7="","",발령대장_설정!$B$7))</x:f>
        <x:v>#NAME?</x:v>
      </x:c>
      <x:c r="I969" s="27" t="e">
        <x:f>IF($A969="","",IF(발령대장_설정!$B$8="","",발령대장_설정!$B$8))</x:f>
        <x:v>#NAME?</x:v>
      </x:c>
      <x:c r="J969" s="27" t="e">
        <x:f>IF($A969="","",IF(대장!K484="","",대장!K484))</x:f>
        <x:v>#NAME?</x:v>
      </x:c>
    </x:row>
    <x:row r="970" ht="42" customHeight="1">
      <x:c r="A970" s="47" t="e">
        <x:f>IF(AND(대장!A484&lt;&gt;"",ISNUMBER(대장!F484),ISNUMBER(대장!G484),대장!G484&gt;=대장!F484,대장!H484&lt;&gt;""),대장!G484,"")</x:f>
        <x:v>#NAME?</x:v>
      </x:c>
      <x:c r="B970" s="27" t="e">
        <x:f>IF($A970="","",IF(발령대장_설정!$B$4="","",발령대장_설정!$B$4))</x:f>
        <x:v>#NAME?</x:v>
      </x:c>
      <x:c r="C970" s="27" t="e">
        <x:f>IF($A970="","",대장!D484)</x:f>
        <x:v>#NAME?</x:v>
      </x:c>
      <x:c r="D970" s="27" t="e">
        <x:f>IF($A970="","",대장!A484)</x:f>
        <x:v>#NAME?</x:v>
      </x:c>
      <x:c r="E970" s="27" t="e">
        <x:f>IF($A970="","",IF(OR(ISNUMBER(SEARCH("계약만료",대장!H484&amp;"")),ISNUMBER(SEARCH("기간만료",대장!H484&amp;""))),"계약기간 만료로 퇴직",IF(ISNUMBER(SEARCH("의원면직",대장!H484&amp;"")),"의원면직",IF(ISNUMBER(SEARCH("정년퇴직",대장!H484&amp;"")),"정년퇴직",대장!H484))))</x:f>
        <x:v>#NAME?</x:v>
      </x:c>
      <x:c r="F970" s="27" t="e">
        <x:f>IF($A970="","",IF(발령대장_설정!$B$5="","",발령대장_설정!$B$5))</x:f>
        <x:v>#NAME?</x:v>
      </x:c>
      <x:c r="G970" s="27" t="e">
        <x:f>IF($A970="","",IF(발령대장_설정!$B$6="","",발령대장_설정!$B$6))</x:f>
        <x:v>#NAME?</x:v>
      </x:c>
      <x:c r="H970" s="27" t="e">
        <x:f>IF($A970="","",IF(발령대장_설정!$B$7="","",발령대장_설정!$B$7))</x:f>
        <x:v>#NAME?</x:v>
      </x:c>
      <x:c r="I970" s="27" t="e">
        <x:f>IF($A970="","",IF(발령대장_설정!$B$8="","",발령대장_설정!$B$8))</x:f>
        <x:v>#NAME?</x:v>
      </x:c>
      <x:c r="J970" s="27" t="str">
        <x:f>""</x:f>
      </x:c>
    </x:row>
    <x:row r="971" ht="42" customHeight="1">
      <x:c r="A971" s="47" t="e">
        <x:f>IF(AND(대장!A485&lt;&gt;"",ISNUMBER(대장!F485),OR(대장!G485="",AND(ISNUMBER(대장!G485),대장!G485&gt;=대장!F485))),대장!F485,"")</x:f>
        <x:v>#NAME?</x:v>
      </x:c>
      <x:c r="B971" s="27" t="e">
        <x:f>IF($A971="","",IF(발령대장_설정!$B$4="","",발령대장_설정!$B$4))</x:f>
        <x:v>#NAME?</x:v>
      </x:c>
      <x:c r="C971" s="27" t="e">
        <x:f>IF($A971="","",대장!D485)</x:f>
        <x:v>#NAME?</x:v>
      </x:c>
      <x:c r="D971" s="27" t="e">
        <x:f>IF($A971="","",대장!A485)</x:f>
        <x:v>#NAME?</x:v>
      </x:c>
      <x:c r="E971" s="27" t="e">
        <x:f>IF($A971="","",IF(대장!J485&lt;&gt;"",대장!J485,대장!D485&amp;"에 임함"&amp;IF(대장!E485="","",CHAR(10)&amp;"고용형태: "&amp;대장!E485)&amp;IF(대장!I485="","",CHAR(10)&amp;"소정근로시간: "&amp;대장!I485)&amp;CHAR(10)&amp;"근로기간: "&amp;YEAR(대장!F485)&amp;"."&amp;MONTH(대장!F485)&amp;"."&amp;DAY(대장!F485)&amp;"."&amp;" ~ "&amp;IF(ISNUMBER(대장!G485),YEAR(대장!G485)&amp;"."&amp;MONTH(대장!G485)&amp;"."&amp;DAY(대장!G485)&amp;".","재직 중")))</x:f>
        <x:v>#NAME?</x:v>
      </x:c>
      <x:c r="F971" s="27" t="e">
        <x:f>IF($A971="","",IF(발령대장_설정!$B$5="","",발령대장_설정!$B$5))</x:f>
        <x:v>#NAME?</x:v>
      </x:c>
      <x:c r="G971" s="27" t="e">
        <x:f>IF($A971="","",IF(발령대장_설정!$B$6="","",발령대장_설정!$B$6))</x:f>
        <x:v>#NAME?</x:v>
      </x:c>
      <x:c r="H971" s="27" t="e">
        <x:f>IF($A971="","",IF(발령대장_설정!$B$7="","",발령대장_설정!$B$7))</x:f>
        <x:v>#NAME?</x:v>
      </x:c>
      <x:c r="I971" s="27" t="e">
        <x:f>IF($A971="","",IF(발령대장_설정!$B$8="","",발령대장_설정!$B$8))</x:f>
        <x:v>#NAME?</x:v>
      </x:c>
      <x:c r="J971" s="27" t="e">
        <x:f>IF($A971="","",IF(대장!K485="","",대장!K485))</x:f>
        <x:v>#NAME?</x:v>
      </x:c>
    </x:row>
    <x:row r="972" ht="42" customHeight="1">
      <x:c r="A972" s="47" t="e">
        <x:f>IF(AND(대장!A485&lt;&gt;"",ISNUMBER(대장!F485),ISNUMBER(대장!G485),대장!G485&gt;=대장!F485,대장!H485&lt;&gt;""),대장!G485,"")</x:f>
        <x:v>#NAME?</x:v>
      </x:c>
      <x:c r="B972" s="27" t="e">
        <x:f>IF($A972="","",IF(발령대장_설정!$B$4="","",발령대장_설정!$B$4))</x:f>
        <x:v>#NAME?</x:v>
      </x:c>
      <x:c r="C972" s="27" t="e">
        <x:f>IF($A972="","",대장!D485)</x:f>
        <x:v>#NAME?</x:v>
      </x:c>
      <x:c r="D972" s="27" t="e">
        <x:f>IF($A972="","",대장!A485)</x:f>
        <x:v>#NAME?</x:v>
      </x:c>
      <x:c r="E972" s="27" t="e">
        <x:f>IF($A972="","",IF(OR(ISNUMBER(SEARCH("계약만료",대장!H485&amp;"")),ISNUMBER(SEARCH("기간만료",대장!H485&amp;""))),"계약기간 만료로 퇴직",IF(ISNUMBER(SEARCH("의원면직",대장!H485&amp;"")),"의원면직",IF(ISNUMBER(SEARCH("정년퇴직",대장!H485&amp;"")),"정년퇴직",대장!H485))))</x:f>
        <x:v>#NAME?</x:v>
      </x:c>
      <x:c r="F972" s="27" t="e">
        <x:f>IF($A972="","",IF(발령대장_설정!$B$5="","",발령대장_설정!$B$5))</x:f>
        <x:v>#NAME?</x:v>
      </x:c>
      <x:c r="G972" s="27" t="e">
        <x:f>IF($A972="","",IF(발령대장_설정!$B$6="","",발령대장_설정!$B$6))</x:f>
        <x:v>#NAME?</x:v>
      </x:c>
      <x:c r="H972" s="27" t="e">
        <x:f>IF($A972="","",IF(발령대장_설정!$B$7="","",발령대장_설정!$B$7))</x:f>
        <x:v>#NAME?</x:v>
      </x:c>
      <x:c r="I972" s="27" t="e">
        <x:f>IF($A972="","",IF(발령대장_설정!$B$8="","",발령대장_설정!$B$8))</x:f>
        <x:v>#NAME?</x:v>
      </x:c>
      <x:c r="J972" s="27" t="str">
        <x:f>""</x:f>
      </x:c>
    </x:row>
    <x:row r="973" ht="42" customHeight="1">
      <x:c r="A973" s="47" t="e">
        <x:f>IF(AND(대장!A486&lt;&gt;"",ISNUMBER(대장!F486),OR(대장!G486="",AND(ISNUMBER(대장!G486),대장!G486&gt;=대장!F486))),대장!F486,"")</x:f>
        <x:v>#NAME?</x:v>
      </x:c>
      <x:c r="B973" s="27" t="e">
        <x:f>IF($A973="","",IF(발령대장_설정!$B$4="","",발령대장_설정!$B$4))</x:f>
        <x:v>#NAME?</x:v>
      </x:c>
      <x:c r="C973" s="27" t="e">
        <x:f>IF($A973="","",대장!D486)</x:f>
        <x:v>#NAME?</x:v>
      </x:c>
      <x:c r="D973" s="27" t="e">
        <x:f>IF($A973="","",대장!A486)</x:f>
        <x:v>#NAME?</x:v>
      </x:c>
      <x:c r="E973" s="27" t="e">
        <x:f>IF($A973="","",IF(대장!J486&lt;&gt;"",대장!J486,대장!D486&amp;"에 임함"&amp;IF(대장!E486="","",CHAR(10)&amp;"고용형태: "&amp;대장!E486)&amp;IF(대장!I486="","",CHAR(10)&amp;"소정근로시간: "&amp;대장!I486)&amp;CHAR(10)&amp;"근로기간: "&amp;YEAR(대장!F486)&amp;"."&amp;MONTH(대장!F486)&amp;"."&amp;DAY(대장!F486)&amp;"."&amp;" ~ "&amp;IF(ISNUMBER(대장!G486),YEAR(대장!G486)&amp;"."&amp;MONTH(대장!G486)&amp;"."&amp;DAY(대장!G486)&amp;".","재직 중")))</x:f>
        <x:v>#NAME?</x:v>
      </x:c>
      <x:c r="F973" s="27" t="e">
        <x:f>IF($A973="","",IF(발령대장_설정!$B$5="","",발령대장_설정!$B$5))</x:f>
        <x:v>#NAME?</x:v>
      </x:c>
      <x:c r="G973" s="27" t="e">
        <x:f>IF($A973="","",IF(발령대장_설정!$B$6="","",발령대장_설정!$B$6))</x:f>
        <x:v>#NAME?</x:v>
      </x:c>
      <x:c r="H973" s="27" t="e">
        <x:f>IF($A973="","",IF(발령대장_설정!$B$7="","",발령대장_설정!$B$7))</x:f>
        <x:v>#NAME?</x:v>
      </x:c>
      <x:c r="I973" s="27" t="e">
        <x:f>IF($A973="","",IF(발령대장_설정!$B$8="","",발령대장_설정!$B$8))</x:f>
        <x:v>#NAME?</x:v>
      </x:c>
      <x:c r="J973" s="27" t="e">
        <x:f>IF($A973="","",IF(대장!K486="","",대장!K486))</x:f>
        <x:v>#NAME?</x:v>
      </x:c>
    </x:row>
    <x:row r="974" ht="42" customHeight="1">
      <x:c r="A974" s="47" t="e">
        <x:f>IF(AND(대장!A486&lt;&gt;"",ISNUMBER(대장!F486),ISNUMBER(대장!G486),대장!G486&gt;=대장!F486,대장!H486&lt;&gt;""),대장!G486,"")</x:f>
        <x:v>#NAME?</x:v>
      </x:c>
      <x:c r="B974" s="27" t="e">
        <x:f>IF($A974="","",IF(발령대장_설정!$B$4="","",발령대장_설정!$B$4))</x:f>
        <x:v>#NAME?</x:v>
      </x:c>
      <x:c r="C974" s="27" t="e">
        <x:f>IF($A974="","",대장!D486)</x:f>
        <x:v>#NAME?</x:v>
      </x:c>
      <x:c r="D974" s="27" t="e">
        <x:f>IF($A974="","",대장!A486)</x:f>
        <x:v>#NAME?</x:v>
      </x:c>
      <x:c r="E974" s="27" t="e">
        <x:f>IF($A974="","",IF(OR(ISNUMBER(SEARCH("계약만료",대장!H486&amp;"")),ISNUMBER(SEARCH("기간만료",대장!H486&amp;""))),"계약기간 만료로 퇴직",IF(ISNUMBER(SEARCH("의원면직",대장!H486&amp;"")),"의원면직",IF(ISNUMBER(SEARCH("정년퇴직",대장!H486&amp;"")),"정년퇴직",대장!H486))))</x:f>
        <x:v>#NAME?</x:v>
      </x:c>
      <x:c r="F974" s="27" t="e">
        <x:f>IF($A974="","",IF(발령대장_설정!$B$5="","",발령대장_설정!$B$5))</x:f>
        <x:v>#NAME?</x:v>
      </x:c>
      <x:c r="G974" s="27" t="e">
        <x:f>IF($A974="","",IF(발령대장_설정!$B$6="","",발령대장_설정!$B$6))</x:f>
        <x:v>#NAME?</x:v>
      </x:c>
      <x:c r="H974" s="27" t="e">
        <x:f>IF($A974="","",IF(발령대장_설정!$B$7="","",발령대장_설정!$B$7))</x:f>
        <x:v>#NAME?</x:v>
      </x:c>
      <x:c r="I974" s="27" t="e">
        <x:f>IF($A974="","",IF(발령대장_설정!$B$8="","",발령대장_설정!$B$8))</x:f>
        <x:v>#NAME?</x:v>
      </x:c>
      <x:c r="J974" s="27" t="str">
        <x:f>""</x:f>
      </x:c>
    </x:row>
    <x:row r="975" ht="42" customHeight="1">
      <x:c r="A975" s="47" t="e">
        <x:f>IF(AND(대장!A487&lt;&gt;"",ISNUMBER(대장!F487),OR(대장!G487="",AND(ISNUMBER(대장!G487),대장!G487&gt;=대장!F487))),대장!F487,"")</x:f>
        <x:v>#NAME?</x:v>
      </x:c>
      <x:c r="B975" s="27" t="e">
        <x:f>IF($A975="","",IF(발령대장_설정!$B$4="","",발령대장_설정!$B$4))</x:f>
        <x:v>#NAME?</x:v>
      </x:c>
      <x:c r="C975" s="27" t="e">
        <x:f>IF($A975="","",대장!D487)</x:f>
        <x:v>#NAME?</x:v>
      </x:c>
      <x:c r="D975" s="27" t="e">
        <x:f>IF($A975="","",대장!A487)</x:f>
        <x:v>#NAME?</x:v>
      </x:c>
      <x:c r="E975" s="27" t="e">
        <x:f>IF($A975="","",IF(대장!J487&lt;&gt;"",대장!J487,대장!D487&amp;"에 임함"&amp;IF(대장!E487="","",CHAR(10)&amp;"고용형태: "&amp;대장!E487)&amp;IF(대장!I487="","",CHAR(10)&amp;"소정근로시간: "&amp;대장!I487)&amp;CHAR(10)&amp;"근로기간: "&amp;YEAR(대장!F487)&amp;"."&amp;MONTH(대장!F487)&amp;"."&amp;DAY(대장!F487)&amp;"."&amp;" ~ "&amp;IF(ISNUMBER(대장!G487),YEAR(대장!G487)&amp;"."&amp;MONTH(대장!G487)&amp;"."&amp;DAY(대장!G487)&amp;".","재직 중")))</x:f>
        <x:v>#NAME?</x:v>
      </x:c>
      <x:c r="F975" s="27" t="e">
        <x:f>IF($A975="","",IF(발령대장_설정!$B$5="","",발령대장_설정!$B$5))</x:f>
        <x:v>#NAME?</x:v>
      </x:c>
      <x:c r="G975" s="27" t="e">
        <x:f>IF($A975="","",IF(발령대장_설정!$B$6="","",발령대장_설정!$B$6))</x:f>
        <x:v>#NAME?</x:v>
      </x:c>
      <x:c r="H975" s="27" t="e">
        <x:f>IF($A975="","",IF(발령대장_설정!$B$7="","",발령대장_설정!$B$7))</x:f>
        <x:v>#NAME?</x:v>
      </x:c>
      <x:c r="I975" s="27" t="e">
        <x:f>IF($A975="","",IF(발령대장_설정!$B$8="","",발령대장_설정!$B$8))</x:f>
        <x:v>#NAME?</x:v>
      </x:c>
      <x:c r="J975" s="27" t="e">
        <x:f>IF($A975="","",IF(대장!K487="","",대장!K487))</x:f>
        <x:v>#NAME?</x:v>
      </x:c>
    </x:row>
    <x:row r="976" ht="42" customHeight="1">
      <x:c r="A976" s="47" t="e">
        <x:f>IF(AND(대장!A487&lt;&gt;"",ISNUMBER(대장!F487),ISNUMBER(대장!G487),대장!G487&gt;=대장!F487,대장!H487&lt;&gt;""),대장!G487,"")</x:f>
        <x:v>#NAME?</x:v>
      </x:c>
      <x:c r="B976" s="27" t="e">
        <x:f>IF($A976="","",IF(발령대장_설정!$B$4="","",발령대장_설정!$B$4))</x:f>
        <x:v>#NAME?</x:v>
      </x:c>
      <x:c r="C976" s="27" t="e">
        <x:f>IF($A976="","",대장!D487)</x:f>
        <x:v>#NAME?</x:v>
      </x:c>
      <x:c r="D976" s="27" t="e">
        <x:f>IF($A976="","",대장!A487)</x:f>
        <x:v>#NAME?</x:v>
      </x:c>
      <x:c r="E976" s="27" t="e">
        <x:f>IF($A976="","",IF(OR(ISNUMBER(SEARCH("계약만료",대장!H487&amp;"")),ISNUMBER(SEARCH("기간만료",대장!H487&amp;""))),"계약기간 만료로 퇴직",IF(ISNUMBER(SEARCH("의원면직",대장!H487&amp;"")),"의원면직",IF(ISNUMBER(SEARCH("정년퇴직",대장!H487&amp;"")),"정년퇴직",대장!H487))))</x:f>
        <x:v>#NAME?</x:v>
      </x:c>
      <x:c r="F976" s="27" t="e">
        <x:f>IF($A976="","",IF(발령대장_설정!$B$5="","",발령대장_설정!$B$5))</x:f>
        <x:v>#NAME?</x:v>
      </x:c>
      <x:c r="G976" s="27" t="e">
        <x:f>IF($A976="","",IF(발령대장_설정!$B$6="","",발령대장_설정!$B$6))</x:f>
        <x:v>#NAME?</x:v>
      </x:c>
      <x:c r="H976" s="27" t="e">
        <x:f>IF($A976="","",IF(발령대장_설정!$B$7="","",발령대장_설정!$B$7))</x:f>
        <x:v>#NAME?</x:v>
      </x:c>
      <x:c r="I976" s="27" t="e">
        <x:f>IF($A976="","",IF(발령대장_설정!$B$8="","",발령대장_설정!$B$8))</x:f>
        <x:v>#NAME?</x:v>
      </x:c>
      <x:c r="J976" s="27" t="str">
        <x:f>""</x:f>
      </x:c>
    </x:row>
    <x:row r="977" ht="42" customHeight="1">
      <x:c r="A977" s="47" t="e">
        <x:f>IF(AND(대장!A488&lt;&gt;"",ISNUMBER(대장!F488),OR(대장!G488="",AND(ISNUMBER(대장!G488),대장!G488&gt;=대장!F488))),대장!F488,"")</x:f>
        <x:v>#NAME?</x:v>
      </x:c>
      <x:c r="B977" s="27" t="e">
        <x:f>IF($A977="","",IF(발령대장_설정!$B$4="","",발령대장_설정!$B$4))</x:f>
        <x:v>#NAME?</x:v>
      </x:c>
      <x:c r="C977" s="27" t="e">
        <x:f>IF($A977="","",대장!D488)</x:f>
        <x:v>#NAME?</x:v>
      </x:c>
      <x:c r="D977" s="27" t="e">
        <x:f>IF($A977="","",대장!A488)</x:f>
        <x:v>#NAME?</x:v>
      </x:c>
      <x:c r="E977" s="27" t="e">
        <x:f>IF($A977="","",IF(대장!J488&lt;&gt;"",대장!J488,대장!D488&amp;"에 임함"&amp;IF(대장!E488="","",CHAR(10)&amp;"고용형태: "&amp;대장!E488)&amp;IF(대장!I488="","",CHAR(10)&amp;"소정근로시간: "&amp;대장!I488)&amp;CHAR(10)&amp;"근로기간: "&amp;YEAR(대장!F488)&amp;"."&amp;MONTH(대장!F488)&amp;"."&amp;DAY(대장!F488)&amp;"."&amp;" ~ "&amp;IF(ISNUMBER(대장!G488),YEAR(대장!G488)&amp;"."&amp;MONTH(대장!G488)&amp;"."&amp;DAY(대장!G488)&amp;".","재직 중")))</x:f>
        <x:v>#NAME?</x:v>
      </x:c>
      <x:c r="F977" s="27" t="e">
        <x:f>IF($A977="","",IF(발령대장_설정!$B$5="","",발령대장_설정!$B$5))</x:f>
        <x:v>#NAME?</x:v>
      </x:c>
      <x:c r="G977" s="27" t="e">
        <x:f>IF($A977="","",IF(발령대장_설정!$B$6="","",발령대장_설정!$B$6))</x:f>
        <x:v>#NAME?</x:v>
      </x:c>
      <x:c r="H977" s="27" t="e">
        <x:f>IF($A977="","",IF(발령대장_설정!$B$7="","",발령대장_설정!$B$7))</x:f>
        <x:v>#NAME?</x:v>
      </x:c>
      <x:c r="I977" s="27" t="e">
        <x:f>IF($A977="","",IF(발령대장_설정!$B$8="","",발령대장_설정!$B$8))</x:f>
        <x:v>#NAME?</x:v>
      </x:c>
      <x:c r="J977" s="27" t="e">
        <x:f>IF($A977="","",IF(대장!K488="","",대장!K488))</x:f>
        <x:v>#NAME?</x:v>
      </x:c>
    </x:row>
    <x:row r="978" ht="42" customHeight="1">
      <x:c r="A978" s="47" t="e">
        <x:f>IF(AND(대장!A488&lt;&gt;"",ISNUMBER(대장!F488),ISNUMBER(대장!G488),대장!G488&gt;=대장!F488,대장!H488&lt;&gt;""),대장!G488,"")</x:f>
        <x:v>#NAME?</x:v>
      </x:c>
      <x:c r="B978" s="27" t="e">
        <x:f>IF($A978="","",IF(발령대장_설정!$B$4="","",발령대장_설정!$B$4))</x:f>
        <x:v>#NAME?</x:v>
      </x:c>
      <x:c r="C978" s="27" t="e">
        <x:f>IF($A978="","",대장!D488)</x:f>
        <x:v>#NAME?</x:v>
      </x:c>
      <x:c r="D978" s="27" t="e">
        <x:f>IF($A978="","",대장!A488)</x:f>
        <x:v>#NAME?</x:v>
      </x:c>
      <x:c r="E978" s="27" t="e">
        <x:f>IF($A978="","",IF(OR(ISNUMBER(SEARCH("계약만료",대장!H488&amp;"")),ISNUMBER(SEARCH("기간만료",대장!H488&amp;""))),"계약기간 만료로 퇴직",IF(ISNUMBER(SEARCH("의원면직",대장!H488&amp;"")),"의원면직",IF(ISNUMBER(SEARCH("정년퇴직",대장!H488&amp;"")),"정년퇴직",대장!H488))))</x:f>
        <x:v>#NAME?</x:v>
      </x:c>
      <x:c r="F978" s="27" t="e">
        <x:f>IF($A978="","",IF(발령대장_설정!$B$5="","",발령대장_설정!$B$5))</x:f>
        <x:v>#NAME?</x:v>
      </x:c>
      <x:c r="G978" s="27" t="e">
        <x:f>IF($A978="","",IF(발령대장_설정!$B$6="","",발령대장_설정!$B$6))</x:f>
        <x:v>#NAME?</x:v>
      </x:c>
      <x:c r="H978" s="27" t="e">
        <x:f>IF($A978="","",IF(발령대장_설정!$B$7="","",발령대장_설정!$B$7))</x:f>
        <x:v>#NAME?</x:v>
      </x:c>
      <x:c r="I978" s="27" t="e">
        <x:f>IF($A978="","",IF(발령대장_설정!$B$8="","",발령대장_설정!$B$8))</x:f>
        <x:v>#NAME?</x:v>
      </x:c>
      <x:c r="J978" s="27" t="str">
        <x:f>""</x:f>
      </x:c>
    </x:row>
    <x:row r="979" ht="42" customHeight="1">
      <x:c r="A979" s="47" t="e">
        <x:f>IF(AND(대장!A489&lt;&gt;"",ISNUMBER(대장!F489),OR(대장!G489="",AND(ISNUMBER(대장!G489),대장!G489&gt;=대장!F489))),대장!F489,"")</x:f>
        <x:v>#NAME?</x:v>
      </x:c>
      <x:c r="B979" s="27" t="e">
        <x:f>IF($A979="","",IF(발령대장_설정!$B$4="","",발령대장_설정!$B$4))</x:f>
        <x:v>#NAME?</x:v>
      </x:c>
      <x:c r="C979" s="27" t="e">
        <x:f>IF($A979="","",대장!D489)</x:f>
        <x:v>#NAME?</x:v>
      </x:c>
      <x:c r="D979" s="27" t="e">
        <x:f>IF($A979="","",대장!A489)</x:f>
        <x:v>#NAME?</x:v>
      </x:c>
      <x:c r="E979" s="27" t="e">
        <x:f>IF($A979="","",IF(대장!J489&lt;&gt;"",대장!J489,대장!D489&amp;"에 임함"&amp;IF(대장!E489="","",CHAR(10)&amp;"고용형태: "&amp;대장!E489)&amp;IF(대장!I489="","",CHAR(10)&amp;"소정근로시간: "&amp;대장!I489)&amp;CHAR(10)&amp;"근로기간: "&amp;YEAR(대장!F489)&amp;"."&amp;MONTH(대장!F489)&amp;"."&amp;DAY(대장!F489)&amp;"."&amp;" ~ "&amp;IF(ISNUMBER(대장!G489),YEAR(대장!G489)&amp;"."&amp;MONTH(대장!G489)&amp;"."&amp;DAY(대장!G489)&amp;".","재직 중")))</x:f>
        <x:v>#NAME?</x:v>
      </x:c>
      <x:c r="F979" s="27" t="e">
        <x:f>IF($A979="","",IF(발령대장_설정!$B$5="","",발령대장_설정!$B$5))</x:f>
        <x:v>#NAME?</x:v>
      </x:c>
      <x:c r="G979" s="27" t="e">
        <x:f>IF($A979="","",IF(발령대장_설정!$B$6="","",발령대장_설정!$B$6))</x:f>
        <x:v>#NAME?</x:v>
      </x:c>
      <x:c r="H979" s="27" t="e">
        <x:f>IF($A979="","",IF(발령대장_설정!$B$7="","",발령대장_설정!$B$7))</x:f>
        <x:v>#NAME?</x:v>
      </x:c>
      <x:c r="I979" s="27" t="e">
        <x:f>IF($A979="","",IF(발령대장_설정!$B$8="","",발령대장_설정!$B$8))</x:f>
        <x:v>#NAME?</x:v>
      </x:c>
      <x:c r="J979" s="27" t="e">
        <x:f>IF($A979="","",IF(대장!K489="","",대장!K489))</x:f>
        <x:v>#NAME?</x:v>
      </x:c>
    </x:row>
    <x:row r="980" ht="42" customHeight="1">
      <x:c r="A980" s="47" t="e">
        <x:f>IF(AND(대장!A489&lt;&gt;"",ISNUMBER(대장!F489),ISNUMBER(대장!G489),대장!G489&gt;=대장!F489,대장!H489&lt;&gt;""),대장!G489,"")</x:f>
        <x:v>#NAME?</x:v>
      </x:c>
      <x:c r="B980" s="27" t="e">
        <x:f>IF($A980="","",IF(발령대장_설정!$B$4="","",발령대장_설정!$B$4))</x:f>
        <x:v>#NAME?</x:v>
      </x:c>
      <x:c r="C980" s="27" t="e">
        <x:f>IF($A980="","",대장!D489)</x:f>
        <x:v>#NAME?</x:v>
      </x:c>
      <x:c r="D980" s="27" t="e">
        <x:f>IF($A980="","",대장!A489)</x:f>
        <x:v>#NAME?</x:v>
      </x:c>
      <x:c r="E980" s="27" t="e">
        <x:f>IF($A980="","",IF(OR(ISNUMBER(SEARCH("계약만료",대장!H489&amp;"")),ISNUMBER(SEARCH("기간만료",대장!H489&amp;""))),"계약기간 만료로 퇴직",IF(ISNUMBER(SEARCH("의원면직",대장!H489&amp;"")),"의원면직",IF(ISNUMBER(SEARCH("정년퇴직",대장!H489&amp;"")),"정년퇴직",대장!H489))))</x:f>
        <x:v>#NAME?</x:v>
      </x:c>
      <x:c r="F980" s="27" t="e">
        <x:f>IF($A980="","",IF(발령대장_설정!$B$5="","",발령대장_설정!$B$5))</x:f>
        <x:v>#NAME?</x:v>
      </x:c>
      <x:c r="G980" s="27" t="e">
        <x:f>IF($A980="","",IF(발령대장_설정!$B$6="","",발령대장_설정!$B$6))</x:f>
        <x:v>#NAME?</x:v>
      </x:c>
      <x:c r="H980" s="27" t="e">
        <x:f>IF($A980="","",IF(발령대장_설정!$B$7="","",발령대장_설정!$B$7))</x:f>
        <x:v>#NAME?</x:v>
      </x:c>
      <x:c r="I980" s="27" t="e">
        <x:f>IF($A980="","",IF(발령대장_설정!$B$8="","",발령대장_설정!$B$8))</x:f>
        <x:v>#NAME?</x:v>
      </x:c>
      <x:c r="J980" s="27" t="str">
        <x:f>""</x:f>
      </x:c>
    </x:row>
    <x:row r="981" ht="42" customHeight="1">
      <x:c r="A981" s="47" t="e">
        <x:f>IF(AND(대장!A490&lt;&gt;"",ISNUMBER(대장!F490),OR(대장!G490="",AND(ISNUMBER(대장!G490),대장!G490&gt;=대장!F490))),대장!F490,"")</x:f>
        <x:v>#NAME?</x:v>
      </x:c>
      <x:c r="B981" s="27" t="e">
        <x:f>IF($A981="","",IF(발령대장_설정!$B$4="","",발령대장_설정!$B$4))</x:f>
        <x:v>#NAME?</x:v>
      </x:c>
      <x:c r="C981" s="27" t="e">
        <x:f>IF($A981="","",대장!D490)</x:f>
        <x:v>#NAME?</x:v>
      </x:c>
      <x:c r="D981" s="27" t="e">
        <x:f>IF($A981="","",대장!A490)</x:f>
        <x:v>#NAME?</x:v>
      </x:c>
      <x:c r="E981" s="27" t="e">
        <x:f>IF($A981="","",IF(대장!J490&lt;&gt;"",대장!J490,대장!D490&amp;"에 임함"&amp;IF(대장!E490="","",CHAR(10)&amp;"고용형태: "&amp;대장!E490)&amp;IF(대장!I490="","",CHAR(10)&amp;"소정근로시간: "&amp;대장!I490)&amp;CHAR(10)&amp;"근로기간: "&amp;YEAR(대장!F490)&amp;"."&amp;MONTH(대장!F490)&amp;"."&amp;DAY(대장!F490)&amp;"."&amp;" ~ "&amp;IF(ISNUMBER(대장!G490),YEAR(대장!G490)&amp;"."&amp;MONTH(대장!G490)&amp;"."&amp;DAY(대장!G490)&amp;".","재직 중")))</x:f>
        <x:v>#NAME?</x:v>
      </x:c>
      <x:c r="F981" s="27" t="e">
        <x:f>IF($A981="","",IF(발령대장_설정!$B$5="","",발령대장_설정!$B$5))</x:f>
        <x:v>#NAME?</x:v>
      </x:c>
      <x:c r="G981" s="27" t="e">
        <x:f>IF($A981="","",IF(발령대장_설정!$B$6="","",발령대장_설정!$B$6))</x:f>
        <x:v>#NAME?</x:v>
      </x:c>
      <x:c r="H981" s="27" t="e">
        <x:f>IF($A981="","",IF(발령대장_설정!$B$7="","",발령대장_설정!$B$7))</x:f>
        <x:v>#NAME?</x:v>
      </x:c>
      <x:c r="I981" s="27" t="e">
        <x:f>IF($A981="","",IF(발령대장_설정!$B$8="","",발령대장_설정!$B$8))</x:f>
        <x:v>#NAME?</x:v>
      </x:c>
      <x:c r="J981" s="27" t="e">
        <x:f>IF($A981="","",IF(대장!K490="","",대장!K490))</x:f>
        <x:v>#NAME?</x:v>
      </x:c>
    </x:row>
    <x:row r="982" ht="42" customHeight="1">
      <x:c r="A982" s="47" t="e">
        <x:f>IF(AND(대장!A490&lt;&gt;"",ISNUMBER(대장!F490),ISNUMBER(대장!G490),대장!G490&gt;=대장!F490,대장!H490&lt;&gt;""),대장!G490,"")</x:f>
        <x:v>#NAME?</x:v>
      </x:c>
      <x:c r="B982" s="27" t="e">
        <x:f>IF($A982="","",IF(발령대장_설정!$B$4="","",발령대장_설정!$B$4))</x:f>
        <x:v>#NAME?</x:v>
      </x:c>
      <x:c r="C982" s="27" t="e">
        <x:f>IF($A982="","",대장!D490)</x:f>
        <x:v>#NAME?</x:v>
      </x:c>
      <x:c r="D982" s="27" t="e">
        <x:f>IF($A982="","",대장!A490)</x:f>
        <x:v>#NAME?</x:v>
      </x:c>
      <x:c r="E982" s="27" t="e">
        <x:f>IF($A982="","",IF(OR(ISNUMBER(SEARCH("계약만료",대장!H490&amp;"")),ISNUMBER(SEARCH("기간만료",대장!H490&amp;""))),"계약기간 만료로 퇴직",IF(ISNUMBER(SEARCH("의원면직",대장!H490&amp;"")),"의원면직",IF(ISNUMBER(SEARCH("정년퇴직",대장!H490&amp;"")),"정년퇴직",대장!H490))))</x:f>
        <x:v>#NAME?</x:v>
      </x:c>
      <x:c r="F982" s="27" t="e">
        <x:f>IF($A982="","",IF(발령대장_설정!$B$5="","",발령대장_설정!$B$5))</x:f>
        <x:v>#NAME?</x:v>
      </x:c>
      <x:c r="G982" s="27" t="e">
        <x:f>IF($A982="","",IF(발령대장_설정!$B$6="","",발령대장_설정!$B$6))</x:f>
        <x:v>#NAME?</x:v>
      </x:c>
      <x:c r="H982" s="27" t="e">
        <x:f>IF($A982="","",IF(발령대장_설정!$B$7="","",발령대장_설정!$B$7))</x:f>
        <x:v>#NAME?</x:v>
      </x:c>
      <x:c r="I982" s="27" t="e">
        <x:f>IF($A982="","",IF(발령대장_설정!$B$8="","",발령대장_설정!$B$8))</x:f>
        <x:v>#NAME?</x:v>
      </x:c>
      <x:c r="J982" s="27" t="str">
        <x:f>""</x:f>
      </x:c>
    </x:row>
    <x:row r="983" ht="42" customHeight="1">
      <x:c r="A983" s="47" t="e">
        <x:f>IF(AND(대장!A491&lt;&gt;"",ISNUMBER(대장!F491),OR(대장!G491="",AND(ISNUMBER(대장!G491),대장!G491&gt;=대장!F491))),대장!F491,"")</x:f>
        <x:v>#NAME?</x:v>
      </x:c>
      <x:c r="B983" s="27" t="e">
        <x:f>IF($A983="","",IF(발령대장_설정!$B$4="","",발령대장_설정!$B$4))</x:f>
        <x:v>#NAME?</x:v>
      </x:c>
      <x:c r="C983" s="27" t="e">
        <x:f>IF($A983="","",대장!D491)</x:f>
        <x:v>#NAME?</x:v>
      </x:c>
      <x:c r="D983" s="27" t="e">
        <x:f>IF($A983="","",대장!A491)</x:f>
        <x:v>#NAME?</x:v>
      </x:c>
      <x:c r="E983" s="27" t="e">
        <x:f>IF($A983="","",IF(대장!J491&lt;&gt;"",대장!J491,대장!D491&amp;"에 임함"&amp;IF(대장!E491="","",CHAR(10)&amp;"고용형태: "&amp;대장!E491)&amp;IF(대장!I491="","",CHAR(10)&amp;"소정근로시간: "&amp;대장!I491)&amp;CHAR(10)&amp;"근로기간: "&amp;YEAR(대장!F491)&amp;"."&amp;MONTH(대장!F491)&amp;"."&amp;DAY(대장!F491)&amp;"."&amp;" ~ "&amp;IF(ISNUMBER(대장!G491),YEAR(대장!G491)&amp;"."&amp;MONTH(대장!G491)&amp;"."&amp;DAY(대장!G491)&amp;".","재직 중")))</x:f>
        <x:v>#NAME?</x:v>
      </x:c>
      <x:c r="F983" s="27" t="e">
        <x:f>IF($A983="","",IF(발령대장_설정!$B$5="","",발령대장_설정!$B$5))</x:f>
        <x:v>#NAME?</x:v>
      </x:c>
      <x:c r="G983" s="27" t="e">
        <x:f>IF($A983="","",IF(발령대장_설정!$B$6="","",발령대장_설정!$B$6))</x:f>
        <x:v>#NAME?</x:v>
      </x:c>
      <x:c r="H983" s="27" t="e">
        <x:f>IF($A983="","",IF(발령대장_설정!$B$7="","",발령대장_설정!$B$7))</x:f>
        <x:v>#NAME?</x:v>
      </x:c>
      <x:c r="I983" s="27" t="e">
        <x:f>IF($A983="","",IF(발령대장_설정!$B$8="","",발령대장_설정!$B$8))</x:f>
        <x:v>#NAME?</x:v>
      </x:c>
      <x:c r="J983" s="27" t="e">
        <x:f>IF($A983="","",IF(대장!K491="","",대장!K491))</x:f>
        <x:v>#NAME?</x:v>
      </x:c>
    </x:row>
    <x:row r="984" ht="42" customHeight="1">
      <x:c r="A984" s="47" t="e">
        <x:f>IF(AND(대장!A491&lt;&gt;"",ISNUMBER(대장!F491),ISNUMBER(대장!G491),대장!G491&gt;=대장!F491,대장!H491&lt;&gt;""),대장!G491,"")</x:f>
        <x:v>#NAME?</x:v>
      </x:c>
      <x:c r="B984" s="27" t="e">
        <x:f>IF($A984="","",IF(발령대장_설정!$B$4="","",발령대장_설정!$B$4))</x:f>
        <x:v>#NAME?</x:v>
      </x:c>
      <x:c r="C984" s="27" t="e">
        <x:f>IF($A984="","",대장!D491)</x:f>
        <x:v>#NAME?</x:v>
      </x:c>
      <x:c r="D984" s="27" t="e">
        <x:f>IF($A984="","",대장!A491)</x:f>
        <x:v>#NAME?</x:v>
      </x:c>
      <x:c r="E984" s="27" t="e">
        <x:f>IF($A984="","",IF(OR(ISNUMBER(SEARCH("계약만료",대장!H491&amp;"")),ISNUMBER(SEARCH("기간만료",대장!H491&amp;""))),"계약기간 만료로 퇴직",IF(ISNUMBER(SEARCH("의원면직",대장!H491&amp;"")),"의원면직",IF(ISNUMBER(SEARCH("정년퇴직",대장!H491&amp;"")),"정년퇴직",대장!H491))))</x:f>
        <x:v>#NAME?</x:v>
      </x:c>
      <x:c r="F984" s="27" t="e">
        <x:f>IF($A984="","",IF(발령대장_설정!$B$5="","",발령대장_설정!$B$5))</x:f>
        <x:v>#NAME?</x:v>
      </x:c>
      <x:c r="G984" s="27" t="e">
        <x:f>IF($A984="","",IF(발령대장_설정!$B$6="","",발령대장_설정!$B$6))</x:f>
        <x:v>#NAME?</x:v>
      </x:c>
      <x:c r="H984" s="27" t="e">
        <x:f>IF($A984="","",IF(발령대장_설정!$B$7="","",발령대장_설정!$B$7))</x:f>
        <x:v>#NAME?</x:v>
      </x:c>
      <x:c r="I984" s="27" t="e">
        <x:f>IF($A984="","",IF(발령대장_설정!$B$8="","",발령대장_설정!$B$8))</x:f>
        <x:v>#NAME?</x:v>
      </x:c>
      <x:c r="J984" s="27" t="str">
        <x:f>""</x:f>
      </x:c>
    </x:row>
    <x:row r="985" ht="42" customHeight="1">
      <x:c r="A985" s="47" t="e">
        <x:f>IF(AND(대장!A492&lt;&gt;"",ISNUMBER(대장!F492),OR(대장!G492="",AND(ISNUMBER(대장!G492),대장!G492&gt;=대장!F492))),대장!F492,"")</x:f>
        <x:v>#NAME?</x:v>
      </x:c>
      <x:c r="B985" s="27" t="e">
        <x:f>IF($A985="","",IF(발령대장_설정!$B$4="","",발령대장_설정!$B$4))</x:f>
        <x:v>#NAME?</x:v>
      </x:c>
      <x:c r="C985" s="27" t="e">
        <x:f>IF($A985="","",대장!D492)</x:f>
        <x:v>#NAME?</x:v>
      </x:c>
      <x:c r="D985" s="27" t="e">
        <x:f>IF($A985="","",대장!A492)</x:f>
        <x:v>#NAME?</x:v>
      </x:c>
      <x:c r="E985" s="27" t="e">
        <x:f>IF($A985="","",IF(대장!J492&lt;&gt;"",대장!J492,대장!D492&amp;"에 임함"&amp;IF(대장!E492="","",CHAR(10)&amp;"고용형태: "&amp;대장!E492)&amp;IF(대장!I492="","",CHAR(10)&amp;"소정근로시간: "&amp;대장!I492)&amp;CHAR(10)&amp;"근로기간: "&amp;YEAR(대장!F492)&amp;"."&amp;MONTH(대장!F492)&amp;"."&amp;DAY(대장!F492)&amp;"."&amp;" ~ "&amp;IF(ISNUMBER(대장!G492),YEAR(대장!G492)&amp;"."&amp;MONTH(대장!G492)&amp;"."&amp;DAY(대장!G492)&amp;".","재직 중")))</x:f>
        <x:v>#NAME?</x:v>
      </x:c>
      <x:c r="F985" s="27" t="e">
        <x:f>IF($A985="","",IF(발령대장_설정!$B$5="","",발령대장_설정!$B$5))</x:f>
        <x:v>#NAME?</x:v>
      </x:c>
      <x:c r="G985" s="27" t="e">
        <x:f>IF($A985="","",IF(발령대장_설정!$B$6="","",발령대장_설정!$B$6))</x:f>
        <x:v>#NAME?</x:v>
      </x:c>
      <x:c r="H985" s="27" t="e">
        <x:f>IF($A985="","",IF(발령대장_설정!$B$7="","",발령대장_설정!$B$7))</x:f>
        <x:v>#NAME?</x:v>
      </x:c>
      <x:c r="I985" s="27" t="e">
        <x:f>IF($A985="","",IF(발령대장_설정!$B$8="","",발령대장_설정!$B$8))</x:f>
        <x:v>#NAME?</x:v>
      </x:c>
      <x:c r="J985" s="27" t="e">
        <x:f>IF($A985="","",IF(대장!K492="","",대장!K492))</x:f>
        <x:v>#NAME?</x:v>
      </x:c>
    </x:row>
    <x:row r="986" ht="42" customHeight="1">
      <x:c r="A986" s="47" t="e">
        <x:f>IF(AND(대장!A492&lt;&gt;"",ISNUMBER(대장!F492),ISNUMBER(대장!G492),대장!G492&gt;=대장!F492,대장!H492&lt;&gt;""),대장!G492,"")</x:f>
        <x:v>#NAME?</x:v>
      </x:c>
      <x:c r="B986" s="27" t="e">
        <x:f>IF($A986="","",IF(발령대장_설정!$B$4="","",발령대장_설정!$B$4))</x:f>
        <x:v>#NAME?</x:v>
      </x:c>
      <x:c r="C986" s="27" t="e">
        <x:f>IF($A986="","",대장!D492)</x:f>
        <x:v>#NAME?</x:v>
      </x:c>
      <x:c r="D986" s="27" t="e">
        <x:f>IF($A986="","",대장!A492)</x:f>
        <x:v>#NAME?</x:v>
      </x:c>
      <x:c r="E986" s="27" t="e">
        <x:f>IF($A986="","",IF(OR(ISNUMBER(SEARCH("계약만료",대장!H492&amp;"")),ISNUMBER(SEARCH("기간만료",대장!H492&amp;""))),"계약기간 만료로 퇴직",IF(ISNUMBER(SEARCH("의원면직",대장!H492&amp;"")),"의원면직",IF(ISNUMBER(SEARCH("정년퇴직",대장!H492&amp;"")),"정년퇴직",대장!H492))))</x:f>
        <x:v>#NAME?</x:v>
      </x:c>
      <x:c r="F986" s="27" t="e">
        <x:f>IF($A986="","",IF(발령대장_설정!$B$5="","",발령대장_설정!$B$5))</x:f>
        <x:v>#NAME?</x:v>
      </x:c>
      <x:c r="G986" s="27" t="e">
        <x:f>IF($A986="","",IF(발령대장_설정!$B$6="","",발령대장_설정!$B$6))</x:f>
        <x:v>#NAME?</x:v>
      </x:c>
      <x:c r="H986" s="27" t="e">
        <x:f>IF($A986="","",IF(발령대장_설정!$B$7="","",발령대장_설정!$B$7))</x:f>
        <x:v>#NAME?</x:v>
      </x:c>
      <x:c r="I986" s="27" t="e">
        <x:f>IF($A986="","",IF(발령대장_설정!$B$8="","",발령대장_설정!$B$8))</x:f>
        <x:v>#NAME?</x:v>
      </x:c>
      <x:c r="J986" s="27" t="str">
        <x:f>""</x:f>
      </x:c>
    </x:row>
    <x:row r="987" ht="42" customHeight="1">
      <x:c r="A987" s="47" t="e">
        <x:f>IF(AND(대장!A493&lt;&gt;"",ISNUMBER(대장!F493),OR(대장!G493="",AND(ISNUMBER(대장!G493),대장!G493&gt;=대장!F493))),대장!F493,"")</x:f>
        <x:v>#NAME?</x:v>
      </x:c>
      <x:c r="B987" s="27" t="e">
        <x:f>IF($A987="","",IF(발령대장_설정!$B$4="","",발령대장_설정!$B$4))</x:f>
        <x:v>#NAME?</x:v>
      </x:c>
      <x:c r="C987" s="27" t="e">
        <x:f>IF($A987="","",대장!D493)</x:f>
        <x:v>#NAME?</x:v>
      </x:c>
      <x:c r="D987" s="27" t="e">
        <x:f>IF($A987="","",대장!A493)</x:f>
        <x:v>#NAME?</x:v>
      </x:c>
      <x:c r="E987" s="27" t="e">
        <x:f>IF($A987="","",IF(대장!J493&lt;&gt;"",대장!J493,대장!D493&amp;"에 임함"&amp;IF(대장!E493="","",CHAR(10)&amp;"고용형태: "&amp;대장!E493)&amp;IF(대장!I493="","",CHAR(10)&amp;"소정근로시간: "&amp;대장!I493)&amp;CHAR(10)&amp;"근로기간: "&amp;YEAR(대장!F493)&amp;"."&amp;MONTH(대장!F493)&amp;"."&amp;DAY(대장!F493)&amp;"."&amp;" ~ "&amp;IF(ISNUMBER(대장!G493),YEAR(대장!G493)&amp;"."&amp;MONTH(대장!G493)&amp;"."&amp;DAY(대장!G493)&amp;".","재직 중")))</x:f>
        <x:v>#NAME?</x:v>
      </x:c>
      <x:c r="F987" s="27" t="e">
        <x:f>IF($A987="","",IF(발령대장_설정!$B$5="","",발령대장_설정!$B$5))</x:f>
        <x:v>#NAME?</x:v>
      </x:c>
      <x:c r="G987" s="27" t="e">
        <x:f>IF($A987="","",IF(발령대장_설정!$B$6="","",발령대장_설정!$B$6))</x:f>
        <x:v>#NAME?</x:v>
      </x:c>
      <x:c r="H987" s="27" t="e">
        <x:f>IF($A987="","",IF(발령대장_설정!$B$7="","",발령대장_설정!$B$7))</x:f>
        <x:v>#NAME?</x:v>
      </x:c>
      <x:c r="I987" s="27" t="e">
        <x:f>IF($A987="","",IF(발령대장_설정!$B$8="","",발령대장_설정!$B$8))</x:f>
        <x:v>#NAME?</x:v>
      </x:c>
      <x:c r="J987" s="27" t="e">
        <x:f>IF($A987="","",IF(대장!K493="","",대장!K493))</x:f>
        <x:v>#NAME?</x:v>
      </x:c>
    </x:row>
    <x:row r="988" ht="42" customHeight="1">
      <x:c r="A988" s="47" t="e">
        <x:f>IF(AND(대장!A493&lt;&gt;"",ISNUMBER(대장!F493),ISNUMBER(대장!G493),대장!G493&gt;=대장!F493,대장!H493&lt;&gt;""),대장!G493,"")</x:f>
        <x:v>#NAME?</x:v>
      </x:c>
      <x:c r="B988" s="27" t="e">
        <x:f>IF($A988="","",IF(발령대장_설정!$B$4="","",발령대장_설정!$B$4))</x:f>
        <x:v>#NAME?</x:v>
      </x:c>
      <x:c r="C988" s="27" t="e">
        <x:f>IF($A988="","",대장!D493)</x:f>
        <x:v>#NAME?</x:v>
      </x:c>
      <x:c r="D988" s="27" t="e">
        <x:f>IF($A988="","",대장!A493)</x:f>
        <x:v>#NAME?</x:v>
      </x:c>
      <x:c r="E988" s="27" t="e">
        <x:f>IF($A988="","",IF(OR(ISNUMBER(SEARCH("계약만료",대장!H493&amp;"")),ISNUMBER(SEARCH("기간만료",대장!H493&amp;""))),"계약기간 만료로 퇴직",IF(ISNUMBER(SEARCH("의원면직",대장!H493&amp;"")),"의원면직",IF(ISNUMBER(SEARCH("정년퇴직",대장!H493&amp;"")),"정년퇴직",대장!H493))))</x:f>
        <x:v>#NAME?</x:v>
      </x:c>
      <x:c r="F988" s="27" t="e">
        <x:f>IF($A988="","",IF(발령대장_설정!$B$5="","",발령대장_설정!$B$5))</x:f>
        <x:v>#NAME?</x:v>
      </x:c>
      <x:c r="G988" s="27" t="e">
        <x:f>IF($A988="","",IF(발령대장_설정!$B$6="","",발령대장_설정!$B$6))</x:f>
        <x:v>#NAME?</x:v>
      </x:c>
      <x:c r="H988" s="27" t="e">
        <x:f>IF($A988="","",IF(발령대장_설정!$B$7="","",발령대장_설정!$B$7))</x:f>
        <x:v>#NAME?</x:v>
      </x:c>
      <x:c r="I988" s="27" t="e">
        <x:f>IF($A988="","",IF(발령대장_설정!$B$8="","",발령대장_설정!$B$8))</x:f>
        <x:v>#NAME?</x:v>
      </x:c>
      <x:c r="J988" s="27" t="str">
        <x:f>""</x:f>
      </x:c>
    </x:row>
    <x:row r="989" ht="42" customHeight="1">
      <x:c r="A989" s="47" t="e">
        <x:f>IF(AND(대장!A494&lt;&gt;"",ISNUMBER(대장!F494),OR(대장!G494="",AND(ISNUMBER(대장!G494),대장!G494&gt;=대장!F494))),대장!F494,"")</x:f>
        <x:v>#NAME?</x:v>
      </x:c>
      <x:c r="B989" s="27" t="e">
        <x:f>IF($A989="","",IF(발령대장_설정!$B$4="","",발령대장_설정!$B$4))</x:f>
        <x:v>#NAME?</x:v>
      </x:c>
      <x:c r="C989" s="27" t="e">
        <x:f>IF($A989="","",대장!D494)</x:f>
        <x:v>#NAME?</x:v>
      </x:c>
      <x:c r="D989" s="27" t="e">
        <x:f>IF($A989="","",대장!A494)</x:f>
        <x:v>#NAME?</x:v>
      </x:c>
      <x:c r="E989" s="27" t="e">
        <x:f>IF($A989="","",IF(대장!J494&lt;&gt;"",대장!J494,대장!D494&amp;"에 임함"&amp;IF(대장!E494="","",CHAR(10)&amp;"고용형태: "&amp;대장!E494)&amp;IF(대장!I494="","",CHAR(10)&amp;"소정근로시간: "&amp;대장!I494)&amp;CHAR(10)&amp;"근로기간: "&amp;YEAR(대장!F494)&amp;"."&amp;MONTH(대장!F494)&amp;"."&amp;DAY(대장!F494)&amp;"."&amp;" ~ "&amp;IF(ISNUMBER(대장!G494),YEAR(대장!G494)&amp;"."&amp;MONTH(대장!G494)&amp;"."&amp;DAY(대장!G494)&amp;".","재직 중")))</x:f>
        <x:v>#NAME?</x:v>
      </x:c>
      <x:c r="F989" s="27" t="e">
        <x:f>IF($A989="","",IF(발령대장_설정!$B$5="","",발령대장_설정!$B$5))</x:f>
        <x:v>#NAME?</x:v>
      </x:c>
      <x:c r="G989" s="27" t="e">
        <x:f>IF($A989="","",IF(발령대장_설정!$B$6="","",발령대장_설정!$B$6))</x:f>
        <x:v>#NAME?</x:v>
      </x:c>
      <x:c r="H989" s="27" t="e">
        <x:f>IF($A989="","",IF(발령대장_설정!$B$7="","",발령대장_설정!$B$7))</x:f>
        <x:v>#NAME?</x:v>
      </x:c>
      <x:c r="I989" s="27" t="e">
        <x:f>IF($A989="","",IF(발령대장_설정!$B$8="","",발령대장_설정!$B$8))</x:f>
        <x:v>#NAME?</x:v>
      </x:c>
      <x:c r="J989" s="27" t="e">
        <x:f>IF($A989="","",IF(대장!K494="","",대장!K494))</x:f>
        <x:v>#NAME?</x:v>
      </x:c>
    </x:row>
    <x:row r="990" ht="42" customHeight="1">
      <x:c r="A990" s="47" t="e">
        <x:f>IF(AND(대장!A494&lt;&gt;"",ISNUMBER(대장!F494),ISNUMBER(대장!G494),대장!G494&gt;=대장!F494,대장!H494&lt;&gt;""),대장!G494,"")</x:f>
        <x:v>#NAME?</x:v>
      </x:c>
      <x:c r="B990" s="27" t="e">
        <x:f>IF($A990="","",IF(발령대장_설정!$B$4="","",발령대장_설정!$B$4))</x:f>
        <x:v>#NAME?</x:v>
      </x:c>
      <x:c r="C990" s="27" t="e">
        <x:f>IF($A990="","",대장!D494)</x:f>
        <x:v>#NAME?</x:v>
      </x:c>
      <x:c r="D990" s="27" t="e">
        <x:f>IF($A990="","",대장!A494)</x:f>
        <x:v>#NAME?</x:v>
      </x:c>
      <x:c r="E990" s="27" t="e">
        <x:f>IF($A990="","",IF(OR(ISNUMBER(SEARCH("계약만료",대장!H494&amp;"")),ISNUMBER(SEARCH("기간만료",대장!H494&amp;""))),"계약기간 만료로 퇴직",IF(ISNUMBER(SEARCH("의원면직",대장!H494&amp;"")),"의원면직",IF(ISNUMBER(SEARCH("정년퇴직",대장!H494&amp;"")),"정년퇴직",대장!H494))))</x:f>
        <x:v>#NAME?</x:v>
      </x:c>
      <x:c r="F990" s="27" t="e">
        <x:f>IF($A990="","",IF(발령대장_설정!$B$5="","",발령대장_설정!$B$5))</x:f>
        <x:v>#NAME?</x:v>
      </x:c>
      <x:c r="G990" s="27" t="e">
        <x:f>IF($A990="","",IF(발령대장_설정!$B$6="","",발령대장_설정!$B$6))</x:f>
        <x:v>#NAME?</x:v>
      </x:c>
      <x:c r="H990" s="27" t="e">
        <x:f>IF($A990="","",IF(발령대장_설정!$B$7="","",발령대장_설정!$B$7))</x:f>
        <x:v>#NAME?</x:v>
      </x:c>
      <x:c r="I990" s="27" t="e">
        <x:f>IF($A990="","",IF(발령대장_설정!$B$8="","",발령대장_설정!$B$8))</x:f>
        <x:v>#NAME?</x:v>
      </x:c>
      <x:c r="J990" s="27" t="str">
        <x:f>""</x:f>
      </x:c>
    </x:row>
    <x:row r="991" ht="42" customHeight="1">
      <x:c r="A991" s="47" t="e">
        <x:f>IF(AND(대장!A495&lt;&gt;"",ISNUMBER(대장!F495),OR(대장!G495="",AND(ISNUMBER(대장!G495),대장!G495&gt;=대장!F495))),대장!F495,"")</x:f>
        <x:v>#NAME?</x:v>
      </x:c>
      <x:c r="B991" s="27" t="e">
        <x:f>IF($A991="","",IF(발령대장_설정!$B$4="","",발령대장_설정!$B$4))</x:f>
        <x:v>#NAME?</x:v>
      </x:c>
      <x:c r="C991" s="27" t="e">
        <x:f>IF($A991="","",대장!D495)</x:f>
        <x:v>#NAME?</x:v>
      </x:c>
      <x:c r="D991" s="27" t="e">
        <x:f>IF($A991="","",대장!A495)</x:f>
        <x:v>#NAME?</x:v>
      </x:c>
      <x:c r="E991" s="27" t="e">
        <x:f>IF($A991="","",IF(대장!J495&lt;&gt;"",대장!J495,대장!D495&amp;"에 임함"&amp;IF(대장!E495="","",CHAR(10)&amp;"고용형태: "&amp;대장!E495)&amp;IF(대장!I495="","",CHAR(10)&amp;"소정근로시간: "&amp;대장!I495)&amp;CHAR(10)&amp;"근로기간: "&amp;YEAR(대장!F495)&amp;"."&amp;MONTH(대장!F495)&amp;"."&amp;DAY(대장!F495)&amp;"."&amp;" ~ "&amp;IF(ISNUMBER(대장!G495),YEAR(대장!G495)&amp;"."&amp;MONTH(대장!G495)&amp;"."&amp;DAY(대장!G495)&amp;".","재직 중")))</x:f>
        <x:v>#NAME?</x:v>
      </x:c>
      <x:c r="F991" s="27" t="e">
        <x:f>IF($A991="","",IF(발령대장_설정!$B$5="","",발령대장_설정!$B$5))</x:f>
        <x:v>#NAME?</x:v>
      </x:c>
      <x:c r="G991" s="27" t="e">
        <x:f>IF($A991="","",IF(발령대장_설정!$B$6="","",발령대장_설정!$B$6))</x:f>
        <x:v>#NAME?</x:v>
      </x:c>
      <x:c r="H991" s="27" t="e">
        <x:f>IF($A991="","",IF(발령대장_설정!$B$7="","",발령대장_설정!$B$7))</x:f>
        <x:v>#NAME?</x:v>
      </x:c>
      <x:c r="I991" s="27" t="e">
        <x:f>IF($A991="","",IF(발령대장_설정!$B$8="","",발령대장_설정!$B$8))</x:f>
        <x:v>#NAME?</x:v>
      </x:c>
      <x:c r="J991" s="27" t="e">
        <x:f>IF($A991="","",IF(대장!K495="","",대장!K495))</x:f>
        <x:v>#NAME?</x:v>
      </x:c>
    </x:row>
    <x:row r="992" ht="42" customHeight="1">
      <x:c r="A992" s="47" t="e">
        <x:f>IF(AND(대장!A495&lt;&gt;"",ISNUMBER(대장!F495),ISNUMBER(대장!G495),대장!G495&gt;=대장!F495,대장!H495&lt;&gt;""),대장!G495,"")</x:f>
        <x:v>#NAME?</x:v>
      </x:c>
      <x:c r="B992" s="27" t="e">
        <x:f>IF($A992="","",IF(발령대장_설정!$B$4="","",발령대장_설정!$B$4))</x:f>
        <x:v>#NAME?</x:v>
      </x:c>
      <x:c r="C992" s="27" t="e">
        <x:f>IF($A992="","",대장!D495)</x:f>
        <x:v>#NAME?</x:v>
      </x:c>
      <x:c r="D992" s="27" t="e">
        <x:f>IF($A992="","",대장!A495)</x:f>
        <x:v>#NAME?</x:v>
      </x:c>
      <x:c r="E992" s="27" t="e">
        <x:f>IF($A992="","",IF(OR(ISNUMBER(SEARCH("계약만료",대장!H495&amp;"")),ISNUMBER(SEARCH("기간만료",대장!H495&amp;""))),"계약기간 만료로 퇴직",IF(ISNUMBER(SEARCH("의원면직",대장!H495&amp;"")),"의원면직",IF(ISNUMBER(SEARCH("정년퇴직",대장!H495&amp;"")),"정년퇴직",대장!H495))))</x:f>
        <x:v>#NAME?</x:v>
      </x:c>
      <x:c r="F992" s="27" t="e">
        <x:f>IF($A992="","",IF(발령대장_설정!$B$5="","",발령대장_설정!$B$5))</x:f>
        <x:v>#NAME?</x:v>
      </x:c>
      <x:c r="G992" s="27" t="e">
        <x:f>IF($A992="","",IF(발령대장_설정!$B$6="","",발령대장_설정!$B$6))</x:f>
        <x:v>#NAME?</x:v>
      </x:c>
      <x:c r="H992" s="27" t="e">
        <x:f>IF($A992="","",IF(발령대장_설정!$B$7="","",발령대장_설정!$B$7))</x:f>
        <x:v>#NAME?</x:v>
      </x:c>
      <x:c r="I992" s="27" t="e">
        <x:f>IF($A992="","",IF(발령대장_설정!$B$8="","",발령대장_설정!$B$8))</x:f>
        <x:v>#NAME?</x:v>
      </x:c>
      <x:c r="J992" s="27" t="str">
        <x:f>""</x:f>
      </x:c>
    </x:row>
    <x:row r="993" ht="42" customHeight="1">
      <x:c r="A993" s="47" t="e">
        <x:f>IF(AND(대장!A496&lt;&gt;"",ISNUMBER(대장!F496),OR(대장!G496="",AND(ISNUMBER(대장!G496),대장!G496&gt;=대장!F496))),대장!F496,"")</x:f>
        <x:v>#NAME?</x:v>
      </x:c>
      <x:c r="B993" s="27" t="e">
        <x:f>IF($A993="","",IF(발령대장_설정!$B$4="","",발령대장_설정!$B$4))</x:f>
        <x:v>#NAME?</x:v>
      </x:c>
      <x:c r="C993" s="27" t="e">
        <x:f>IF($A993="","",대장!D496)</x:f>
        <x:v>#NAME?</x:v>
      </x:c>
      <x:c r="D993" s="27" t="e">
        <x:f>IF($A993="","",대장!A496)</x:f>
        <x:v>#NAME?</x:v>
      </x:c>
      <x:c r="E993" s="27" t="e">
        <x:f>IF($A993="","",IF(대장!J496&lt;&gt;"",대장!J496,대장!D496&amp;"에 임함"&amp;IF(대장!E496="","",CHAR(10)&amp;"고용형태: "&amp;대장!E496)&amp;IF(대장!I496="","",CHAR(10)&amp;"소정근로시간: "&amp;대장!I496)&amp;CHAR(10)&amp;"근로기간: "&amp;YEAR(대장!F496)&amp;"."&amp;MONTH(대장!F496)&amp;"."&amp;DAY(대장!F496)&amp;"."&amp;" ~ "&amp;IF(ISNUMBER(대장!G496),YEAR(대장!G496)&amp;"."&amp;MONTH(대장!G496)&amp;"."&amp;DAY(대장!G496)&amp;".","재직 중")))</x:f>
        <x:v>#NAME?</x:v>
      </x:c>
      <x:c r="F993" s="27" t="e">
        <x:f>IF($A993="","",IF(발령대장_설정!$B$5="","",발령대장_설정!$B$5))</x:f>
        <x:v>#NAME?</x:v>
      </x:c>
      <x:c r="G993" s="27" t="e">
        <x:f>IF($A993="","",IF(발령대장_설정!$B$6="","",발령대장_설정!$B$6))</x:f>
        <x:v>#NAME?</x:v>
      </x:c>
      <x:c r="H993" s="27" t="e">
        <x:f>IF($A993="","",IF(발령대장_설정!$B$7="","",발령대장_설정!$B$7))</x:f>
        <x:v>#NAME?</x:v>
      </x:c>
      <x:c r="I993" s="27" t="e">
        <x:f>IF($A993="","",IF(발령대장_설정!$B$8="","",발령대장_설정!$B$8))</x:f>
        <x:v>#NAME?</x:v>
      </x:c>
      <x:c r="J993" s="27" t="e">
        <x:f>IF($A993="","",IF(대장!K496="","",대장!K496))</x:f>
        <x:v>#NAME?</x:v>
      </x:c>
    </x:row>
    <x:row r="994" ht="42" customHeight="1">
      <x:c r="A994" s="47" t="e">
        <x:f>IF(AND(대장!A496&lt;&gt;"",ISNUMBER(대장!F496),ISNUMBER(대장!G496),대장!G496&gt;=대장!F496,대장!H496&lt;&gt;""),대장!G496,"")</x:f>
        <x:v>#NAME?</x:v>
      </x:c>
      <x:c r="B994" s="27" t="e">
        <x:f>IF($A994="","",IF(발령대장_설정!$B$4="","",발령대장_설정!$B$4))</x:f>
        <x:v>#NAME?</x:v>
      </x:c>
      <x:c r="C994" s="27" t="e">
        <x:f>IF($A994="","",대장!D496)</x:f>
        <x:v>#NAME?</x:v>
      </x:c>
      <x:c r="D994" s="27" t="e">
        <x:f>IF($A994="","",대장!A496)</x:f>
        <x:v>#NAME?</x:v>
      </x:c>
      <x:c r="E994" s="27" t="e">
        <x:f>IF($A994="","",IF(OR(ISNUMBER(SEARCH("계약만료",대장!H496&amp;"")),ISNUMBER(SEARCH("기간만료",대장!H496&amp;""))),"계약기간 만료로 퇴직",IF(ISNUMBER(SEARCH("의원면직",대장!H496&amp;"")),"의원면직",IF(ISNUMBER(SEARCH("정년퇴직",대장!H496&amp;"")),"정년퇴직",대장!H496))))</x:f>
        <x:v>#NAME?</x:v>
      </x:c>
      <x:c r="F994" s="27" t="e">
        <x:f>IF($A994="","",IF(발령대장_설정!$B$5="","",발령대장_설정!$B$5))</x:f>
        <x:v>#NAME?</x:v>
      </x:c>
      <x:c r="G994" s="27" t="e">
        <x:f>IF($A994="","",IF(발령대장_설정!$B$6="","",발령대장_설정!$B$6))</x:f>
        <x:v>#NAME?</x:v>
      </x:c>
      <x:c r="H994" s="27" t="e">
        <x:f>IF($A994="","",IF(발령대장_설정!$B$7="","",발령대장_설정!$B$7))</x:f>
        <x:v>#NAME?</x:v>
      </x:c>
      <x:c r="I994" s="27" t="e">
        <x:f>IF($A994="","",IF(발령대장_설정!$B$8="","",발령대장_설정!$B$8))</x:f>
        <x:v>#NAME?</x:v>
      </x:c>
      <x:c r="J994" s="27" t="str">
        <x:f>""</x:f>
      </x:c>
    </x:row>
    <x:row r="995" ht="42" customHeight="1">
      <x:c r="A995" s="47" t="e">
        <x:f>IF(AND(대장!A497&lt;&gt;"",ISNUMBER(대장!F497),OR(대장!G497="",AND(ISNUMBER(대장!G497),대장!G497&gt;=대장!F497))),대장!F497,"")</x:f>
        <x:v>#NAME?</x:v>
      </x:c>
      <x:c r="B995" s="27" t="e">
        <x:f>IF($A995="","",IF(발령대장_설정!$B$4="","",발령대장_설정!$B$4))</x:f>
        <x:v>#NAME?</x:v>
      </x:c>
      <x:c r="C995" s="27" t="e">
        <x:f>IF($A995="","",대장!D497)</x:f>
        <x:v>#NAME?</x:v>
      </x:c>
      <x:c r="D995" s="27" t="e">
        <x:f>IF($A995="","",대장!A497)</x:f>
        <x:v>#NAME?</x:v>
      </x:c>
      <x:c r="E995" s="27" t="e">
        <x:f>IF($A995="","",IF(대장!J497&lt;&gt;"",대장!J497,대장!D497&amp;"에 임함"&amp;IF(대장!E497="","",CHAR(10)&amp;"고용형태: "&amp;대장!E497)&amp;IF(대장!I497="","",CHAR(10)&amp;"소정근로시간: "&amp;대장!I497)&amp;CHAR(10)&amp;"근로기간: "&amp;YEAR(대장!F497)&amp;"."&amp;MONTH(대장!F497)&amp;"."&amp;DAY(대장!F497)&amp;"."&amp;" ~ "&amp;IF(ISNUMBER(대장!G497),YEAR(대장!G497)&amp;"."&amp;MONTH(대장!G497)&amp;"."&amp;DAY(대장!G497)&amp;".","재직 중")))</x:f>
        <x:v>#NAME?</x:v>
      </x:c>
      <x:c r="F995" s="27" t="e">
        <x:f>IF($A995="","",IF(발령대장_설정!$B$5="","",발령대장_설정!$B$5))</x:f>
        <x:v>#NAME?</x:v>
      </x:c>
      <x:c r="G995" s="27" t="e">
        <x:f>IF($A995="","",IF(발령대장_설정!$B$6="","",발령대장_설정!$B$6))</x:f>
        <x:v>#NAME?</x:v>
      </x:c>
      <x:c r="H995" s="27" t="e">
        <x:f>IF($A995="","",IF(발령대장_설정!$B$7="","",발령대장_설정!$B$7))</x:f>
        <x:v>#NAME?</x:v>
      </x:c>
      <x:c r="I995" s="27" t="e">
        <x:f>IF($A995="","",IF(발령대장_설정!$B$8="","",발령대장_설정!$B$8))</x:f>
        <x:v>#NAME?</x:v>
      </x:c>
      <x:c r="J995" s="27" t="e">
        <x:f>IF($A995="","",IF(대장!K497="","",대장!K497))</x:f>
        <x:v>#NAME?</x:v>
      </x:c>
    </x:row>
    <x:row r="996" ht="42" customHeight="1">
      <x:c r="A996" s="47" t="e">
        <x:f>IF(AND(대장!A497&lt;&gt;"",ISNUMBER(대장!F497),ISNUMBER(대장!G497),대장!G497&gt;=대장!F497,대장!H497&lt;&gt;""),대장!G497,"")</x:f>
        <x:v>#NAME?</x:v>
      </x:c>
      <x:c r="B996" s="27" t="e">
        <x:f>IF($A996="","",IF(발령대장_설정!$B$4="","",발령대장_설정!$B$4))</x:f>
        <x:v>#NAME?</x:v>
      </x:c>
      <x:c r="C996" s="27" t="e">
        <x:f>IF($A996="","",대장!D497)</x:f>
        <x:v>#NAME?</x:v>
      </x:c>
      <x:c r="D996" s="27" t="e">
        <x:f>IF($A996="","",대장!A497)</x:f>
        <x:v>#NAME?</x:v>
      </x:c>
      <x:c r="E996" s="27" t="e">
        <x:f>IF($A996="","",IF(OR(ISNUMBER(SEARCH("계약만료",대장!H497&amp;"")),ISNUMBER(SEARCH("기간만료",대장!H497&amp;""))),"계약기간 만료로 퇴직",IF(ISNUMBER(SEARCH("의원면직",대장!H497&amp;"")),"의원면직",IF(ISNUMBER(SEARCH("정년퇴직",대장!H497&amp;"")),"정년퇴직",대장!H497))))</x:f>
        <x:v>#NAME?</x:v>
      </x:c>
      <x:c r="F996" s="27" t="e">
        <x:f>IF($A996="","",IF(발령대장_설정!$B$5="","",발령대장_설정!$B$5))</x:f>
        <x:v>#NAME?</x:v>
      </x:c>
      <x:c r="G996" s="27" t="e">
        <x:f>IF($A996="","",IF(발령대장_설정!$B$6="","",발령대장_설정!$B$6))</x:f>
        <x:v>#NAME?</x:v>
      </x:c>
      <x:c r="H996" s="27" t="e">
        <x:f>IF($A996="","",IF(발령대장_설정!$B$7="","",발령대장_설정!$B$7))</x:f>
        <x:v>#NAME?</x:v>
      </x:c>
      <x:c r="I996" s="27" t="e">
        <x:f>IF($A996="","",IF(발령대장_설정!$B$8="","",발령대장_설정!$B$8))</x:f>
        <x:v>#NAME?</x:v>
      </x:c>
      <x:c r="J996" s="27" t="str">
        <x:f>""</x:f>
      </x:c>
    </x:row>
    <x:row r="997" ht="42" customHeight="1">
      <x:c r="A997" s="47" t="e">
        <x:f>IF(AND(대장!A498&lt;&gt;"",ISNUMBER(대장!F498),OR(대장!G498="",AND(ISNUMBER(대장!G498),대장!G498&gt;=대장!F498))),대장!F498,"")</x:f>
        <x:v>#NAME?</x:v>
      </x:c>
      <x:c r="B997" s="27" t="e">
        <x:f>IF($A997="","",IF(발령대장_설정!$B$4="","",발령대장_설정!$B$4))</x:f>
        <x:v>#NAME?</x:v>
      </x:c>
      <x:c r="C997" s="27" t="e">
        <x:f>IF($A997="","",대장!D498)</x:f>
        <x:v>#NAME?</x:v>
      </x:c>
      <x:c r="D997" s="27" t="e">
        <x:f>IF($A997="","",대장!A498)</x:f>
        <x:v>#NAME?</x:v>
      </x:c>
      <x:c r="E997" s="27" t="e">
        <x:f>IF($A997="","",IF(대장!J498&lt;&gt;"",대장!J498,대장!D498&amp;"에 임함"&amp;IF(대장!E498="","",CHAR(10)&amp;"고용형태: "&amp;대장!E498)&amp;IF(대장!I498="","",CHAR(10)&amp;"소정근로시간: "&amp;대장!I498)&amp;CHAR(10)&amp;"근로기간: "&amp;YEAR(대장!F498)&amp;"."&amp;MONTH(대장!F498)&amp;"."&amp;DAY(대장!F498)&amp;"."&amp;" ~ "&amp;IF(ISNUMBER(대장!G498),YEAR(대장!G498)&amp;"."&amp;MONTH(대장!G498)&amp;"."&amp;DAY(대장!G498)&amp;".","재직 중")))</x:f>
        <x:v>#NAME?</x:v>
      </x:c>
      <x:c r="F997" s="27" t="e">
        <x:f>IF($A997="","",IF(발령대장_설정!$B$5="","",발령대장_설정!$B$5))</x:f>
        <x:v>#NAME?</x:v>
      </x:c>
      <x:c r="G997" s="27" t="e">
        <x:f>IF($A997="","",IF(발령대장_설정!$B$6="","",발령대장_설정!$B$6))</x:f>
        <x:v>#NAME?</x:v>
      </x:c>
      <x:c r="H997" s="27" t="e">
        <x:f>IF($A997="","",IF(발령대장_설정!$B$7="","",발령대장_설정!$B$7))</x:f>
        <x:v>#NAME?</x:v>
      </x:c>
      <x:c r="I997" s="27" t="e">
        <x:f>IF($A997="","",IF(발령대장_설정!$B$8="","",발령대장_설정!$B$8))</x:f>
        <x:v>#NAME?</x:v>
      </x:c>
      <x:c r="J997" s="27" t="e">
        <x:f>IF($A997="","",IF(대장!K498="","",대장!K498))</x:f>
        <x:v>#NAME?</x:v>
      </x:c>
    </x:row>
    <x:row r="998" ht="42" customHeight="1">
      <x:c r="A998" s="47" t="e">
        <x:f>IF(AND(대장!A498&lt;&gt;"",ISNUMBER(대장!F498),ISNUMBER(대장!G498),대장!G498&gt;=대장!F498,대장!H498&lt;&gt;""),대장!G498,"")</x:f>
        <x:v>#NAME?</x:v>
      </x:c>
      <x:c r="B998" s="27" t="e">
        <x:f>IF($A998="","",IF(발령대장_설정!$B$4="","",발령대장_설정!$B$4))</x:f>
        <x:v>#NAME?</x:v>
      </x:c>
      <x:c r="C998" s="27" t="e">
        <x:f>IF($A998="","",대장!D498)</x:f>
        <x:v>#NAME?</x:v>
      </x:c>
      <x:c r="D998" s="27" t="e">
        <x:f>IF($A998="","",대장!A498)</x:f>
        <x:v>#NAME?</x:v>
      </x:c>
      <x:c r="E998" s="27" t="e">
        <x:f>IF($A998="","",IF(OR(ISNUMBER(SEARCH("계약만료",대장!H498&amp;"")),ISNUMBER(SEARCH("기간만료",대장!H498&amp;""))),"계약기간 만료로 퇴직",IF(ISNUMBER(SEARCH("의원면직",대장!H498&amp;"")),"의원면직",IF(ISNUMBER(SEARCH("정년퇴직",대장!H498&amp;"")),"정년퇴직",대장!H498))))</x:f>
        <x:v>#NAME?</x:v>
      </x:c>
      <x:c r="F998" s="27" t="e">
        <x:f>IF($A998="","",IF(발령대장_설정!$B$5="","",발령대장_설정!$B$5))</x:f>
        <x:v>#NAME?</x:v>
      </x:c>
      <x:c r="G998" s="27" t="e">
        <x:f>IF($A998="","",IF(발령대장_설정!$B$6="","",발령대장_설정!$B$6))</x:f>
        <x:v>#NAME?</x:v>
      </x:c>
      <x:c r="H998" s="27" t="e">
        <x:f>IF($A998="","",IF(발령대장_설정!$B$7="","",발령대장_설정!$B$7))</x:f>
        <x:v>#NAME?</x:v>
      </x:c>
      <x:c r="I998" s="27" t="e">
        <x:f>IF($A998="","",IF(발령대장_설정!$B$8="","",발령대장_설정!$B$8))</x:f>
        <x:v>#NAME?</x:v>
      </x:c>
      <x:c r="J998" s="27" t="str">
        <x:f>""</x:f>
      </x:c>
    </x:row>
    <x:row r="999" ht="42" customHeight="1">
      <x:c r="A999" s="47" t="e">
        <x:f>IF(AND(대장!A499&lt;&gt;"",ISNUMBER(대장!F499),OR(대장!G499="",AND(ISNUMBER(대장!G499),대장!G499&gt;=대장!F499))),대장!F499,"")</x:f>
        <x:v>#NAME?</x:v>
      </x:c>
      <x:c r="B999" s="27" t="e">
        <x:f>IF($A999="","",IF(발령대장_설정!$B$4="","",발령대장_설정!$B$4))</x:f>
        <x:v>#NAME?</x:v>
      </x:c>
      <x:c r="C999" s="27" t="e">
        <x:f>IF($A999="","",대장!D499)</x:f>
        <x:v>#NAME?</x:v>
      </x:c>
      <x:c r="D999" s="27" t="e">
        <x:f>IF($A999="","",대장!A499)</x:f>
        <x:v>#NAME?</x:v>
      </x:c>
      <x:c r="E999" s="27" t="e">
        <x:f>IF($A999="","",IF(대장!J499&lt;&gt;"",대장!J499,대장!D499&amp;"에 임함"&amp;IF(대장!E499="","",CHAR(10)&amp;"고용형태: "&amp;대장!E499)&amp;IF(대장!I499="","",CHAR(10)&amp;"소정근로시간: "&amp;대장!I499)&amp;CHAR(10)&amp;"근로기간: "&amp;YEAR(대장!F499)&amp;"."&amp;MONTH(대장!F499)&amp;"."&amp;DAY(대장!F499)&amp;"."&amp;" ~ "&amp;IF(ISNUMBER(대장!G499),YEAR(대장!G499)&amp;"."&amp;MONTH(대장!G499)&amp;"."&amp;DAY(대장!G499)&amp;".","재직 중")))</x:f>
        <x:v>#NAME?</x:v>
      </x:c>
      <x:c r="F999" s="27" t="e">
        <x:f>IF($A999="","",IF(발령대장_설정!$B$5="","",발령대장_설정!$B$5))</x:f>
        <x:v>#NAME?</x:v>
      </x:c>
      <x:c r="G999" s="27" t="e">
        <x:f>IF($A999="","",IF(발령대장_설정!$B$6="","",발령대장_설정!$B$6))</x:f>
        <x:v>#NAME?</x:v>
      </x:c>
      <x:c r="H999" s="27" t="e">
        <x:f>IF($A999="","",IF(발령대장_설정!$B$7="","",발령대장_설정!$B$7))</x:f>
        <x:v>#NAME?</x:v>
      </x:c>
      <x:c r="I999" s="27" t="e">
        <x:f>IF($A999="","",IF(발령대장_설정!$B$8="","",발령대장_설정!$B$8))</x:f>
        <x:v>#NAME?</x:v>
      </x:c>
      <x:c r="J999" s="27" t="e">
        <x:f>IF($A999="","",IF(대장!K499="","",대장!K499))</x:f>
        <x:v>#NAME?</x:v>
      </x:c>
    </x:row>
    <x:row r="1000" ht="42" customHeight="1">
      <x:c r="A1000" s="47" t="e">
        <x:f>IF(AND(대장!A499&lt;&gt;"",ISNUMBER(대장!F499),ISNUMBER(대장!G499),대장!G499&gt;=대장!F499,대장!H499&lt;&gt;""),대장!G499,"")</x:f>
        <x:v>#NAME?</x:v>
      </x:c>
      <x:c r="B1000" s="27" t="e">
        <x:f>IF($A1000="","",IF(발령대장_설정!$B$4="","",발령대장_설정!$B$4))</x:f>
        <x:v>#NAME?</x:v>
      </x:c>
      <x:c r="C1000" s="27" t="e">
        <x:f>IF($A1000="","",대장!D499)</x:f>
        <x:v>#NAME?</x:v>
      </x:c>
      <x:c r="D1000" s="27" t="e">
        <x:f>IF($A1000="","",대장!A499)</x:f>
        <x:v>#NAME?</x:v>
      </x:c>
      <x:c r="E1000" s="27" t="e">
        <x:f>IF($A1000="","",IF(OR(ISNUMBER(SEARCH("계약만료",대장!H499&amp;"")),ISNUMBER(SEARCH("기간만료",대장!H499&amp;""))),"계약기간 만료로 퇴직",IF(ISNUMBER(SEARCH("의원면직",대장!H499&amp;"")),"의원면직",IF(ISNUMBER(SEARCH("정년퇴직",대장!H499&amp;"")),"정년퇴직",대장!H499))))</x:f>
        <x:v>#NAME?</x:v>
      </x:c>
      <x:c r="F1000" s="27" t="e">
        <x:f>IF($A1000="","",IF(발령대장_설정!$B$5="","",발령대장_설정!$B$5))</x:f>
        <x:v>#NAME?</x:v>
      </x:c>
      <x:c r="G1000" s="27" t="e">
        <x:f>IF($A1000="","",IF(발령대장_설정!$B$6="","",발령대장_설정!$B$6))</x:f>
        <x:v>#NAME?</x:v>
      </x:c>
      <x:c r="H1000" s="27" t="e">
        <x:f>IF($A1000="","",IF(발령대장_설정!$B$7="","",발령대장_설정!$B$7))</x:f>
        <x:v>#NAME?</x:v>
      </x:c>
      <x:c r="I1000" s="27" t="e">
        <x:f>IF($A1000="","",IF(발령대장_설정!$B$8="","",발령대장_설정!$B$8))</x:f>
        <x:v>#NAME?</x:v>
      </x:c>
      <x:c r="J1000" s="27" t="str">
        <x:f>""</x:f>
      </x:c>
    </x:row>
    <x:row r="1001" ht="42" customHeight="1">
      <x:c r="A1001" s="47" t="e">
        <x:f>IF(AND(대장!A500&lt;&gt;"",ISNUMBER(대장!F500),OR(대장!G500="",AND(ISNUMBER(대장!G500),대장!G500&gt;=대장!F500))),대장!F500,"")</x:f>
        <x:v>#NAME?</x:v>
      </x:c>
      <x:c r="B1001" s="27" t="e">
        <x:f>IF($A1001="","",IF(발령대장_설정!$B$4="","",발령대장_설정!$B$4))</x:f>
        <x:v>#NAME?</x:v>
      </x:c>
      <x:c r="C1001" s="27" t="e">
        <x:f>IF($A1001="","",대장!D500)</x:f>
        <x:v>#NAME?</x:v>
      </x:c>
      <x:c r="D1001" s="27" t="e">
        <x:f>IF($A1001="","",대장!A500)</x:f>
        <x:v>#NAME?</x:v>
      </x:c>
      <x:c r="E1001" s="27" t="e">
        <x:f>IF($A1001="","",IF(대장!J500&lt;&gt;"",대장!J500,대장!D500&amp;"에 임함"&amp;IF(대장!E500="","",CHAR(10)&amp;"고용형태: "&amp;대장!E500)&amp;IF(대장!I500="","",CHAR(10)&amp;"소정근로시간: "&amp;대장!I500)&amp;CHAR(10)&amp;"근로기간: "&amp;YEAR(대장!F500)&amp;"."&amp;MONTH(대장!F500)&amp;"."&amp;DAY(대장!F500)&amp;"."&amp;" ~ "&amp;IF(ISNUMBER(대장!G500),YEAR(대장!G500)&amp;"."&amp;MONTH(대장!G500)&amp;"."&amp;DAY(대장!G500)&amp;".","재직 중")))</x:f>
        <x:v>#NAME?</x:v>
      </x:c>
      <x:c r="F1001" s="27" t="e">
        <x:f>IF($A1001="","",IF(발령대장_설정!$B$5="","",발령대장_설정!$B$5))</x:f>
        <x:v>#NAME?</x:v>
      </x:c>
      <x:c r="G1001" s="27" t="e">
        <x:f>IF($A1001="","",IF(발령대장_설정!$B$6="","",발령대장_설정!$B$6))</x:f>
        <x:v>#NAME?</x:v>
      </x:c>
      <x:c r="H1001" s="27" t="e">
        <x:f>IF($A1001="","",IF(발령대장_설정!$B$7="","",발령대장_설정!$B$7))</x:f>
        <x:v>#NAME?</x:v>
      </x:c>
      <x:c r="I1001" s="27" t="e">
        <x:f>IF($A1001="","",IF(발령대장_설정!$B$8="","",발령대장_설정!$B$8))</x:f>
        <x:v>#NAME?</x:v>
      </x:c>
      <x:c r="J1001" s="27" t="e">
        <x:f>IF($A1001="","",IF(대장!K500="","",대장!K500))</x:f>
        <x:v>#NAME?</x:v>
      </x:c>
    </x:row>
    <x:row r="1002" ht="42" customHeight="1">
      <x:c r="A1002" s="47" t="e">
        <x:f>IF(AND(대장!A500&lt;&gt;"",ISNUMBER(대장!F500),ISNUMBER(대장!G500),대장!G500&gt;=대장!F500,대장!H500&lt;&gt;""),대장!G500,"")</x:f>
        <x:v>#NAME?</x:v>
      </x:c>
      <x:c r="B1002" s="27" t="e">
        <x:f>IF($A1002="","",IF(발령대장_설정!$B$4="","",발령대장_설정!$B$4))</x:f>
        <x:v>#NAME?</x:v>
      </x:c>
      <x:c r="C1002" s="27" t="e">
        <x:f>IF($A1002="","",대장!D500)</x:f>
        <x:v>#NAME?</x:v>
      </x:c>
      <x:c r="D1002" s="27" t="e">
        <x:f>IF($A1002="","",대장!A500)</x:f>
        <x:v>#NAME?</x:v>
      </x:c>
      <x:c r="E1002" s="27" t="e">
        <x:f>IF($A1002="","",IF(OR(ISNUMBER(SEARCH("계약만료",대장!H500&amp;"")),ISNUMBER(SEARCH("기간만료",대장!H500&amp;""))),"계약기간 만료로 퇴직",IF(ISNUMBER(SEARCH("의원면직",대장!H500&amp;"")),"의원면직",IF(ISNUMBER(SEARCH("정년퇴직",대장!H500&amp;"")),"정년퇴직",대장!H500))))</x:f>
        <x:v>#NAME?</x:v>
      </x:c>
      <x:c r="F1002" s="27" t="e">
        <x:f>IF($A1002="","",IF(발령대장_설정!$B$5="","",발령대장_설정!$B$5))</x:f>
        <x:v>#NAME?</x:v>
      </x:c>
      <x:c r="G1002" s="27" t="e">
        <x:f>IF($A1002="","",IF(발령대장_설정!$B$6="","",발령대장_설정!$B$6))</x:f>
        <x:v>#NAME?</x:v>
      </x:c>
      <x:c r="H1002" s="27" t="e">
        <x:f>IF($A1002="","",IF(발령대장_설정!$B$7="","",발령대장_설정!$B$7))</x:f>
        <x:v>#NAME?</x:v>
      </x:c>
      <x:c r="I1002" s="27" t="e">
        <x:f>IF($A1002="","",IF(발령대장_설정!$B$8="","",발령대장_설정!$B$8))</x:f>
        <x:v>#NAME?</x:v>
      </x:c>
      <x:c r="J1002" s="27" t="str">
        <x:f>""</x:f>
      </x:c>
    </x:row>
    <x:row r="1003" ht="42" customHeight="1">
      <x:c r="A1003" s="47" t="e">
        <x:f>IF(AND(대장!A501&lt;&gt;"",ISNUMBER(대장!F501),OR(대장!G501="",AND(ISNUMBER(대장!G501),대장!G501&gt;=대장!F501))),대장!F501,"")</x:f>
        <x:v>#NAME?</x:v>
      </x:c>
      <x:c r="B1003" s="27" t="e">
        <x:f>IF($A1003="","",IF(발령대장_설정!$B$4="","",발령대장_설정!$B$4))</x:f>
        <x:v>#NAME?</x:v>
      </x:c>
      <x:c r="C1003" s="27" t="e">
        <x:f>IF($A1003="","",대장!D501)</x:f>
        <x:v>#NAME?</x:v>
      </x:c>
      <x:c r="D1003" s="27" t="e">
        <x:f>IF($A1003="","",대장!A501)</x:f>
        <x:v>#NAME?</x:v>
      </x:c>
      <x:c r="E1003" s="27" t="e">
        <x:f>IF($A1003="","",IF(대장!J501&lt;&gt;"",대장!J501,대장!D501&amp;"에 임함"&amp;IF(대장!E501="","",CHAR(10)&amp;"고용형태: "&amp;대장!E501)&amp;IF(대장!I501="","",CHAR(10)&amp;"소정근로시간: "&amp;대장!I501)&amp;CHAR(10)&amp;"근로기간: "&amp;YEAR(대장!F501)&amp;"."&amp;MONTH(대장!F501)&amp;"."&amp;DAY(대장!F501)&amp;"."&amp;" ~ "&amp;IF(ISNUMBER(대장!G501),YEAR(대장!G501)&amp;"."&amp;MONTH(대장!G501)&amp;"."&amp;DAY(대장!G501)&amp;".","재직 중")))</x:f>
        <x:v>#NAME?</x:v>
      </x:c>
      <x:c r="F1003" s="27" t="e">
        <x:f>IF($A1003="","",IF(발령대장_설정!$B$5="","",발령대장_설정!$B$5))</x:f>
        <x:v>#NAME?</x:v>
      </x:c>
      <x:c r="G1003" s="27" t="e">
        <x:f>IF($A1003="","",IF(발령대장_설정!$B$6="","",발령대장_설정!$B$6))</x:f>
        <x:v>#NAME?</x:v>
      </x:c>
      <x:c r="H1003" s="27" t="e">
        <x:f>IF($A1003="","",IF(발령대장_설정!$B$7="","",발령대장_설정!$B$7))</x:f>
        <x:v>#NAME?</x:v>
      </x:c>
      <x:c r="I1003" s="27" t="e">
        <x:f>IF($A1003="","",IF(발령대장_설정!$B$8="","",발령대장_설정!$B$8))</x:f>
        <x:v>#NAME?</x:v>
      </x:c>
      <x:c r="J1003" s="27" t="e">
        <x:f>IF($A1003="","",IF(대장!K501="","",대장!K501))</x:f>
        <x:v>#NAME?</x:v>
      </x:c>
    </x:row>
    <x:row r="1004" ht="42" customHeight="1">
      <x:c r="A1004" s="47" t="e">
        <x:f>IF(AND(대장!A501&lt;&gt;"",ISNUMBER(대장!F501),ISNUMBER(대장!G501),대장!G501&gt;=대장!F501,대장!H501&lt;&gt;""),대장!G501,"")</x:f>
        <x:v>#NAME?</x:v>
      </x:c>
      <x:c r="B1004" s="27" t="e">
        <x:f>IF($A1004="","",IF(발령대장_설정!$B$4="","",발령대장_설정!$B$4))</x:f>
        <x:v>#NAME?</x:v>
      </x:c>
      <x:c r="C1004" s="27" t="e">
        <x:f>IF($A1004="","",대장!D501)</x:f>
        <x:v>#NAME?</x:v>
      </x:c>
      <x:c r="D1004" s="27" t="e">
        <x:f>IF($A1004="","",대장!A501)</x:f>
        <x:v>#NAME?</x:v>
      </x:c>
      <x:c r="E1004" s="27" t="e">
        <x:f>IF($A1004="","",IF(OR(ISNUMBER(SEARCH("계약만료",대장!H501&amp;"")),ISNUMBER(SEARCH("기간만료",대장!H501&amp;""))),"계약기간 만료로 퇴직",IF(ISNUMBER(SEARCH("의원면직",대장!H501&amp;"")),"의원면직",IF(ISNUMBER(SEARCH("정년퇴직",대장!H501&amp;"")),"정년퇴직",대장!H501))))</x:f>
        <x:v>#NAME?</x:v>
      </x:c>
      <x:c r="F1004" s="27" t="e">
        <x:f>IF($A1004="","",IF(발령대장_설정!$B$5="","",발령대장_설정!$B$5))</x:f>
        <x:v>#NAME?</x:v>
      </x:c>
      <x:c r="G1004" s="27" t="e">
        <x:f>IF($A1004="","",IF(발령대장_설정!$B$6="","",발령대장_설정!$B$6))</x:f>
        <x:v>#NAME?</x:v>
      </x:c>
      <x:c r="H1004" s="27" t="e">
        <x:f>IF($A1004="","",IF(발령대장_설정!$B$7="","",발령대장_설정!$B$7))</x:f>
        <x:v>#NAME?</x:v>
      </x:c>
      <x:c r="I1004" s="27" t="e">
        <x:f>IF($A1004="","",IF(발령대장_설정!$B$8="","",발령대장_설정!$B$8))</x:f>
        <x:v>#NAME?</x:v>
      </x:c>
      <x:c r="J1004" s="27" t="str">
        <x:f>""</x:f>
      </x:c>
    </x:row>
    <x:row r="1005">
      <x:c r="A1005" s="26"/>
      <x:c r="B1005" s="27"/>
      <x:c r="C1005" s="27"/>
      <x:c r="D1005" s="27"/>
      <x:c r="E1005" s="27"/>
      <x:c r="F1005" s="27"/>
      <x:c r="G1005" s="27"/>
      <x:c r="H1005" s="27"/>
      <x:c r="I1005" s="27"/>
      <x:c r="J1005" s="27"/>
    </x:row>
    <x:row r="1006">
      <x:c r="A1006" s="26"/>
      <x:c r="B1006" s="27"/>
      <x:c r="C1006" s="27"/>
      <x:c r="D1006" s="27"/>
      <x:c r="E1006" s="27"/>
      <x:c r="F1006" s="27"/>
      <x:c r="G1006" s="27"/>
      <x:c r="H1006" s="27"/>
      <x:c r="I1006" s="27"/>
      <x:c r="J1006" s="27"/>
    </x:row>
    <x:row r="1007">
      <x:c r="A1007" s="26"/>
      <x:c r="B1007" s="27"/>
      <x:c r="C1007" s="27"/>
      <x:c r="D1007" s="27"/>
      <x:c r="E1007" s="27"/>
      <x:c r="F1007" s="27"/>
      <x:c r="G1007" s="27"/>
      <x:c r="H1007" s="27"/>
      <x:c r="I1007" s="27"/>
      <x:c r="J1007" s="27"/>
    </x:row>
    <x:row r="1008">
      <x:c r="A1008" s="26"/>
      <x:c r="B1008" s="27"/>
      <x:c r="C1008" s="27"/>
      <x:c r="D1008" s="27"/>
      <x:c r="E1008" s="27"/>
      <x:c r="F1008" s="27"/>
      <x:c r="G1008" s="27"/>
      <x:c r="H1008" s="27"/>
      <x:c r="I1008" s="27"/>
      <x:c r="J1008" s="27"/>
    </x:row>
    <x:row r="1009">
      <x:c r="A1009" s="26"/>
      <x:c r="B1009" s="27"/>
      <x:c r="C1009" s="27"/>
      <x:c r="D1009" s="27"/>
      <x:c r="E1009" s="27"/>
      <x:c r="F1009" s="27"/>
      <x:c r="G1009" s="27"/>
      <x:c r="H1009" s="27"/>
      <x:c r="I1009" s="27"/>
      <x:c r="J1009" s="27"/>
    </x:row>
    <x:row r="1010">
      <x:c r="A1010" s="26"/>
      <x:c r="B1010" s="27"/>
      <x:c r="C1010" s="27"/>
      <x:c r="D1010" s="27"/>
      <x:c r="E1010" s="27"/>
      <x:c r="F1010" s="27"/>
      <x:c r="G1010" s="27"/>
      <x:c r="H1010" s="27"/>
      <x:c r="I1010" s="27"/>
      <x:c r="J1010" s="27"/>
    </x:row>
    <x:row r="1011">
      <x:c r="A1011" s="26"/>
      <x:c r="B1011" s="27"/>
      <x:c r="C1011" s="27"/>
      <x:c r="D1011" s="27"/>
      <x:c r="E1011" s="27"/>
      <x:c r="F1011" s="27"/>
      <x:c r="G1011" s="27"/>
      <x:c r="H1011" s="27"/>
      <x:c r="I1011" s="27"/>
      <x:c r="J1011" s="27"/>
    </x:row>
    <x:row r="1012">
      <x:c r="A1012" s="26"/>
      <x:c r="B1012" s="27"/>
      <x:c r="C1012" s="27"/>
      <x:c r="D1012" s="27"/>
      <x:c r="E1012" s="27"/>
      <x:c r="F1012" s="27"/>
      <x:c r="G1012" s="27"/>
      <x:c r="H1012" s="27"/>
      <x:c r="I1012" s="27"/>
      <x:c r="J1012" s="27"/>
    </x:row>
    <x:row r="1013">
      <x:c r="A1013" s="26"/>
      <x:c r="B1013" s="27"/>
      <x:c r="C1013" s="27"/>
      <x:c r="D1013" s="27"/>
      <x:c r="E1013" s="27"/>
      <x:c r="F1013" s="27"/>
      <x:c r="G1013" s="27"/>
      <x:c r="H1013" s="27"/>
      <x:c r="I1013" s="27"/>
      <x:c r="J1013" s="27"/>
    </x:row>
    <x:row r="1014">
      <x:c r="A1014" s="26"/>
      <x:c r="B1014" s="27"/>
      <x:c r="C1014" s="27"/>
      <x:c r="D1014" s="27"/>
      <x:c r="E1014" s="27"/>
      <x:c r="F1014" s="27"/>
      <x:c r="G1014" s="27"/>
      <x:c r="H1014" s="27"/>
      <x:c r="I1014" s="27"/>
      <x:c r="J1014" s="27"/>
    </x:row>
    <x:row r="1015">
      <x:c r="A1015" s="26"/>
      <x:c r="B1015" s="27"/>
      <x:c r="C1015" s="27"/>
      <x:c r="D1015" s="27"/>
      <x:c r="E1015" s="27"/>
      <x:c r="F1015" s="27"/>
      <x:c r="G1015" s="27"/>
      <x:c r="H1015" s="27"/>
      <x:c r="I1015" s="27"/>
      <x:c r="J1015" s="27"/>
    </x:row>
    <x:row r="1016">
      <x:c r="A1016" s="26"/>
      <x:c r="B1016" s="27"/>
      <x:c r="C1016" s="27"/>
      <x:c r="D1016" s="27"/>
      <x:c r="E1016" s="27"/>
      <x:c r="F1016" s="27"/>
      <x:c r="G1016" s="27"/>
      <x:c r="H1016" s="27"/>
      <x:c r="I1016" s="27"/>
      <x:c r="J1016" s="27"/>
    </x:row>
    <x:row r="1017">
      <x:c r="A1017" s="26"/>
      <x:c r="B1017" s="27"/>
      <x:c r="C1017" s="27"/>
      <x:c r="D1017" s="27"/>
      <x:c r="E1017" s="27"/>
      <x:c r="F1017" s="27"/>
      <x:c r="G1017" s="27"/>
      <x:c r="H1017" s="27"/>
      <x:c r="I1017" s="27"/>
      <x:c r="J1017" s="27"/>
    </x:row>
    <x:row r="1018">
      <x:c r="A1018" s="26"/>
      <x:c r="B1018" s="27"/>
      <x:c r="C1018" s="27"/>
      <x:c r="D1018" s="27"/>
      <x:c r="E1018" s="27"/>
      <x:c r="F1018" s="27"/>
      <x:c r="G1018" s="27"/>
      <x:c r="H1018" s="27"/>
      <x:c r="I1018" s="27"/>
      <x:c r="J1018" s="27"/>
    </x:row>
    <x:row r="1019">
      <x:c r="A1019" s="26"/>
      <x:c r="B1019" s="27"/>
      <x:c r="C1019" s="27"/>
      <x:c r="D1019" s="27"/>
      <x:c r="E1019" s="27"/>
      <x:c r="F1019" s="27"/>
      <x:c r="G1019" s="27"/>
      <x:c r="H1019" s="27"/>
      <x:c r="I1019" s="27"/>
      <x:c r="J1019" s="27"/>
    </x:row>
    <x:row r="1020">
      <x:c r="A1020" s="26"/>
      <x:c r="B1020" s="27"/>
      <x:c r="C1020" s="27"/>
      <x:c r="D1020" s="27"/>
      <x:c r="E1020" s="27"/>
      <x:c r="F1020" s="27"/>
      <x:c r="G1020" s="27"/>
      <x:c r="H1020" s="27"/>
      <x:c r="I1020" s="27"/>
      <x:c r="J1020" s="27"/>
    </x:row>
    <x:row r="1021">
      <x:c r="A1021" s="26"/>
      <x:c r="B1021" s="27"/>
      <x:c r="C1021" s="27"/>
      <x:c r="D1021" s="27"/>
      <x:c r="E1021" s="27"/>
      <x:c r="F1021" s="27"/>
      <x:c r="G1021" s="27"/>
      <x:c r="H1021" s="27"/>
      <x:c r="I1021" s="27"/>
      <x:c r="J1021" s="27"/>
    </x:row>
    <x:row r="1022">
      <x:c r="A1022" s="26"/>
      <x:c r="B1022" s="27"/>
      <x:c r="C1022" s="27"/>
      <x:c r="D1022" s="27"/>
      <x:c r="E1022" s="27"/>
      <x:c r="F1022" s="27"/>
      <x:c r="G1022" s="27"/>
      <x:c r="H1022" s="27"/>
      <x:c r="I1022" s="27"/>
      <x:c r="J1022" s="27"/>
    </x:row>
    <x:row r="1023">
      <x:c r="A1023" s="26"/>
      <x:c r="B1023" s="27"/>
      <x:c r="C1023" s="27"/>
      <x:c r="D1023" s="27"/>
      <x:c r="E1023" s="27"/>
      <x:c r="F1023" s="27"/>
      <x:c r="G1023" s="27"/>
      <x:c r="H1023" s="27"/>
      <x:c r="I1023" s="27"/>
      <x:c r="J1023" s="27"/>
    </x:row>
    <x:row r="1024">
      <x:c r="A1024" s="26"/>
      <x:c r="B1024" s="27"/>
      <x:c r="C1024" s="27"/>
      <x:c r="D1024" s="27"/>
      <x:c r="E1024" s="27"/>
      <x:c r="F1024" s="27"/>
      <x:c r="G1024" s="27"/>
      <x:c r="H1024" s="27"/>
      <x:c r="I1024" s="27"/>
      <x:c r="J1024" s="27"/>
    </x:row>
    <x:row r="1025">
      <x:c r="A1025" s="26"/>
      <x:c r="B1025" s="27"/>
      <x:c r="C1025" s="27"/>
      <x:c r="D1025" s="27"/>
      <x:c r="E1025" s="27"/>
      <x:c r="F1025" s="27"/>
      <x:c r="G1025" s="27"/>
      <x:c r="H1025" s="27"/>
      <x:c r="I1025" s="27"/>
      <x:c r="J1025" s="27"/>
    </x:row>
    <x:row r="1026">
      <x:c r="A1026" s="26"/>
      <x:c r="B1026" s="27"/>
      <x:c r="C1026" s="27"/>
      <x:c r="D1026" s="27"/>
      <x:c r="E1026" s="27"/>
      <x:c r="F1026" s="27"/>
      <x:c r="G1026" s="27"/>
      <x:c r="H1026" s="27"/>
      <x:c r="I1026" s="27"/>
      <x:c r="J1026" s="27"/>
    </x:row>
    <x:row r="1027">
      <x:c r="A1027" s="26"/>
      <x:c r="B1027" s="27"/>
      <x:c r="C1027" s="27"/>
      <x:c r="D1027" s="27"/>
      <x:c r="E1027" s="27"/>
      <x:c r="F1027" s="27"/>
      <x:c r="G1027" s="27"/>
      <x:c r="H1027" s="27"/>
      <x:c r="I1027" s="27"/>
      <x:c r="J1027" s="27"/>
    </x:row>
    <x:row r="1028">
      <x:c r="A1028" s="26"/>
      <x:c r="B1028" s="27"/>
      <x:c r="C1028" s="27"/>
      <x:c r="D1028" s="27"/>
      <x:c r="E1028" s="27"/>
      <x:c r="F1028" s="27"/>
      <x:c r="G1028" s="27"/>
      <x:c r="H1028" s="27"/>
      <x:c r="I1028" s="27"/>
      <x:c r="J1028" s="27"/>
    </x:row>
    <x:row r="1029">
      <x:c r="A1029" s="26"/>
      <x:c r="B1029" s="27"/>
      <x:c r="C1029" s="27"/>
      <x:c r="D1029" s="27"/>
      <x:c r="E1029" s="27"/>
      <x:c r="F1029" s="27"/>
      <x:c r="G1029" s="27"/>
      <x:c r="H1029" s="27"/>
      <x:c r="I1029" s="27"/>
      <x:c r="J1029" s="27"/>
    </x:row>
    <x:row r="1030">
      <x:c r="A1030" s="26"/>
      <x:c r="B1030" s="27"/>
      <x:c r="C1030" s="27"/>
      <x:c r="D1030" s="27"/>
      <x:c r="E1030" s="27"/>
      <x:c r="F1030" s="27"/>
      <x:c r="G1030" s="27"/>
      <x:c r="H1030" s="27"/>
      <x:c r="I1030" s="27"/>
      <x:c r="J1030" s="27"/>
    </x:row>
    <x:row r="1031">
      <x:c r="A1031" s="26"/>
      <x:c r="B1031" s="27"/>
      <x:c r="C1031" s="27"/>
      <x:c r="D1031" s="27"/>
      <x:c r="E1031" s="27"/>
      <x:c r="F1031" s="27"/>
      <x:c r="G1031" s="27"/>
      <x:c r="H1031" s="27"/>
      <x:c r="I1031" s="27"/>
      <x:c r="J1031" s="27"/>
    </x:row>
    <x:row r="1032">
      <x:c r="A1032" s="26"/>
      <x:c r="B1032" s="27"/>
      <x:c r="C1032" s="27"/>
      <x:c r="D1032" s="27"/>
      <x:c r="E1032" s="27"/>
      <x:c r="F1032" s="27"/>
      <x:c r="G1032" s="27"/>
      <x:c r="H1032" s="27"/>
      <x:c r="I1032" s="27"/>
      <x:c r="J1032" s="27"/>
    </x:row>
    <x:row r="1033">
      <x:c r="A1033" s="26"/>
      <x:c r="B1033" s="27"/>
      <x:c r="C1033" s="27"/>
      <x:c r="D1033" s="27"/>
      <x:c r="E1033" s="27"/>
      <x:c r="F1033" s="27"/>
      <x:c r="G1033" s="27"/>
      <x:c r="H1033" s="27"/>
      <x:c r="I1033" s="27"/>
      <x:c r="J1033" s="27"/>
    </x:row>
    <x:row r="1034">
      <x:c r="A1034" s="26"/>
      <x:c r="B1034" s="27"/>
      <x:c r="C1034" s="27"/>
      <x:c r="D1034" s="27"/>
      <x:c r="E1034" s="27"/>
      <x:c r="F1034" s="27"/>
      <x:c r="G1034" s="27"/>
      <x:c r="H1034" s="27"/>
      <x:c r="I1034" s="27"/>
      <x:c r="J1034" s="27"/>
    </x:row>
    <x:row r="1035">
      <x:c r="A1035" s="26"/>
      <x:c r="B1035" s="27"/>
      <x:c r="C1035" s="27"/>
      <x:c r="D1035" s="27"/>
      <x:c r="E1035" s="27"/>
      <x:c r="F1035" s="27"/>
      <x:c r="G1035" s="27"/>
      <x:c r="H1035" s="27"/>
      <x:c r="I1035" s="27"/>
      <x:c r="J1035" s="27"/>
    </x:row>
    <x:row r="1036">
      <x:c r="A1036" s="26"/>
      <x:c r="B1036" s="27"/>
      <x:c r="C1036" s="27"/>
      <x:c r="D1036" s="27"/>
      <x:c r="E1036" s="27"/>
      <x:c r="F1036" s="27"/>
      <x:c r="G1036" s="27"/>
      <x:c r="H1036" s="27"/>
      <x:c r="I1036" s="27"/>
      <x:c r="J1036" s="27"/>
    </x:row>
    <x:row r="1037">
      <x:c r="A1037" s="26"/>
      <x:c r="B1037" s="27"/>
      <x:c r="C1037" s="27"/>
      <x:c r="D1037" s="27"/>
      <x:c r="E1037" s="27"/>
      <x:c r="F1037" s="27"/>
      <x:c r="G1037" s="27"/>
      <x:c r="H1037" s="27"/>
      <x:c r="I1037" s="27"/>
      <x:c r="J1037" s="27"/>
    </x:row>
    <x:row r="1038">
      <x:c r="A1038" s="26"/>
      <x:c r="B1038" s="27"/>
      <x:c r="C1038" s="27"/>
      <x:c r="D1038" s="27"/>
      <x:c r="E1038" s="27"/>
      <x:c r="F1038" s="27"/>
      <x:c r="G1038" s="27"/>
      <x:c r="H1038" s="27"/>
      <x:c r="I1038" s="27"/>
      <x:c r="J1038" s="27"/>
    </x:row>
    <x:row r="1039">
      <x:c r="A1039" s="26"/>
      <x:c r="B1039" s="27"/>
      <x:c r="C1039" s="27"/>
      <x:c r="D1039" s="27"/>
      <x:c r="E1039" s="27"/>
      <x:c r="F1039" s="27"/>
      <x:c r="G1039" s="27"/>
      <x:c r="H1039" s="27"/>
      <x:c r="I1039" s="27"/>
      <x:c r="J1039" s="27"/>
    </x:row>
    <x:row r="1040">
      <x:c r="A1040" s="26"/>
      <x:c r="B1040" s="27"/>
      <x:c r="C1040" s="27"/>
      <x:c r="D1040" s="27"/>
      <x:c r="E1040" s="27"/>
      <x:c r="F1040" s="27"/>
      <x:c r="G1040" s="27"/>
      <x:c r="H1040" s="27"/>
      <x:c r="I1040" s="27"/>
      <x:c r="J1040" s="27"/>
    </x:row>
    <x:row r="1041">
      <x:c r="A1041" s="26"/>
      <x:c r="B1041" s="27"/>
      <x:c r="C1041" s="27"/>
      <x:c r="D1041" s="27"/>
      <x:c r="E1041" s="27"/>
      <x:c r="F1041" s="27"/>
      <x:c r="G1041" s="27"/>
      <x:c r="H1041" s="27"/>
      <x:c r="I1041" s="27"/>
      <x:c r="J1041" s="27"/>
    </x:row>
    <x:row r="1042">
      <x:c r="A1042" s="26"/>
      <x:c r="B1042" s="27"/>
      <x:c r="C1042" s="27"/>
      <x:c r="D1042" s="27"/>
      <x:c r="E1042" s="27"/>
      <x:c r="F1042" s="27"/>
      <x:c r="G1042" s="27"/>
      <x:c r="H1042" s="27"/>
      <x:c r="I1042" s="27"/>
      <x:c r="J1042" s="27"/>
    </x:row>
    <x:row r="1043">
      <x:c r="A1043" s="26"/>
      <x:c r="B1043" s="27"/>
      <x:c r="C1043" s="27"/>
      <x:c r="D1043" s="27"/>
      <x:c r="E1043" s="27"/>
      <x:c r="F1043" s="27"/>
      <x:c r="G1043" s="27"/>
      <x:c r="H1043" s="27"/>
      <x:c r="I1043" s="27"/>
      <x:c r="J1043" s="27"/>
    </x:row>
    <x:row r="1044">
      <x:c r="A1044" s="26"/>
      <x:c r="B1044" s="27"/>
      <x:c r="C1044" s="27"/>
      <x:c r="D1044" s="27"/>
      <x:c r="E1044" s="27"/>
      <x:c r="F1044" s="27"/>
      <x:c r="G1044" s="27"/>
      <x:c r="H1044" s="27"/>
      <x:c r="I1044" s="27"/>
      <x:c r="J1044" s="27"/>
    </x:row>
    <x:row r="1045">
      <x:c r="A1045" s="26"/>
      <x:c r="B1045" s="27"/>
      <x:c r="C1045" s="27"/>
      <x:c r="D1045" s="27"/>
      <x:c r="E1045" s="27"/>
      <x:c r="F1045" s="27"/>
      <x:c r="G1045" s="27"/>
      <x:c r="H1045" s="27"/>
      <x:c r="I1045" s="27"/>
      <x:c r="J1045" s="27"/>
    </x:row>
    <x:row r="1046">
      <x:c r="A1046" s="26"/>
      <x:c r="B1046" s="27"/>
      <x:c r="C1046" s="27"/>
      <x:c r="D1046" s="27"/>
      <x:c r="E1046" s="27"/>
      <x:c r="F1046" s="27"/>
      <x:c r="G1046" s="27"/>
      <x:c r="H1046" s="27"/>
      <x:c r="I1046" s="27"/>
      <x:c r="J1046" s="27"/>
    </x:row>
    <x:row r="1047">
      <x:c r="A1047" s="26"/>
      <x:c r="B1047" s="27"/>
      <x:c r="C1047" s="27"/>
      <x:c r="D1047" s="27"/>
      <x:c r="E1047" s="27"/>
      <x:c r="F1047" s="27"/>
      <x:c r="G1047" s="27"/>
      <x:c r="H1047" s="27"/>
      <x:c r="I1047" s="27"/>
      <x:c r="J1047" s="27"/>
    </x:row>
    <x:row r="1048">
      <x:c r="A1048" s="26"/>
      <x:c r="B1048" s="27"/>
      <x:c r="C1048" s="27"/>
      <x:c r="D1048" s="27"/>
      <x:c r="E1048" s="27"/>
      <x:c r="F1048" s="27"/>
      <x:c r="G1048" s="27"/>
      <x:c r="H1048" s="27"/>
      <x:c r="I1048" s="27"/>
      <x:c r="J1048" s="27"/>
    </x:row>
    <x:row r="1049">
      <x:c r="A1049" s="26"/>
      <x:c r="B1049" s="27"/>
      <x:c r="C1049" s="27"/>
      <x:c r="D1049" s="27"/>
      <x:c r="E1049" s="27"/>
      <x:c r="F1049" s="27"/>
      <x:c r="G1049" s="27"/>
      <x:c r="H1049" s="27"/>
      <x:c r="I1049" s="27"/>
      <x:c r="J1049" s="27"/>
    </x:row>
    <x:row r="1050">
      <x:c r="A1050" s="26"/>
      <x:c r="B1050" s="27"/>
      <x:c r="C1050" s="27"/>
      <x:c r="D1050" s="27"/>
      <x:c r="E1050" s="27"/>
      <x:c r="F1050" s="27"/>
      <x:c r="G1050" s="27"/>
      <x:c r="H1050" s="27"/>
      <x:c r="I1050" s="27"/>
      <x:c r="J1050" s="27"/>
    </x:row>
    <x:row r="1051">
      <x:c r="A1051" s="26"/>
      <x:c r="B1051" s="27"/>
      <x:c r="C1051" s="27"/>
      <x:c r="D1051" s="27"/>
      <x:c r="E1051" s="27"/>
      <x:c r="F1051" s="27"/>
      <x:c r="G1051" s="27"/>
      <x:c r="H1051" s="27"/>
      <x:c r="I1051" s="27"/>
      <x:c r="J1051" s="27"/>
    </x:row>
    <x:row r="1052">
      <x:c r="A1052" s="26"/>
      <x:c r="B1052" s="27"/>
      <x:c r="C1052" s="27"/>
      <x:c r="D1052" s="27"/>
      <x:c r="E1052" s="27"/>
      <x:c r="F1052" s="27"/>
      <x:c r="G1052" s="27"/>
      <x:c r="H1052" s="27"/>
      <x:c r="I1052" s="27"/>
      <x:c r="J1052" s="27"/>
    </x:row>
    <x:row r="1053">
      <x:c r="A1053" s="26"/>
      <x:c r="B1053" s="27"/>
      <x:c r="C1053" s="27"/>
      <x:c r="D1053" s="27"/>
      <x:c r="E1053" s="27"/>
      <x:c r="F1053" s="27"/>
      <x:c r="G1053" s="27"/>
      <x:c r="H1053" s="27"/>
      <x:c r="I1053" s="27"/>
      <x:c r="J1053" s="27"/>
    </x:row>
    <x:row r="1054">
      <x:c r="A1054" s="26"/>
      <x:c r="B1054" s="27"/>
      <x:c r="C1054" s="27"/>
      <x:c r="D1054" s="27"/>
      <x:c r="E1054" s="27"/>
      <x:c r="F1054" s="27"/>
      <x:c r="G1054" s="27"/>
      <x:c r="H1054" s="27"/>
      <x:c r="I1054" s="27"/>
      <x:c r="J1054" s="27"/>
    </x:row>
    <x:row r="1055">
      <x:c r="A1055" s="26"/>
      <x:c r="B1055" s="27"/>
      <x:c r="C1055" s="27"/>
      <x:c r="D1055" s="27"/>
      <x:c r="E1055" s="27"/>
      <x:c r="F1055" s="27"/>
      <x:c r="G1055" s="27"/>
      <x:c r="H1055" s="27"/>
      <x:c r="I1055" s="27"/>
      <x:c r="J1055" s="27"/>
    </x:row>
    <x:row r="1056">
      <x:c r="A1056" s="26"/>
      <x:c r="B1056" s="27"/>
      <x:c r="C1056" s="27"/>
      <x:c r="D1056" s="27"/>
      <x:c r="E1056" s="27"/>
      <x:c r="F1056" s="27"/>
      <x:c r="G1056" s="27"/>
      <x:c r="H1056" s="27"/>
      <x:c r="I1056" s="27"/>
      <x:c r="J1056" s="27"/>
    </x:row>
    <x:row r="1057">
      <x:c r="A1057" s="26"/>
      <x:c r="B1057" s="27"/>
      <x:c r="C1057" s="27"/>
      <x:c r="D1057" s="27"/>
      <x:c r="E1057" s="27"/>
      <x:c r="F1057" s="27"/>
      <x:c r="G1057" s="27"/>
      <x:c r="H1057" s="27"/>
      <x:c r="I1057" s="27"/>
      <x:c r="J1057" s="27"/>
    </x:row>
    <x:row r="1058">
      <x:c r="A1058" s="26"/>
      <x:c r="B1058" s="27"/>
      <x:c r="C1058" s="27"/>
      <x:c r="D1058" s="27"/>
      <x:c r="E1058" s="27"/>
      <x:c r="F1058" s="27"/>
      <x:c r="G1058" s="27"/>
      <x:c r="H1058" s="27"/>
      <x:c r="I1058" s="27"/>
      <x:c r="J1058" s="27"/>
    </x:row>
    <x:row r="1059">
      <x:c r="A1059" s="26"/>
      <x:c r="B1059" s="27"/>
      <x:c r="C1059" s="27"/>
      <x:c r="D1059" s="27"/>
      <x:c r="E1059" s="27"/>
      <x:c r="F1059" s="27"/>
      <x:c r="G1059" s="27"/>
      <x:c r="H1059" s="27"/>
      <x:c r="I1059" s="27"/>
      <x:c r="J1059" s="27"/>
    </x:row>
    <x:row r="1060">
      <x:c r="A1060" s="26"/>
      <x:c r="B1060" s="27"/>
      <x:c r="C1060" s="27"/>
      <x:c r="D1060" s="27"/>
      <x:c r="E1060" s="27"/>
      <x:c r="F1060" s="27"/>
      <x:c r="G1060" s="27"/>
      <x:c r="H1060" s="27"/>
      <x:c r="I1060" s="27"/>
      <x:c r="J1060" s="27"/>
    </x:row>
    <x:row r="1061">
      <x:c r="A1061" s="26"/>
      <x:c r="B1061" s="27"/>
      <x:c r="C1061" s="27"/>
      <x:c r="D1061" s="27"/>
      <x:c r="E1061" s="27"/>
      <x:c r="F1061" s="27"/>
      <x:c r="G1061" s="27"/>
      <x:c r="H1061" s="27"/>
      <x:c r="I1061" s="27"/>
      <x:c r="J1061" s="27"/>
    </x:row>
    <x:row r="1062">
      <x:c r="A1062" s="26"/>
      <x:c r="B1062" s="27"/>
      <x:c r="C1062" s="27"/>
      <x:c r="D1062" s="27"/>
      <x:c r="E1062" s="27"/>
      <x:c r="F1062" s="27"/>
      <x:c r="G1062" s="27"/>
      <x:c r="H1062" s="27"/>
      <x:c r="I1062" s="27"/>
      <x:c r="J1062" s="27"/>
    </x:row>
    <x:row r="1063">
      <x:c r="A1063" s="26"/>
      <x:c r="B1063" s="27"/>
      <x:c r="C1063" s="27"/>
      <x:c r="D1063" s="27"/>
      <x:c r="E1063" s="27"/>
      <x:c r="F1063" s="27"/>
      <x:c r="G1063" s="27"/>
      <x:c r="H1063" s="27"/>
      <x:c r="I1063" s="27"/>
      <x:c r="J1063" s="27"/>
    </x:row>
    <x:row r="1064">
      <x:c r="A1064" s="26"/>
      <x:c r="B1064" s="27"/>
      <x:c r="C1064" s="27"/>
      <x:c r="D1064" s="27"/>
      <x:c r="E1064" s="27"/>
      <x:c r="F1064" s="27"/>
      <x:c r="G1064" s="27"/>
      <x:c r="H1064" s="27"/>
      <x:c r="I1064" s="27"/>
      <x:c r="J1064" s="27"/>
    </x:row>
    <x:row r="1065">
      <x:c r="A1065" s="26"/>
      <x:c r="B1065" s="27"/>
      <x:c r="C1065" s="27"/>
      <x:c r="D1065" s="27"/>
      <x:c r="E1065" s="27"/>
      <x:c r="F1065" s="27"/>
      <x:c r="G1065" s="27"/>
      <x:c r="H1065" s="27"/>
      <x:c r="I1065" s="27"/>
      <x:c r="J1065" s="27"/>
    </x:row>
    <x:row r="1066">
      <x:c r="A1066" s="26"/>
      <x:c r="B1066" s="27"/>
      <x:c r="C1066" s="27"/>
      <x:c r="D1066" s="27"/>
      <x:c r="E1066" s="27"/>
      <x:c r="F1066" s="27"/>
      <x:c r="G1066" s="27"/>
      <x:c r="H1066" s="27"/>
      <x:c r="I1066" s="27"/>
      <x:c r="J1066" s="27"/>
    </x:row>
    <x:row r="1067">
      <x:c r="A1067" s="26"/>
      <x:c r="B1067" s="27"/>
      <x:c r="C1067" s="27"/>
      <x:c r="D1067" s="27"/>
      <x:c r="E1067" s="27"/>
      <x:c r="F1067" s="27"/>
      <x:c r="G1067" s="27"/>
      <x:c r="H1067" s="27"/>
      <x:c r="I1067" s="27"/>
      <x:c r="J1067" s="27"/>
    </x:row>
    <x:row r="1068">
      <x:c r="A1068" s="26"/>
      <x:c r="B1068" s="27"/>
      <x:c r="C1068" s="27"/>
      <x:c r="D1068" s="27"/>
      <x:c r="E1068" s="27"/>
      <x:c r="F1068" s="27"/>
      <x:c r="G1068" s="27"/>
      <x:c r="H1068" s="27"/>
      <x:c r="I1068" s="27"/>
      <x:c r="J1068" s="27"/>
    </x:row>
    <x:row r="1069">
      <x:c r="A1069" s="26"/>
      <x:c r="B1069" s="27"/>
      <x:c r="C1069" s="27"/>
      <x:c r="D1069" s="27"/>
      <x:c r="E1069" s="27"/>
      <x:c r="F1069" s="27"/>
      <x:c r="G1069" s="27"/>
      <x:c r="H1069" s="27"/>
      <x:c r="I1069" s="27"/>
      <x:c r="J1069" s="27"/>
    </x:row>
    <x:row r="1070">
      <x:c r="A1070" s="26"/>
      <x:c r="B1070" s="27"/>
      <x:c r="C1070" s="27"/>
      <x:c r="D1070" s="27"/>
      <x:c r="E1070" s="27"/>
      <x:c r="F1070" s="27"/>
      <x:c r="G1070" s="27"/>
      <x:c r="H1070" s="27"/>
      <x:c r="I1070" s="27"/>
      <x:c r="J1070" s="27"/>
    </x:row>
    <x:row r="1071">
      <x:c r="A1071" s="26"/>
      <x:c r="B1071" s="27"/>
      <x:c r="C1071" s="27"/>
      <x:c r="D1071" s="27"/>
      <x:c r="E1071" s="27"/>
      <x:c r="F1071" s="27"/>
      <x:c r="G1071" s="27"/>
      <x:c r="H1071" s="27"/>
      <x:c r="I1071" s="27"/>
      <x:c r="J1071" s="27"/>
    </x:row>
    <x:row r="1072">
      <x:c r="A1072" s="26"/>
      <x:c r="B1072" s="27"/>
      <x:c r="C1072" s="27"/>
      <x:c r="D1072" s="27"/>
      <x:c r="E1072" s="27"/>
      <x:c r="F1072" s="27"/>
      <x:c r="G1072" s="27"/>
      <x:c r="H1072" s="27"/>
      <x:c r="I1072" s="27"/>
      <x:c r="J1072" s="27"/>
    </x:row>
    <x:row r="1073">
      <x:c r="A1073" s="26"/>
      <x:c r="B1073" s="27"/>
      <x:c r="C1073" s="27"/>
      <x:c r="D1073" s="27"/>
      <x:c r="E1073" s="27"/>
      <x:c r="F1073" s="27"/>
      <x:c r="G1073" s="27"/>
      <x:c r="H1073" s="27"/>
      <x:c r="I1073" s="27"/>
      <x:c r="J1073" s="27"/>
    </x:row>
    <x:row r="1074">
      <x:c r="A1074" s="26"/>
      <x:c r="B1074" s="27"/>
      <x:c r="C1074" s="27"/>
      <x:c r="D1074" s="27"/>
      <x:c r="E1074" s="27"/>
      <x:c r="F1074" s="27"/>
      <x:c r="G1074" s="27"/>
      <x:c r="H1074" s="27"/>
      <x:c r="I1074" s="27"/>
      <x:c r="J1074" s="27"/>
    </x:row>
    <x:row r="1075">
      <x:c r="A1075" s="26"/>
      <x:c r="B1075" s="27"/>
      <x:c r="C1075" s="27"/>
      <x:c r="D1075" s="27"/>
      <x:c r="E1075" s="27"/>
      <x:c r="F1075" s="27"/>
      <x:c r="G1075" s="27"/>
      <x:c r="H1075" s="27"/>
      <x:c r="I1075" s="27"/>
      <x:c r="J1075" s="27"/>
    </x:row>
    <x:row r="1076">
      <x:c r="A1076" s="26"/>
      <x:c r="B1076" s="27"/>
      <x:c r="C1076" s="27"/>
      <x:c r="D1076" s="27"/>
      <x:c r="E1076" s="27"/>
      <x:c r="F1076" s="27"/>
      <x:c r="G1076" s="27"/>
      <x:c r="H1076" s="27"/>
      <x:c r="I1076" s="27"/>
      <x:c r="J1076" s="27"/>
    </x:row>
    <x:row r="1077">
      <x:c r="A1077" s="26"/>
      <x:c r="B1077" s="27"/>
      <x:c r="C1077" s="27"/>
      <x:c r="D1077" s="27"/>
      <x:c r="E1077" s="27"/>
      <x:c r="F1077" s="27"/>
      <x:c r="G1077" s="27"/>
      <x:c r="H1077" s="27"/>
      <x:c r="I1077" s="27"/>
      <x:c r="J1077" s="27"/>
    </x:row>
    <x:row r="1078">
      <x:c r="A1078" s="26"/>
      <x:c r="B1078" s="27"/>
      <x:c r="C1078" s="27"/>
      <x:c r="D1078" s="27"/>
      <x:c r="E1078" s="27"/>
      <x:c r="F1078" s="27"/>
      <x:c r="G1078" s="27"/>
      <x:c r="H1078" s="27"/>
      <x:c r="I1078" s="27"/>
      <x:c r="J1078" s="27"/>
    </x:row>
    <x:row r="1079">
      <x:c r="A1079" s="26"/>
      <x:c r="B1079" s="27"/>
      <x:c r="C1079" s="27"/>
      <x:c r="D1079" s="27"/>
      <x:c r="E1079" s="27"/>
      <x:c r="F1079" s="27"/>
      <x:c r="G1079" s="27"/>
      <x:c r="H1079" s="27"/>
      <x:c r="I1079" s="27"/>
      <x:c r="J1079" s="27"/>
    </x:row>
    <x:row r="1080">
      <x:c r="A1080" s="26"/>
      <x:c r="B1080" s="27"/>
      <x:c r="C1080" s="27"/>
      <x:c r="D1080" s="27"/>
      <x:c r="E1080" s="27"/>
      <x:c r="F1080" s="27"/>
      <x:c r="G1080" s="27"/>
      <x:c r="H1080" s="27"/>
      <x:c r="I1080" s="27"/>
      <x:c r="J1080" s="27"/>
    </x:row>
    <x:row r="1081">
      <x:c r="A1081" s="26"/>
      <x:c r="B1081" s="27"/>
      <x:c r="C1081" s="27"/>
      <x:c r="D1081" s="27"/>
      <x:c r="E1081" s="27"/>
      <x:c r="F1081" s="27"/>
      <x:c r="G1081" s="27"/>
      <x:c r="H1081" s="27"/>
      <x:c r="I1081" s="27"/>
      <x:c r="J1081" s="27"/>
    </x:row>
    <x:row r="1082">
      <x:c r="A1082" s="26"/>
      <x:c r="B1082" s="27"/>
      <x:c r="C1082" s="27"/>
      <x:c r="D1082" s="27"/>
      <x:c r="E1082" s="27"/>
      <x:c r="F1082" s="27"/>
      <x:c r="G1082" s="27"/>
      <x:c r="H1082" s="27"/>
      <x:c r="I1082" s="27"/>
      <x:c r="J1082" s="27"/>
    </x:row>
    <x:row r="1083">
      <x:c r="A1083" s="26"/>
      <x:c r="B1083" s="27"/>
      <x:c r="C1083" s="27"/>
      <x:c r="D1083" s="27"/>
      <x:c r="E1083" s="27"/>
      <x:c r="F1083" s="27"/>
      <x:c r="G1083" s="27"/>
      <x:c r="H1083" s="27"/>
      <x:c r="I1083" s="27"/>
      <x:c r="J1083" s="27"/>
    </x:row>
    <x:row r="1084">
      <x:c r="A1084" s="26"/>
      <x:c r="B1084" s="27"/>
      <x:c r="C1084" s="27"/>
      <x:c r="D1084" s="27"/>
      <x:c r="E1084" s="27"/>
      <x:c r="F1084" s="27"/>
      <x:c r="G1084" s="27"/>
      <x:c r="H1084" s="27"/>
      <x:c r="I1084" s="27"/>
      <x:c r="J1084" s="27"/>
    </x:row>
    <x:row r="1085">
      <x:c r="A1085" s="26"/>
      <x:c r="B1085" s="27"/>
      <x:c r="C1085" s="27"/>
      <x:c r="D1085" s="27"/>
      <x:c r="E1085" s="27"/>
      <x:c r="F1085" s="27"/>
      <x:c r="G1085" s="27"/>
      <x:c r="H1085" s="27"/>
      <x:c r="I1085" s="27"/>
      <x:c r="J1085" s="27"/>
    </x:row>
    <x:row r="1086">
      <x:c r="A1086" s="26"/>
      <x:c r="B1086" s="27"/>
      <x:c r="C1086" s="27"/>
      <x:c r="D1086" s="27"/>
      <x:c r="E1086" s="27"/>
      <x:c r="F1086" s="27"/>
      <x:c r="G1086" s="27"/>
      <x:c r="H1086" s="27"/>
      <x:c r="I1086" s="27"/>
      <x:c r="J1086" s="27"/>
    </x:row>
    <x:row r="1087">
      <x:c r="A1087" s="26"/>
      <x:c r="B1087" s="27"/>
      <x:c r="C1087" s="27"/>
      <x:c r="D1087" s="27"/>
      <x:c r="E1087" s="27"/>
      <x:c r="F1087" s="27"/>
      <x:c r="G1087" s="27"/>
      <x:c r="H1087" s="27"/>
      <x:c r="I1087" s="27"/>
      <x:c r="J1087" s="27"/>
    </x:row>
    <x:row r="1088">
      <x:c r="A1088" s="26"/>
      <x:c r="B1088" s="27"/>
      <x:c r="C1088" s="27"/>
      <x:c r="D1088" s="27"/>
      <x:c r="E1088" s="27"/>
      <x:c r="F1088" s="27"/>
      <x:c r="G1088" s="27"/>
      <x:c r="H1088" s="27"/>
      <x:c r="I1088" s="27"/>
      <x:c r="J1088" s="27"/>
    </x:row>
    <x:row r="1089">
      <x:c r="A1089" s="26"/>
      <x:c r="B1089" s="27"/>
      <x:c r="C1089" s="27"/>
      <x:c r="D1089" s="27"/>
      <x:c r="E1089" s="27"/>
      <x:c r="F1089" s="27"/>
      <x:c r="G1089" s="27"/>
      <x:c r="H1089" s="27"/>
      <x:c r="I1089" s="27"/>
      <x:c r="J1089" s="27"/>
    </x:row>
    <x:row r="1090">
      <x:c r="A1090" s="26"/>
      <x:c r="B1090" s="27"/>
      <x:c r="C1090" s="27"/>
      <x:c r="D1090" s="27"/>
      <x:c r="E1090" s="27"/>
      <x:c r="F1090" s="27"/>
      <x:c r="G1090" s="27"/>
      <x:c r="H1090" s="27"/>
      <x:c r="I1090" s="27"/>
      <x:c r="J1090" s="27"/>
    </x:row>
    <x:row r="1091">
      <x:c r="A1091" s="26"/>
      <x:c r="B1091" s="27"/>
      <x:c r="C1091" s="27"/>
      <x:c r="D1091" s="27"/>
      <x:c r="E1091" s="27"/>
      <x:c r="F1091" s="27"/>
      <x:c r="G1091" s="27"/>
      <x:c r="H1091" s="27"/>
      <x:c r="I1091" s="27"/>
      <x:c r="J1091" s="27"/>
    </x:row>
    <x:row r="1092">
      <x:c r="A1092" s="26"/>
      <x:c r="B1092" s="27"/>
      <x:c r="C1092" s="27"/>
      <x:c r="D1092" s="27"/>
      <x:c r="E1092" s="27"/>
      <x:c r="F1092" s="27"/>
      <x:c r="G1092" s="27"/>
      <x:c r="H1092" s="27"/>
      <x:c r="I1092" s="27"/>
      <x:c r="J1092" s="27"/>
    </x:row>
    <x:row r="1093">
      <x:c r="A1093" s="26"/>
      <x:c r="B1093" s="27"/>
      <x:c r="C1093" s="27"/>
      <x:c r="D1093" s="27"/>
      <x:c r="E1093" s="27"/>
      <x:c r="F1093" s="27"/>
      <x:c r="G1093" s="27"/>
      <x:c r="H1093" s="27"/>
      <x:c r="I1093" s="27"/>
      <x:c r="J1093" s="27"/>
    </x:row>
    <x:row r="1094">
      <x:c r="A1094" s="26"/>
      <x:c r="B1094" s="27"/>
      <x:c r="C1094" s="27"/>
      <x:c r="D1094" s="27"/>
      <x:c r="E1094" s="27"/>
      <x:c r="F1094" s="27"/>
      <x:c r="G1094" s="27"/>
      <x:c r="H1094" s="27"/>
      <x:c r="I1094" s="27"/>
      <x:c r="J1094" s="27"/>
    </x:row>
    <x:row r="1095">
      <x:c r="A1095" s="26"/>
      <x:c r="B1095" s="27"/>
      <x:c r="C1095" s="27"/>
      <x:c r="D1095" s="27"/>
      <x:c r="E1095" s="27"/>
      <x:c r="F1095" s="27"/>
      <x:c r="G1095" s="27"/>
      <x:c r="H1095" s="27"/>
      <x:c r="I1095" s="27"/>
      <x:c r="J1095" s="27"/>
    </x:row>
    <x:row r="1096">
      <x:c r="A1096" s="26"/>
      <x:c r="B1096" s="27"/>
      <x:c r="C1096" s="27"/>
      <x:c r="D1096" s="27"/>
      <x:c r="E1096" s="27"/>
      <x:c r="F1096" s="27"/>
      <x:c r="G1096" s="27"/>
      <x:c r="H1096" s="27"/>
      <x:c r="I1096" s="27"/>
      <x:c r="J1096" s="27"/>
    </x:row>
    <x:row r="1097">
      <x:c r="A1097" s="26"/>
      <x:c r="B1097" s="27"/>
      <x:c r="C1097" s="27"/>
      <x:c r="D1097" s="27"/>
      <x:c r="E1097" s="27"/>
      <x:c r="F1097" s="27"/>
      <x:c r="G1097" s="27"/>
      <x:c r="H1097" s="27"/>
      <x:c r="I1097" s="27"/>
      <x:c r="J1097" s="27"/>
    </x:row>
    <x:row r="1098">
      <x:c r="A1098" s="26"/>
      <x:c r="B1098" s="27"/>
      <x:c r="C1098" s="27"/>
      <x:c r="D1098" s="27"/>
      <x:c r="E1098" s="27"/>
      <x:c r="F1098" s="27"/>
      <x:c r="G1098" s="27"/>
      <x:c r="H1098" s="27"/>
      <x:c r="I1098" s="27"/>
      <x:c r="J1098" s="27"/>
    </x:row>
    <x:row r="1099">
      <x:c r="A1099" s="26"/>
      <x:c r="B1099" s="27"/>
      <x:c r="C1099" s="27"/>
      <x:c r="D1099" s="27"/>
      <x:c r="E1099" s="27"/>
      <x:c r="F1099" s="27"/>
      <x:c r="G1099" s="27"/>
      <x:c r="H1099" s="27"/>
      <x:c r="I1099" s="27"/>
      <x:c r="J1099" s="27"/>
    </x:row>
    <x:row r="1100">
      <x:c r="A1100" s="26"/>
      <x:c r="B1100" s="27"/>
      <x:c r="C1100" s="27"/>
      <x:c r="D1100" s="27"/>
      <x:c r="E1100" s="27"/>
      <x:c r="F1100" s="27"/>
      <x:c r="G1100" s="27"/>
      <x:c r="H1100" s="27"/>
      <x:c r="I1100" s="27"/>
      <x:c r="J1100" s="27"/>
    </x:row>
    <x:row r="1101">
      <x:c r="A1101" s="26"/>
      <x:c r="B1101" s="27"/>
      <x:c r="C1101" s="27"/>
      <x:c r="D1101" s="27"/>
      <x:c r="E1101" s="27"/>
      <x:c r="F1101" s="27"/>
      <x:c r="G1101" s="27"/>
      <x:c r="H1101" s="27"/>
      <x:c r="I1101" s="27"/>
      <x:c r="J1101" s="27"/>
    </x:row>
    <x:row r="1102">
      <x:c r="A1102" s="26"/>
      <x:c r="B1102" s="27"/>
      <x:c r="C1102" s="27"/>
      <x:c r="D1102" s="27"/>
      <x:c r="E1102" s="27"/>
      <x:c r="F1102" s="27"/>
      <x:c r="G1102" s="27"/>
      <x:c r="H1102" s="27"/>
      <x:c r="I1102" s="27"/>
      <x:c r="J1102" s="27"/>
    </x:row>
    <x:row r="1103">
      <x:c r="A1103" s="26"/>
      <x:c r="B1103" s="27"/>
      <x:c r="C1103" s="27"/>
      <x:c r="D1103" s="27"/>
      <x:c r="E1103" s="27"/>
      <x:c r="F1103" s="27"/>
      <x:c r="G1103" s="27"/>
      <x:c r="H1103" s="27"/>
      <x:c r="I1103" s="27"/>
      <x:c r="J1103" s="27"/>
    </x:row>
    <x:row r="1104">
      <x:c r="A1104" s="26"/>
      <x:c r="B1104" s="27"/>
      <x:c r="C1104" s="27"/>
      <x:c r="D1104" s="27"/>
      <x:c r="E1104" s="27"/>
      <x:c r="F1104" s="27"/>
      <x:c r="G1104" s="27"/>
      <x:c r="H1104" s="27"/>
      <x:c r="I1104" s="27"/>
      <x:c r="J1104" s="27"/>
    </x:row>
    <x:row r="1105">
      <x:c r="A1105" s="26"/>
      <x:c r="B1105" s="27"/>
      <x:c r="C1105" s="27"/>
      <x:c r="D1105" s="27"/>
      <x:c r="E1105" s="27"/>
      <x:c r="F1105" s="27"/>
      <x:c r="G1105" s="27"/>
      <x:c r="H1105" s="27"/>
      <x:c r="I1105" s="27"/>
      <x:c r="J1105" s="27"/>
    </x:row>
    <x:row r="1106">
      <x:c r="A1106" s="26"/>
      <x:c r="B1106" s="27"/>
      <x:c r="C1106" s="27"/>
      <x:c r="D1106" s="27"/>
      <x:c r="E1106" s="27"/>
      <x:c r="F1106" s="27"/>
      <x:c r="G1106" s="27"/>
      <x:c r="H1106" s="27"/>
      <x:c r="I1106" s="27"/>
      <x:c r="J1106" s="27"/>
    </x:row>
    <x:row r="1107">
      <x:c r="A1107" s="26"/>
      <x:c r="B1107" s="27"/>
      <x:c r="C1107" s="27"/>
      <x:c r="D1107" s="27"/>
      <x:c r="E1107" s="27"/>
      <x:c r="F1107" s="27"/>
      <x:c r="G1107" s="27"/>
      <x:c r="H1107" s="27"/>
      <x:c r="I1107" s="27"/>
      <x:c r="J1107" s="27"/>
    </x:row>
    <x:row r="1108">
      <x:c r="A1108" s="26"/>
      <x:c r="B1108" s="27"/>
      <x:c r="C1108" s="27"/>
      <x:c r="D1108" s="27"/>
      <x:c r="E1108" s="27"/>
      <x:c r="F1108" s="27"/>
      <x:c r="G1108" s="27"/>
      <x:c r="H1108" s="27"/>
      <x:c r="I1108" s="27"/>
      <x:c r="J1108" s="27"/>
    </x:row>
    <x:row r="1109">
      <x:c r="A1109" s="26"/>
      <x:c r="B1109" s="27"/>
      <x:c r="C1109" s="27"/>
      <x:c r="D1109" s="27"/>
      <x:c r="E1109" s="27"/>
      <x:c r="F1109" s="27"/>
      <x:c r="G1109" s="27"/>
      <x:c r="H1109" s="27"/>
      <x:c r="I1109" s="27"/>
      <x:c r="J1109" s="27"/>
    </x:row>
    <x:row r="1110">
      <x:c r="A1110" s="26"/>
      <x:c r="B1110" s="27"/>
      <x:c r="C1110" s="27"/>
      <x:c r="D1110" s="27"/>
      <x:c r="E1110" s="27"/>
      <x:c r="F1110" s="27"/>
      <x:c r="G1110" s="27"/>
      <x:c r="H1110" s="27"/>
      <x:c r="I1110" s="27"/>
      <x:c r="J1110" s="27"/>
    </x:row>
    <x:row r="1111">
      <x:c r="A1111" s="26"/>
      <x:c r="B1111" s="27"/>
      <x:c r="C1111" s="27"/>
      <x:c r="D1111" s="27"/>
      <x:c r="E1111" s="27"/>
      <x:c r="F1111" s="27"/>
      <x:c r="G1111" s="27"/>
      <x:c r="H1111" s="27"/>
      <x:c r="I1111" s="27"/>
      <x:c r="J1111" s="27"/>
    </x:row>
    <x:row r="1112">
      <x:c r="A1112" s="26"/>
      <x:c r="B1112" s="27"/>
      <x:c r="C1112" s="27"/>
      <x:c r="D1112" s="27"/>
      <x:c r="E1112" s="27"/>
      <x:c r="F1112" s="27"/>
      <x:c r="G1112" s="27"/>
      <x:c r="H1112" s="27"/>
      <x:c r="I1112" s="27"/>
      <x:c r="J1112" s="27"/>
    </x:row>
    <x:row r="1113">
      <x:c r="A1113" s="26"/>
      <x:c r="B1113" s="27"/>
      <x:c r="C1113" s="27"/>
      <x:c r="D1113" s="27"/>
      <x:c r="E1113" s="27"/>
      <x:c r="F1113" s="27"/>
      <x:c r="G1113" s="27"/>
      <x:c r="H1113" s="27"/>
      <x:c r="I1113" s="27"/>
      <x:c r="J1113" s="27"/>
    </x:row>
    <x:row r="1114">
      <x:c r="A1114" s="26"/>
      <x:c r="B1114" s="27"/>
      <x:c r="C1114" s="27"/>
      <x:c r="D1114" s="27"/>
      <x:c r="E1114" s="27"/>
      <x:c r="F1114" s="27"/>
      <x:c r="G1114" s="27"/>
      <x:c r="H1114" s="27"/>
      <x:c r="I1114" s="27"/>
      <x:c r="J1114" s="27"/>
    </x:row>
    <x:row r="1115">
      <x:c r="A1115" s="26"/>
      <x:c r="B1115" s="27"/>
      <x:c r="C1115" s="27"/>
      <x:c r="D1115" s="27"/>
      <x:c r="E1115" s="27"/>
      <x:c r="F1115" s="27"/>
      <x:c r="G1115" s="27"/>
      <x:c r="H1115" s="27"/>
      <x:c r="I1115" s="27"/>
      <x:c r="J1115" s="27"/>
    </x:row>
    <x:row r="1116">
      <x:c r="A1116" s="26"/>
      <x:c r="B1116" s="27"/>
      <x:c r="C1116" s="27"/>
      <x:c r="D1116" s="27"/>
      <x:c r="E1116" s="27"/>
      <x:c r="F1116" s="27"/>
      <x:c r="G1116" s="27"/>
      <x:c r="H1116" s="27"/>
      <x:c r="I1116" s="27"/>
      <x:c r="J1116" s="27"/>
    </x:row>
    <x:row r="1117">
      <x:c r="A1117" s="26"/>
      <x:c r="B1117" s="27"/>
      <x:c r="C1117" s="27"/>
      <x:c r="D1117" s="27"/>
      <x:c r="E1117" s="27"/>
      <x:c r="F1117" s="27"/>
      <x:c r="G1117" s="27"/>
      <x:c r="H1117" s="27"/>
      <x:c r="I1117" s="27"/>
      <x:c r="J1117" s="27"/>
    </x:row>
    <x:row r="1118">
      <x:c r="A1118" s="26"/>
      <x:c r="B1118" s="27"/>
      <x:c r="C1118" s="27"/>
      <x:c r="D1118" s="27"/>
      <x:c r="E1118" s="27"/>
      <x:c r="F1118" s="27"/>
      <x:c r="G1118" s="27"/>
      <x:c r="H1118" s="27"/>
      <x:c r="I1118" s="27"/>
      <x:c r="J1118" s="27"/>
    </x:row>
    <x:row r="1119">
      <x:c r="A1119" s="26"/>
      <x:c r="B1119" s="27"/>
      <x:c r="C1119" s="27"/>
      <x:c r="D1119" s="27"/>
      <x:c r="E1119" s="27"/>
      <x:c r="F1119" s="27"/>
      <x:c r="G1119" s="27"/>
      <x:c r="H1119" s="27"/>
      <x:c r="I1119" s="27"/>
      <x:c r="J1119" s="27"/>
    </x:row>
    <x:row r="1120">
      <x:c r="A1120" s="26"/>
      <x:c r="B1120" s="27"/>
      <x:c r="C1120" s="27"/>
      <x:c r="D1120" s="27"/>
      <x:c r="E1120" s="27"/>
      <x:c r="F1120" s="27"/>
      <x:c r="G1120" s="27"/>
      <x:c r="H1120" s="27"/>
      <x:c r="I1120" s="27"/>
      <x:c r="J1120" s="27"/>
    </x:row>
    <x:row r="1121">
      <x:c r="A1121" s="26"/>
      <x:c r="B1121" s="27"/>
      <x:c r="C1121" s="27"/>
      <x:c r="D1121" s="27"/>
      <x:c r="E1121" s="27"/>
      <x:c r="F1121" s="27"/>
      <x:c r="G1121" s="27"/>
      <x:c r="H1121" s="27"/>
      <x:c r="I1121" s="27"/>
      <x:c r="J1121" s="27"/>
    </x:row>
    <x:row r="1122">
      <x:c r="A1122" s="26"/>
      <x:c r="B1122" s="27"/>
      <x:c r="C1122" s="27"/>
      <x:c r="D1122" s="27"/>
      <x:c r="E1122" s="27"/>
      <x:c r="F1122" s="27"/>
      <x:c r="G1122" s="27"/>
      <x:c r="H1122" s="27"/>
      <x:c r="I1122" s="27"/>
      <x:c r="J1122" s="27"/>
    </x:row>
    <x:row r="1123">
      <x:c r="A1123" s="26"/>
      <x:c r="B1123" s="27"/>
      <x:c r="C1123" s="27"/>
      <x:c r="D1123" s="27"/>
      <x:c r="E1123" s="27"/>
      <x:c r="F1123" s="27"/>
      <x:c r="G1123" s="27"/>
      <x:c r="H1123" s="27"/>
      <x:c r="I1123" s="27"/>
      <x:c r="J1123" s="27"/>
    </x:row>
    <x:row r="1124">
      <x:c r="A1124" s="26"/>
      <x:c r="B1124" s="27"/>
      <x:c r="C1124" s="27"/>
      <x:c r="D1124" s="27"/>
      <x:c r="E1124" s="27"/>
      <x:c r="F1124" s="27"/>
      <x:c r="G1124" s="27"/>
      <x:c r="H1124" s="27"/>
      <x:c r="I1124" s="27"/>
      <x:c r="J1124" s="27"/>
    </x:row>
    <x:row r="1125">
      <x:c r="A1125" s="26"/>
      <x:c r="B1125" s="27"/>
      <x:c r="C1125" s="27"/>
      <x:c r="D1125" s="27"/>
      <x:c r="E1125" s="27"/>
      <x:c r="F1125" s="27"/>
      <x:c r="G1125" s="27"/>
      <x:c r="H1125" s="27"/>
      <x:c r="I1125" s="27"/>
      <x:c r="J1125" s="27"/>
    </x:row>
    <x:row r="1126">
      <x:c r="A1126" s="26"/>
      <x:c r="B1126" s="27"/>
      <x:c r="C1126" s="27"/>
      <x:c r="D1126" s="27"/>
      <x:c r="E1126" s="27"/>
      <x:c r="F1126" s="27"/>
      <x:c r="G1126" s="27"/>
      <x:c r="H1126" s="27"/>
      <x:c r="I1126" s="27"/>
      <x:c r="J1126" s="27"/>
    </x:row>
    <x:row r="1127">
      <x:c r="A1127" s="26"/>
      <x:c r="B1127" s="27"/>
      <x:c r="C1127" s="27"/>
      <x:c r="D1127" s="27"/>
      <x:c r="E1127" s="27"/>
      <x:c r="F1127" s="27"/>
      <x:c r="G1127" s="27"/>
      <x:c r="H1127" s="27"/>
      <x:c r="I1127" s="27"/>
      <x:c r="J1127" s="27"/>
    </x:row>
    <x:row r="1128">
      <x:c r="A1128" s="26"/>
      <x:c r="B1128" s="27"/>
      <x:c r="C1128" s="27"/>
      <x:c r="D1128" s="27"/>
      <x:c r="E1128" s="27"/>
      <x:c r="F1128" s="27"/>
      <x:c r="G1128" s="27"/>
      <x:c r="H1128" s="27"/>
      <x:c r="I1128" s="27"/>
      <x:c r="J1128" s="27"/>
    </x:row>
    <x:row r="1129">
      <x:c r="A1129" s="26"/>
      <x:c r="B1129" s="27"/>
      <x:c r="C1129" s="27"/>
      <x:c r="D1129" s="27"/>
      <x:c r="E1129" s="27"/>
      <x:c r="F1129" s="27"/>
      <x:c r="G1129" s="27"/>
      <x:c r="H1129" s="27"/>
      <x:c r="I1129" s="27"/>
      <x:c r="J1129" s="27"/>
    </x:row>
    <x:row r="1130">
      <x:c r="A1130" s="26"/>
      <x:c r="B1130" s="27"/>
      <x:c r="C1130" s="27"/>
      <x:c r="D1130" s="27"/>
      <x:c r="E1130" s="27"/>
      <x:c r="F1130" s="27"/>
      <x:c r="G1130" s="27"/>
      <x:c r="H1130" s="27"/>
      <x:c r="I1130" s="27"/>
      <x:c r="J1130" s="27"/>
    </x:row>
    <x:row r="1131">
      <x:c r="A1131" s="26"/>
      <x:c r="B1131" s="27"/>
      <x:c r="C1131" s="27"/>
      <x:c r="D1131" s="27"/>
      <x:c r="E1131" s="27"/>
      <x:c r="F1131" s="27"/>
      <x:c r="G1131" s="27"/>
      <x:c r="H1131" s="27"/>
      <x:c r="I1131" s="27"/>
      <x:c r="J1131" s="27"/>
    </x:row>
    <x:row r="1132">
      <x:c r="A1132" s="26"/>
      <x:c r="B1132" s="27"/>
      <x:c r="C1132" s="27"/>
      <x:c r="D1132" s="27"/>
      <x:c r="E1132" s="27"/>
      <x:c r="F1132" s="27"/>
      <x:c r="G1132" s="27"/>
      <x:c r="H1132" s="27"/>
      <x:c r="I1132" s="27"/>
      <x:c r="J1132" s="27"/>
    </x:row>
    <x:row r="1133">
      <x:c r="A1133" s="26"/>
      <x:c r="B1133" s="27"/>
      <x:c r="C1133" s="27"/>
      <x:c r="D1133" s="27"/>
      <x:c r="E1133" s="27"/>
      <x:c r="F1133" s="27"/>
      <x:c r="G1133" s="27"/>
      <x:c r="H1133" s="27"/>
      <x:c r="I1133" s="27"/>
      <x:c r="J1133" s="27"/>
    </x:row>
    <x:row r="1134">
      <x:c r="A1134" s="26"/>
      <x:c r="B1134" s="27"/>
      <x:c r="C1134" s="27"/>
      <x:c r="D1134" s="27"/>
      <x:c r="E1134" s="27"/>
      <x:c r="F1134" s="27"/>
      <x:c r="G1134" s="27"/>
      <x:c r="H1134" s="27"/>
      <x:c r="I1134" s="27"/>
      <x:c r="J1134" s="27"/>
    </x:row>
    <x:row r="1135">
      <x:c r="A1135" s="26"/>
      <x:c r="B1135" s="27"/>
      <x:c r="C1135" s="27"/>
      <x:c r="D1135" s="27"/>
      <x:c r="E1135" s="27"/>
      <x:c r="F1135" s="27"/>
      <x:c r="G1135" s="27"/>
      <x:c r="H1135" s="27"/>
      <x:c r="I1135" s="27"/>
      <x:c r="J1135" s="27"/>
    </x:row>
    <x:row r="1136">
      <x:c r="A1136" s="26"/>
      <x:c r="B1136" s="27"/>
      <x:c r="C1136" s="27"/>
      <x:c r="D1136" s="27"/>
      <x:c r="E1136" s="27"/>
      <x:c r="F1136" s="27"/>
      <x:c r="G1136" s="27"/>
      <x:c r="H1136" s="27"/>
      <x:c r="I1136" s="27"/>
      <x:c r="J1136" s="27"/>
    </x:row>
    <x:row r="1137">
      <x:c r="A1137" s="26"/>
      <x:c r="B1137" s="27"/>
      <x:c r="C1137" s="27"/>
      <x:c r="D1137" s="27"/>
      <x:c r="E1137" s="27"/>
      <x:c r="F1137" s="27"/>
      <x:c r="G1137" s="27"/>
      <x:c r="H1137" s="27"/>
      <x:c r="I1137" s="27"/>
      <x:c r="J1137" s="27"/>
    </x:row>
    <x:row r="1138">
      <x:c r="A1138" s="26"/>
      <x:c r="B1138" s="27"/>
      <x:c r="C1138" s="27"/>
      <x:c r="D1138" s="27"/>
      <x:c r="E1138" s="27"/>
      <x:c r="F1138" s="27"/>
      <x:c r="G1138" s="27"/>
      <x:c r="H1138" s="27"/>
      <x:c r="I1138" s="27"/>
      <x:c r="J1138" s="27"/>
    </x:row>
    <x:row r="1139">
      <x:c r="A1139" s="26"/>
      <x:c r="B1139" s="27"/>
      <x:c r="C1139" s="27"/>
      <x:c r="D1139" s="27"/>
      <x:c r="E1139" s="27"/>
      <x:c r="F1139" s="27"/>
      <x:c r="G1139" s="27"/>
      <x:c r="H1139" s="27"/>
      <x:c r="I1139" s="27"/>
      <x:c r="J1139" s="27"/>
    </x:row>
    <x:row r="1140">
      <x:c r="A1140" s="26"/>
      <x:c r="B1140" s="27"/>
      <x:c r="C1140" s="27"/>
      <x:c r="D1140" s="27"/>
      <x:c r="E1140" s="27"/>
      <x:c r="F1140" s="27"/>
      <x:c r="G1140" s="27"/>
      <x:c r="H1140" s="27"/>
      <x:c r="I1140" s="27"/>
      <x:c r="J1140" s="27"/>
    </x:row>
    <x:row r="1141">
      <x:c r="A1141" s="26"/>
      <x:c r="B1141" s="27"/>
      <x:c r="C1141" s="27"/>
      <x:c r="D1141" s="27"/>
      <x:c r="E1141" s="27"/>
      <x:c r="F1141" s="27"/>
      <x:c r="G1141" s="27"/>
      <x:c r="H1141" s="27"/>
      <x:c r="I1141" s="27"/>
      <x:c r="J1141" s="27"/>
    </x:row>
    <x:row r="1142">
      <x:c r="A1142" s="26"/>
      <x:c r="B1142" s="27"/>
      <x:c r="C1142" s="27"/>
      <x:c r="D1142" s="27"/>
      <x:c r="E1142" s="27"/>
      <x:c r="F1142" s="27"/>
      <x:c r="G1142" s="27"/>
      <x:c r="H1142" s="27"/>
      <x:c r="I1142" s="27"/>
      <x:c r="J1142" s="27"/>
    </x:row>
    <x:row r="1143">
      <x:c r="A1143" s="26"/>
      <x:c r="B1143" s="27"/>
      <x:c r="C1143" s="27"/>
      <x:c r="D1143" s="27"/>
      <x:c r="E1143" s="27"/>
      <x:c r="F1143" s="27"/>
      <x:c r="G1143" s="27"/>
      <x:c r="H1143" s="27"/>
      <x:c r="I1143" s="27"/>
      <x:c r="J1143" s="27"/>
    </x:row>
    <x:row r="1144">
      <x:c r="A1144" s="26"/>
      <x:c r="B1144" s="27"/>
      <x:c r="C1144" s="27"/>
      <x:c r="D1144" s="27"/>
      <x:c r="E1144" s="27"/>
      <x:c r="F1144" s="27"/>
      <x:c r="G1144" s="27"/>
      <x:c r="H1144" s="27"/>
      <x:c r="I1144" s="27"/>
      <x:c r="J1144" s="27"/>
    </x:row>
    <x:row r="1145">
      <x:c r="A1145" s="26"/>
      <x:c r="B1145" s="27"/>
      <x:c r="C1145" s="27"/>
      <x:c r="D1145" s="27"/>
      <x:c r="E1145" s="27"/>
      <x:c r="F1145" s="27"/>
      <x:c r="G1145" s="27"/>
      <x:c r="H1145" s="27"/>
      <x:c r="I1145" s="27"/>
      <x:c r="J1145" s="27"/>
    </x:row>
    <x:row r="1146">
      <x:c r="A1146" s="26"/>
      <x:c r="B1146" s="27"/>
      <x:c r="C1146" s="27"/>
      <x:c r="D1146" s="27"/>
      <x:c r="E1146" s="27"/>
      <x:c r="F1146" s="27"/>
      <x:c r="G1146" s="27"/>
      <x:c r="H1146" s="27"/>
      <x:c r="I1146" s="27"/>
      <x:c r="J1146" s="27"/>
    </x:row>
    <x:row r="1147">
      <x:c r="A1147" s="26"/>
      <x:c r="B1147" s="27"/>
      <x:c r="C1147" s="27"/>
      <x:c r="D1147" s="27"/>
      <x:c r="E1147" s="27"/>
      <x:c r="F1147" s="27"/>
      <x:c r="G1147" s="27"/>
      <x:c r="H1147" s="27"/>
      <x:c r="I1147" s="27"/>
      <x:c r="J1147" s="27"/>
    </x:row>
    <x:row r="1148">
      <x:c r="A1148" s="26"/>
      <x:c r="B1148" s="27"/>
      <x:c r="C1148" s="27"/>
      <x:c r="D1148" s="27"/>
      <x:c r="E1148" s="27"/>
      <x:c r="F1148" s="27"/>
      <x:c r="G1148" s="27"/>
      <x:c r="H1148" s="27"/>
      <x:c r="I1148" s="27"/>
      <x:c r="J1148" s="27"/>
    </x:row>
    <x:row r="1149">
      <x:c r="A1149" s="26"/>
      <x:c r="B1149" s="27"/>
      <x:c r="C1149" s="27"/>
      <x:c r="D1149" s="27"/>
      <x:c r="E1149" s="27"/>
      <x:c r="F1149" s="27"/>
      <x:c r="G1149" s="27"/>
      <x:c r="H1149" s="27"/>
      <x:c r="I1149" s="27"/>
      <x:c r="J1149" s="27"/>
    </x:row>
    <x:row r="1150">
      <x:c r="A1150" s="26"/>
      <x:c r="B1150" s="27"/>
      <x:c r="C1150" s="27"/>
      <x:c r="D1150" s="27"/>
      <x:c r="E1150" s="27"/>
      <x:c r="F1150" s="27"/>
      <x:c r="G1150" s="27"/>
      <x:c r="H1150" s="27"/>
      <x:c r="I1150" s="27"/>
      <x:c r="J1150" s="27"/>
    </x:row>
    <x:row r="1151">
      <x:c r="A1151" s="26"/>
      <x:c r="B1151" s="27"/>
      <x:c r="C1151" s="27"/>
      <x:c r="D1151" s="27"/>
      <x:c r="E1151" s="27"/>
      <x:c r="F1151" s="27"/>
      <x:c r="G1151" s="27"/>
      <x:c r="H1151" s="27"/>
      <x:c r="I1151" s="27"/>
      <x:c r="J1151" s="27"/>
    </x:row>
    <x:row r="1152">
      <x:c r="A1152" s="26"/>
      <x:c r="B1152" s="27"/>
      <x:c r="C1152" s="27"/>
      <x:c r="D1152" s="27"/>
      <x:c r="E1152" s="27"/>
      <x:c r="F1152" s="27"/>
      <x:c r="G1152" s="27"/>
      <x:c r="H1152" s="27"/>
      <x:c r="I1152" s="27"/>
      <x:c r="J1152" s="27"/>
    </x:row>
    <x:row r="1153">
      <x:c r="A1153" s="26"/>
      <x:c r="B1153" s="27"/>
      <x:c r="C1153" s="27"/>
      <x:c r="D1153" s="27"/>
      <x:c r="E1153" s="27"/>
      <x:c r="F1153" s="27"/>
      <x:c r="G1153" s="27"/>
      <x:c r="H1153" s="27"/>
      <x:c r="I1153" s="27"/>
      <x:c r="J1153" s="27"/>
    </x:row>
    <x:row r="1154">
      <x:c r="A1154" s="26"/>
      <x:c r="B1154" s="27"/>
      <x:c r="C1154" s="27"/>
      <x:c r="D1154" s="27"/>
      <x:c r="E1154" s="27"/>
      <x:c r="F1154" s="27"/>
      <x:c r="G1154" s="27"/>
      <x:c r="H1154" s="27"/>
      <x:c r="I1154" s="27"/>
      <x:c r="J1154" s="27"/>
    </x:row>
    <x:row r="1155">
      <x:c r="A1155" s="26"/>
      <x:c r="B1155" s="27"/>
      <x:c r="C1155" s="27"/>
      <x:c r="D1155" s="27"/>
      <x:c r="E1155" s="27"/>
      <x:c r="F1155" s="27"/>
      <x:c r="G1155" s="27"/>
      <x:c r="H1155" s="27"/>
      <x:c r="I1155" s="27"/>
      <x:c r="J1155" s="27"/>
    </x:row>
    <x:row r="1156">
      <x:c r="A1156" s="26"/>
      <x:c r="B1156" s="27"/>
      <x:c r="C1156" s="27"/>
      <x:c r="D1156" s="27"/>
      <x:c r="E1156" s="27"/>
      <x:c r="F1156" s="27"/>
      <x:c r="G1156" s="27"/>
      <x:c r="H1156" s="27"/>
      <x:c r="I1156" s="27"/>
      <x:c r="J1156" s="27"/>
    </x:row>
    <x:row r="1157">
      <x:c r="A1157" s="26"/>
      <x:c r="B1157" s="27"/>
      <x:c r="C1157" s="27"/>
      <x:c r="D1157" s="27"/>
      <x:c r="E1157" s="27"/>
      <x:c r="F1157" s="27"/>
      <x:c r="G1157" s="27"/>
      <x:c r="H1157" s="27"/>
      <x:c r="I1157" s="27"/>
      <x:c r="J1157" s="27"/>
    </x:row>
    <x:row r="1158">
      <x:c r="A1158" s="26"/>
      <x:c r="B1158" s="27"/>
      <x:c r="C1158" s="27"/>
      <x:c r="D1158" s="27"/>
      <x:c r="E1158" s="27"/>
      <x:c r="F1158" s="27"/>
      <x:c r="G1158" s="27"/>
      <x:c r="H1158" s="27"/>
      <x:c r="I1158" s="27"/>
      <x:c r="J1158" s="27"/>
    </x:row>
    <x:row r="1159">
      <x:c r="A1159" s="26"/>
      <x:c r="B1159" s="27"/>
      <x:c r="C1159" s="27"/>
      <x:c r="D1159" s="27"/>
      <x:c r="E1159" s="27"/>
      <x:c r="F1159" s="27"/>
      <x:c r="G1159" s="27"/>
      <x:c r="H1159" s="27"/>
      <x:c r="I1159" s="27"/>
      <x:c r="J1159" s="27"/>
    </x:row>
    <x:row r="1160">
      <x:c r="A1160" s="26"/>
      <x:c r="B1160" s="27"/>
      <x:c r="C1160" s="27"/>
      <x:c r="D1160" s="27"/>
      <x:c r="E1160" s="27"/>
      <x:c r="F1160" s="27"/>
      <x:c r="G1160" s="27"/>
      <x:c r="H1160" s="27"/>
      <x:c r="I1160" s="27"/>
      <x:c r="J1160" s="27"/>
    </x:row>
    <x:row r="1161">
      <x:c r="A1161" s="26"/>
      <x:c r="B1161" s="27"/>
      <x:c r="C1161" s="27"/>
      <x:c r="D1161" s="27"/>
      <x:c r="E1161" s="27"/>
      <x:c r="F1161" s="27"/>
      <x:c r="G1161" s="27"/>
      <x:c r="H1161" s="27"/>
      <x:c r="I1161" s="27"/>
      <x:c r="J1161" s="27"/>
    </x:row>
    <x:row r="1162">
      <x:c r="A1162" s="26"/>
      <x:c r="B1162" s="27"/>
      <x:c r="C1162" s="27"/>
      <x:c r="D1162" s="27"/>
      <x:c r="E1162" s="27"/>
      <x:c r="F1162" s="27"/>
      <x:c r="G1162" s="27"/>
      <x:c r="H1162" s="27"/>
      <x:c r="I1162" s="27"/>
      <x:c r="J1162" s="27"/>
    </x:row>
    <x:row r="1163">
      <x:c r="A1163" s="26"/>
      <x:c r="B1163" s="27"/>
      <x:c r="C1163" s="27"/>
      <x:c r="D1163" s="27"/>
      <x:c r="E1163" s="27"/>
      <x:c r="F1163" s="27"/>
      <x:c r="G1163" s="27"/>
      <x:c r="H1163" s="27"/>
      <x:c r="I1163" s="27"/>
      <x:c r="J1163" s="27"/>
    </x:row>
    <x:row r="1164">
      <x:c r="A1164" s="26"/>
      <x:c r="B1164" s="27"/>
      <x:c r="C1164" s="27"/>
      <x:c r="D1164" s="27"/>
      <x:c r="E1164" s="27"/>
      <x:c r="F1164" s="27"/>
      <x:c r="G1164" s="27"/>
      <x:c r="H1164" s="27"/>
      <x:c r="I1164" s="27"/>
      <x:c r="J1164" s="27"/>
    </x:row>
    <x:row r="1165">
      <x:c r="A1165" s="26"/>
      <x:c r="B1165" s="27"/>
      <x:c r="C1165" s="27"/>
      <x:c r="D1165" s="27"/>
      <x:c r="E1165" s="27"/>
      <x:c r="F1165" s="27"/>
      <x:c r="G1165" s="27"/>
      <x:c r="H1165" s="27"/>
      <x:c r="I1165" s="27"/>
      <x:c r="J1165" s="27"/>
    </x:row>
    <x:row r="1166">
      <x:c r="A1166" s="26"/>
      <x:c r="B1166" s="27"/>
      <x:c r="C1166" s="27"/>
      <x:c r="D1166" s="27"/>
      <x:c r="E1166" s="27"/>
      <x:c r="F1166" s="27"/>
      <x:c r="G1166" s="27"/>
      <x:c r="H1166" s="27"/>
      <x:c r="I1166" s="27"/>
      <x:c r="J1166" s="27"/>
    </x:row>
    <x:row r="1167">
      <x:c r="A1167" s="26"/>
      <x:c r="B1167" s="27"/>
      <x:c r="C1167" s="27"/>
      <x:c r="D1167" s="27"/>
      <x:c r="E1167" s="27"/>
      <x:c r="F1167" s="27"/>
      <x:c r="G1167" s="27"/>
      <x:c r="H1167" s="27"/>
      <x:c r="I1167" s="27"/>
      <x:c r="J1167" s="27"/>
    </x:row>
    <x:row r="1168">
      <x:c r="A1168" s="26"/>
      <x:c r="B1168" s="27"/>
      <x:c r="C1168" s="27"/>
      <x:c r="D1168" s="27"/>
      <x:c r="E1168" s="27"/>
      <x:c r="F1168" s="27"/>
      <x:c r="G1168" s="27"/>
      <x:c r="H1168" s="27"/>
      <x:c r="I1168" s="27"/>
      <x:c r="J1168" s="27"/>
    </x:row>
    <x:row r="1169">
      <x:c r="A1169" s="26"/>
      <x:c r="B1169" s="27"/>
      <x:c r="C1169" s="27"/>
      <x:c r="D1169" s="27"/>
      <x:c r="E1169" s="27"/>
      <x:c r="F1169" s="27"/>
      <x:c r="G1169" s="27"/>
      <x:c r="H1169" s="27"/>
      <x:c r="I1169" s="27"/>
      <x:c r="J1169" s="27"/>
    </x:row>
    <x:row r="1170">
      <x:c r="A1170" s="26"/>
      <x:c r="B1170" s="27"/>
      <x:c r="C1170" s="27"/>
      <x:c r="D1170" s="27"/>
      <x:c r="E1170" s="27"/>
      <x:c r="F1170" s="27"/>
      <x:c r="G1170" s="27"/>
      <x:c r="H1170" s="27"/>
      <x:c r="I1170" s="27"/>
      <x:c r="J1170" s="27"/>
    </x:row>
    <x:row r="1171">
      <x:c r="A1171" s="26"/>
      <x:c r="B1171" s="27"/>
      <x:c r="C1171" s="27"/>
      <x:c r="D1171" s="27"/>
      <x:c r="E1171" s="27"/>
      <x:c r="F1171" s="27"/>
      <x:c r="G1171" s="27"/>
      <x:c r="H1171" s="27"/>
      <x:c r="I1171" s="27"/>
      <x:c r="J1171" s="27"/>
    </x:row>
    <x:row r="1172">
      <x:c r="A1172" s="26"/>
      <x:c r="B1172" s="27"/>
      <x:c r="C1172" s="27"/>
      <x:c r="D1172" s="27"/>
      <x:c r="E1172" s="27"/>
      <x:c r="F1172" s="27"/>
      <x:c r="G1172" s="27"/>
      <x:c r="H1172" s="27"/>
      <x:c r="I1172" s="27"/>
      <x:c r="J1172" s="27"/>
    </x:row>
    <x:row r="1173">
      <x:c r="A1173" s="26"/>
      <x:c r="B1173" s="27"/>
      <x:c r="C1173" s="27"/>
      <x:c r="D1173" s="27"/>
      <x:c r="E1173" s="27"/>
      <x:c r="F1173" s="27"/>
      <x:c r="G1173" s="27"/>
      <x:c r="H1173" s="27"/>
      <x:c r="I1173" s="27"/>
      <x:c r="J1173" s="27"/>
    </x:row>
    <x:row r="1174">
      <x:c r="A1174" s="26"/>
      <x:c r="B1174" s="27"/>
      <x:c r="C1174" s="27"/>
      <x:c r="D1174" s="27"/>
      <x:c r="E1174" s="27"/>
      <x:c r="F1174" s="27"/>
      <x:c r="G1174" s="27"/>
      <x:c r="H1174" s="27"/>
      <x:c r="I1174" s="27"/>
      <x:c r="J1174" s="27"/>
    </x:row>
    <x:row r="1175">
      <x:c r="A1175" s="26"/>
      <x:c r="B1175" s="27"/>
      <x:c r="C1175" s="27"/>
      <x:c r="D1175" s="27"/>
      <x:c r="E1175" s="27"/>
      <x:c r="F1175" s="27"/>
      <x:c r="G1175" s="27"/>
      <x:c r="H1175" s="27"/>
      <x:c r="I1175" s="27"/>
      <x:c r="J1175" s="27"/>
    </x:row>
    <x:row r="1176">
      <x:c r="A1176" s="26"/>
      <x:c r="B1176" s="27"/>
      <x:c r="C1176" s="27"/>
      <x:c r="D1176" s="27"/>
      <x:c r="E1176" s="27"/>
      <x:c r="F1176" s="27"/>
      <x:c r="G1176" s="27"/>
      <x:c r="H1176" s="27"/>
      <x:c r="I1176" s="27"/>
      <x:c r="J1176" s="27"/>
    </x:row>
    <x:row r="1177">
      <x:c r="A1177" s="26"/>
      <x:c r="B1177" s="27"/>
      <x:c r="C1177" s="27"/>
      <x:c r="D1177" s="27"/>
      <x:c r="E1177" s="27"/>
      <x:c r="F1177" s="27"/>
      <x:c r="G1177" s="27"/>
      <x:c r="H1177" s="27"/>
      <x:c r="I1177" s="27"/>
      <x:c r="J1177" s="27"/>
    </x:row>
    <x:row r="1178">
      <x:c r="A1178" s="26"/>
      <x:c r="B1178" s="27"/>
      <x:c r="C1178" s="27"/>
      <x:c r="D1178" s="27"/>
      <x:c r="E1178" s="27"/>
      <x:c r="F1178" s="27"/>
      <x:c r="G1178" s="27"/>
      <x:c r="H1178" s="27"/>
      <x:c r="I1178" s="27"/>
      <x:c r="J1178" s="27"/>
    </x:row>
    <x:row r="1179">
      <x:c r="A1179" s="26"/>
      <x:c r="B1179" s="27"/>
      <x:c r="C1179" s="27"/>
      <x:c r="D1179" s="27"/>
      <x:c r="E1179" s="27"/>
      <x:c r="F1179" s="27"/>
      <x:c r="G1179" s="27"/>
      <x:c r="H1179" s="27"/>
      <x:c r="I1179" s="27"/>
      <x:c r="J1179" s="27"/>
    </x:row>
    <x:row r="1180">
      <x:c r="A1180" s="26"/>
      <x:c r="B1180" s="27"/>
      <x:c r="C1180" s="27"/>
      <x:c r="D1180" s="27"/>
      <x:c r="E1180" s="27"/>
      <x:c r="F1180" s="27"/>
      <x:c r="G1180" s="27"/>
      <x:c r="H1180" s="27"/>
      <x:c r="I1180" s="27"/>
      <x:c r="J1180" s="27"/>
    </x:row>
    <x:row r="1181">
      <x:c r="A1181" s="26"/>
      <x:c r="B1181" s="27"/>
      <x:c r="C1181" s="27"/>
      <x:c r="D1181" s="27"/>
      <x:c r="E1181" s="27"/>
      <x:c r="F1181" s="27"/>
      <x:c r="G1181" s="27"/>
      <x:c r="H1181" s="27"/>
      <x:c r="I1181" s="27"/>
      <x:c r="J1181" s="27"/>
    </x:row>
    <x:row r="1182">
      <x:c r="A1182" s="26"/>
      <x:c r="B1182" s="27"/>
      <x:c r="C1182" s="27"/>
      <x:c r="D1182" s="27"/>
      <x:c r="E1182" s="27"/>
      <x:c r="F1182" s="27"/>
      <x:c r="G1182" s="27"/>
      <x:c r="H1182" s="27"/>
      <x:c r="I1182" s="27"/>
      <x:c r="J1182" s="27"/>
    </x:row>
    <x:row r="1183">
      <x:c r="A1183" s="26"/>
      <x:c r="B1183" s="27"/>
      <x:c r="C1183" s="27"/>
      <x:c r="D1183" s="27"/>
      <x:c r="E1183" s="27"/>
      <x:c r="F1183" s="27"/>
      <x:c r="G1183" s="27"/>
      <x:c r="H1183" s="27"/>
      <x:c r="I1183" s="27"/>
      <x:c r="J1183" s="27"/>
    </x:row>
    <x:row r="1184">
      <x:c r="A1184" s="26"/>
      <x:c r="B1184" s="27"/>
      <x:c r="C1184" s="27"/>
      <x:c r="D1184" s="27"/>
      <x:c r="E1184" s="27"/>
      <x:c r="F1184" s="27"/>
      <x:c r="G1184" s="27"/>
      <x:c r="H1184" s="27"/>
      <x:c r="I1184" s="27"/>
      <x:c r="J1184" s="27"/>
    </x:row>
    <x:row r="1185">
      <x:c r="A1185" s="26"/>
      <x:c r="B1185" s="27"/>
      <x:c r="C1185" s="27"/>
      <x:c r="D1185" s="27"/>
      <x:c r="E1185" s="27"/>
      <x:c r="F1185" s="27"/>
      <x:c r="G1185" s="27"/>
      <x:c r="H1185" s="27"/>
      <x:c r="I1185" s="27"/>
      <x:c r="J1185" s="27"/>
    </x:row>
    <x:row r="1186">
      <x:c r="A1186" s="26"/>
      <x:c r="B1186" s="27"/>
      <x:c r="C1186" s="27"/>
      <x:c r="D1186" s="27"/>
      <x:c r="E1186" s="27"/>
      <x:c r="F1186" s="27"/>
      <x:c r="G1186" s="27"/>
      <x:c r="H1186" s="27"/>
      <x:c r="I1186" s="27"/>
      <x:c r="J1186" s="27"/>
    </x:row>
    <x:row r="1187">
      <x:c r="A1187" s="26"/>
      <x:c r="B1187" s="27"/>
      <x:c r="C1187" s="27"/>
      <x:c r="D1187" s="27"/>
      <x:c r="E1187" s="27"/>
      <x:c r="F1187" s="27"/>
      <x:c r="G1187" s="27"/>
      <x:c r="H1187" s="27"/>
      <x:c r="I1187" s="27"/>
      <x:c r="J1187" s="27"/>
    </x:row>
    <x:row r="1188">
      <x:c r="A1188" s="26"/>
      <x:c r="B1188" s="27"/>
      <x:c r="C1188" s="27"/>
      <x:c r="D1188" s="27"/>
      <x:c r="E1188" s="27"/>
      <x:c r="F1188" s="27"/>
      <x:c r="G1188" s="27"/>
      <x:c r="H1188" s="27"/>
      <x:c r="I1188" s="27"/>
      <x:c r="J1188" s="27"/>
    </x:row>
    <x:row r="1189">
      <x:c r="A1189" s="26"/>
      <x:c r="B1189" s="27"/>
      <x:c r="C1189" s="27"/>
      <x:c r="D1189" s="27"/>
      <x:c r="E1189" s="27"/>
      <x:c r="F1189" s="27"/>
      <x:c r="G1189" s="27"/>
      <x:c r="H1189" s="27"/>
      <x:c r="I1189" s="27"/>
      <x:c r="J1189" s="27"/>
    </x:row>
    <x:row r="1190">
      <x:c r="A1190" s="26"/>
      <x:c r="B1190" s="27"/>
      <x:c r="C1190" s="27"/>
      <x:c r="D1190" s="27"/>
      <x:c r="E1190" s="27"/>
      <x:c r="F1190" s="27"/>
      <x:c r="G1190" s="27"/>
      <x:c r="H1190" s="27"/>
      <x:c r="I1190" s="27"/>
      <x:c r="J1190" s="27"/>
    </x:row>
    <x:row r="1191">
      <x:c r="A1191" s="26"/>
      <x:c r="B1191" s="27"/>
      <x:c r="C1191" s="27"/>
      <x:c r="D1191" s="27"/>
      <x:c r="E1191" s="27"/>
      <x:c r="F1191" s="27"/>
      <x:c r="G1191" s="27"/>
      <x:c r="H1191" s="27"/>
      <x:c r="I1191" s="27"/>
      <x:c r="J1191" s="27"/>
    </x:row>
    <x:row r="1192">
      <x:c r="A1192" s="26"/>
      <x:c r="B1192" s="27"/>
      <x:c r="C1192" s="27"/>
      <x:c r="D1192" s="27"/>
      <x:c r="E1192" s="27"/>
      <x:c r="F1192" s="27"/>
      <x:c r="G1192" s="27"/>
      <x:c r="H1192" s="27"/>
      <x:c r="I1192" s="27"/>
      <x:c r="J1192" s="27"/>
    </x:row>
    <x:row r="1193">
      <x:c r="A1193" s="26"/>
      <x:c r="B1193" s="27"/>
      <x:c r="C1193" s="27"/>
      <x:c r="D1193" s="27"/>
      <x:c r="E1193" s="27"/>
      <x:c r="F1193" s="27"/>
      <x:c r="G1193" s="27"/>
      <x:c r="H1193" s="27"/>
      <x:c r="I1193" s="27"/>
      <x:c r="J1193" s="27"/>
    </x:row>
    <x:row r="1194">
      <x:c r="A1194" s="26"/>
      <x:c r="B1194" s="27"/>
      <x:c r="C1194" s="27"/>
      <x:c r="D1194" s="27"/>
      <x:c r="E1194" s="27"/>
      <x:c r="F1194" s="27"/>
      <x:c r="G1194" s="27"/>
      <x:c r="H1194" s="27"/>
      <x:c r="I1194" s="27"/>
      <x:c r="J1194" s="27"/>
    </x:row>
    <x:row r="1195">
      <x:c r="A1195" s="26"/>
      <x:c r="B1195" s="27"/>
      <x:c r="C1195" s="27"/>
      <x:c r="D1195" s="27"/>
      <x:c r="E1195" s="27"/>
      <x:c r="F1195" s="27"/>
      <x:c r="G1195" s="27"/>
      <x:c r="H1195" s="27"/>
      <x:c r="I1195" s="27"/>
      <x:c r="J1195" s="27"/>
    </x:row>
    <x:row r="1196">
      <x:c r="A1196" s="26"/>
      <x:c r="B1196" s="27"/>
      <x:c r="C1196" s="27"/>
      <x:c r="D1196" s="27"/>
      <x:c r="E1196" s="27"/>
      <x:c r="F1196" s="27"/>
      <x:c r="G1196" s="27"/>
      <x:c r="H1196" s="27"/>
      <x:c r="I1196" s="27"/>
      <x:c r="J1196" s="27"/>
    </x:row>
    <x:row r="1197">
      <x:c r="A1197" s="26"/>
      <x:c r="B1197" s="27"/>
      <x:c r="C1197" s="27"/>
      <x:c r="D1197" s="27"/>
      <x:c r="E1197" s="27"/>
      <x:c r="F1197" s="27"/>
      <x:c r="G1197" s="27"/>
      <x:c r="H1197" s="27"/>
      <x:c r="I1197" s="27"/>
      <x:c r="J1197" s="27"/>
    </x:row>
    <x:row r="1198">
      <x:c r="A1198" s="26"/>
      <x:c r="B1198" s="27"/>
      <x:c r="C1198" s="27"/>
      <x:c r="D1198" s="27"/>
      <x:c r="E1198" s="27"/>
      <x:c r="F1198" s="27"/>
      <x:c r="G1198" s="27"/>
      <x:c r="H1198" s="27"/>
      <x:c r="I1198" s="27"/>
      <x:c r="J1198" s="27"/>
    </x:row>
    <x:row r="1199">
      <x:c r="A1199" s="26"/>
      <x:c r="B1199" s="27"/>
      <x:c r="C1199" s="27"/>
      <x:c r="D1199" s="27"/>
      <x:c r="E1199" s="27"/>
      <x:c r="F1199" s="27"/>
      <x:c r="G1199" s="27"/>
      <x:c r="H1199" s="27"/>
      <x:c r="I1199" s="27"/>
      <x:c r="J1199" s="27"/>
    </x:row>
    <x:row r="1200">
      <x:c r="A1200" s="26"/>
      <x:c r="B1200" s="27"/>
      <x:c r="C1200" s="27"/>
      <x:c r="D1200" s="27"/>
      <x:c r="E1200" s="27"/>
      <x:c r="F1200" s="27"/>
      <x:c r="G1200" s="27"/>
      <x:c r="H1200" s="27"/>
      <x:c r="I1200" s="27"/>
      <x:c r="J1200" s="27"/>
    </x:row>
    <x:row r="1201">
      <x:c r="A1201" s="26"/>
      <x:c r="B1201" s="27"/>
      <x:c r="C1201" s="27"/>
      <x:c r="D1201" s="27"/>
      <x:c r="E1201" s="27"/>
      <x:c r="F1201" s="27"/>
      <x:c r="G1201" s="27"/>
      <x:c r="H1201" s="27"/>
      <x:c r="I1201" s="27"/>
      <x:c r="J1201" s="27"/>
    </x:row>
    <x:row r="1202">
      <x:c r="A1202" s="26"/>
      <x:c r="B1202" s="27"/>
      <x:c r="C1202" s="27"/>
      <x:c r="D1202" s="27"/>
      <x:c r="E1202" s="27"/>
      <x:c r="F1202" s="27"/>
      <x:c r="G1202" s="27"/>
      <x:c r="H1202" s="27"/>
      <x:c r="I1202" s="27"/>
      <x:c r="J1202" s="27"/>
    </x:row>
    <x:row r="1203">
      <x:c r="A1203" s="26"/>
      <x:c r="B1203" s="27"/>
      <x:c r="C1203" s="27"/>
      <x:c r="D1203" s="27"/>
      <x:c r="E1203" s="27"/>
      <x:c r="F1203" s="27"/>
      <x:c r="G1203" s="27"/>
      <x:c r="H1203" s="27"/>
      <x:c r="I1203" s="27"/>
      <x:c r="J1203" s="27"/>
    </x:row>
    <x:row r="1204">
      <x:c r="A1204" s="26"/>
      <x:c r="B1204" s="27"/>
      <x:c r="C1204" s="27"/>
      <x:c r="D1204" s="27"/>
      <x:c r="E1204" s="27"/>
      <x:c r="F1204" s="27"/>
      <x:c r="G1204" s="27"/>
      <x:c r="H1204" s="27"/>
      <x:c r="I1204" s="27"/>
      <x:c r="J1204" s="27"/>
    </x:row>
    <x:row r="1205">
      <x:c r="A1205" s="26"/>
      <x:c r="B1205" s="27"/>
      <x:c r="C1205" s="27"/>
      <x:c r="D1205" s="27"/>
      <x:c r="E1205" s="27"/>
      <x:c r="F1205" s="27"/>
      <x:c r="G1205" s="27"/>
      <x:c r="H1205" s="27"/>
      <x:c r="I1205" s="27"/>
      <x:c r="J1205" s="27"/>
    </x:row>
    <x:row r="1206">
      <x:c r="A1206" s="26"/>
      <x:c r="B1206" s="27"/>
      <x:c r="C1206" s="27"/>
      <x:c r="D1206" s="27"/>
      <x:c r="E1206" s="27"/>
      <x:c r="F1206" s="27"/>
      <x:c r="G1206" s="27"/>
      <x:c r="H1206" s="27"/>
      <x:c r="I1206" s="27"/>
      <x:c r="J1206" s="27"/>
    </x:row>
    <x:row r="1207">
      <x:c r="A1207" s="26"/>
      <x:c r="B1207" s="27"/>
      <x:c r="C1207" s="27"/>
      <x:c r="D1207" s="27"/>
      <x:c r="E1207" s="27"/>
      <x:c r="F1207" s="27"/>
      <x:c r="G1207" s="27"/>
      <x:c r="H1207" s="27"/>
      <x:c r="I1207" s="27"/>
      <x:c r="J1207" s="27"/>
    </x:row>
    <x:row r="1208">
      <x:c r="A1208" s="26"/>
      <x:c r="B1208" s="27"/>
      <x:c r="C1208" s="27"/>
      <x:c r="D1208" s="27"/>
      <x:c r="E1208" s="27"/>
      <x:c r="F1208" s="27"/>
      <x:c r="G1208" s="27"/>
      <x:c r="H1208" s="27"/>
      <x:c r="I1208" s="27"/>
      <x:c r="J1208" s="27"/>
    </x:row>
    <x:row r="1209">
      <x:c r="A1209" s="26"/>
      <x:c r="B1209" s="27"/>
      <x:c r="C1209" s="27"/>
      <x:c r="D1209" s="27"/>
      <x:c r="E1209" s="27"/>
      <x:c r="F1209" s="27"/>
      <x:c r="G1209" s="27"/>
      <x:c r="H1209" s="27"/>
      <x:c r="I1209" s="27"/>
      <x:c r="J1209" s="27"/>
    </x:row>
    <x:row r="1210">
      <x:c r="A1210" s="26"/>
      <x:c r="B1210" s="27"/>
      <x:c r="C1210" s="27"/>
      <x:c r="D1210" s="27"/>
      <x:c r="E1210" s="27"/>
      <x:c r="F1210" s="27"/>
      <x:c r="G1210" s="27"/>
      <x:c r="H1210" s="27"/>
      <x:c r="I1210" s="27"/>
      <x:c r="J1210" s="27"/>
    </x:row>
    <x:row r="1211">
      <x:c r="A1211" s="26"/>
      <x:c r="B1211" s="27"/>
      <x:c r="C1211" s="27"/>
      <x:c r="D1211" s="27"/>
      <x:c r="E1211" s="27"/>
      <x:c r="F1211" s="27"/>
      <x:c r="G1211" s="27"/>
      <x:c r="H1211" s="27"/>
      <x:c r="I1211" s="27"/>
      <x:c r="J1211" s="27"/>
    </x:row>
    <x:row r="1212">
      <x:c r="A1212" s="26"/>
      <x:c r="B1212" s="27"/>
      <x:c r="C1212" s="27"/>
      <x:c r="D1212" s="27"/>
      <x:c r="E1212" s="27"/>
      <x:c r="F1212" s="27"/>
      <x:c r="G1212" s="27"/>
      <x:c r="H1212" s="27"/>
      <x:c r="I1212" s="27"/>
      <x:c r="J1212" s="27"/>
    </x:row>
    <x:row r="1213">
      <x:c r="A1213" s="26"/>
      <x:c r="B1213" s="27"/>
      <x:c r="C1213" s="27"/>
      <x:c r="D1213" s="27"/>
      <x:c r="E1213" s="27"/>
      <x:c r="F1213" s="27"/>
      <x:c r="G1213" s="27"/>
      <x:c r="H1213" s="27"/>
      <x:c r="I1213" s="27"/>
      <x:c r="J1213" s="27"/>
    </x:row>
    <x:row r="1214">
      <x:c r="A1214" s="26"/>
      <x:c r="B1214" s="27"/>
      <x:c r="C1214" s="27"/>
      <x:c r="D1214" s="27"/>
      <x:c r="E1214" s="27"/>
      <x:c r="F1214" s="27"/>
      <x:c r="G1214" s="27"/>
      <x:c r="H1214" s="27"/>
      <x:c r="I1214" s="27"/>
      <x:c r="J1214" s="27"/>
    </x:row>
    <x:row r="1215">
      <x:c r="A1215" s="26"/>
      <x:c r="B1215" s="27"/>
      <x:c r="C1215" s="27"/>
      <x:c r="D1215" s="27"/>
      <x:c r="E1215" s="27"/>
      <x:c r="F1215" s="27"/>
      <x:c r="G1215" s="27"/>
      <x:c r="H1215" s="27"/>
      <x:c r="I1215" s="27"/>
      <x:c r="J1215" s="27"/>
    </x:row>
    <x:row r="1216">
      <x:c r="A1216" s="26"/>
      <x:c r="B1216" s="27"/>
      <x:c r="C1216" s="27"/>
      <x:c r="D1216" s="27"/>
      <x:c r="E1216" s="27"/>
      <x:c r="F1216" s="27"/>
      <x:c r="G1216" s="27"/>
      <x:c r="H1216" s="27"/>
      <x:c r="I1216" s="27"/>
      <x:c r="J1216" s="27"/>
    </x:row>
    <x:row r="1217">
      <x:c r="A1217" s="26"/>
      <x:c r="B1217" s="27"/>
      <x:c r="C1217" s="27"/>
      <x:c r="D1217" s="27"/>
      <x:c r="E1217" s="27"/>
      <x:c r="F1217" s="27"/>
      <x:c r="G1217" s="27"/>
      <x:c r="H1217" s="27"/>
      <x:c r="I1217" s="27"/>
      <x:c r="J1217" s="27"/>
    </x:row>
    <x:row r="1218">
      <x:c r="A1218" s="26"/>
      <x:c r="B1218" s="27"/>
      <x:c r="C1218" s="27"/>
      <x:c r="D1218" s="27"/>
      <x:c r="E1218" s="27"/>
      <x:c r="F1218" s="27"/>
      <x:c r="G1218" s="27"/>
      <x:c r="H1218" s="27"/>
      <x:c r="I1218" s="27"/>
      <x:c r="J1218" s="27"/>
    </x:row>
    <x:row r="1219">
      <x:c r="A1219" s="26"/>
      <x:c r="B1219" s="27"/>
      <x:c r="C1219" s="27"/>
      <x:c r="D1219" s="27"/>
      <x:c r="E1219" s="27"/>
      <x:c r="F1219" s="27"/>
      <x:c r="G1219" s="27"/>
      <x:c r="H1219" s="27"/>
      <x:c r="I1219" s="27"/>
      <x:c r="J1219" s="27"/>
    </x:row>
    <x:row r="1220">
      <x:c r="A1220" s="26"/>
      <x:c r="B1220" s="27"/>
      <x:c r="C1220" s="27"/>
      <x:c r="D1220" s="27"/>
      <x:c r="E1220" s="27"/>
      <x:c r="F1220" s="27"/>
      <x:c r="G1220" s="27"/>
      <x:c r="H1220" s="27"/>
      <x:c r="I1220" s="27"/>
      <x:c r="J1220" s="27"/>
    </x:row>
    <x:row r="1221">
      <x:c r="A1221" s="26"/>
      <x:c r="B1221" s="27"/>
      <x:c r="C1221" s="27"/>
      <x:c r="D1221" s="27"/>
      <x:c r="E1221" s="27"/>
      <x:c r="F1221" s="27"/>
      <x:c r="G1221" s="27"/>
      <x:c r="H1221" s="27"/>
      <x:c r="I1221" s="27"/>
      <x:c r="J1221" s="27"/>
    </x:row>
    <x:row r="1222">
      <x:c r="A1222" s="26"/>
      <x:c r="B1222" s="27"/>
      <x:c r="C1222" s="27"/>
      <x:c r="D1222" s="27"/>
      <x:c r="E1222" s="27"/>
      <x:c r="F1222" s="27"/>
      <x:c r="G1222" s="27"/>
      <x:c r="H1222" s="27"/>
      <x:c r="I1222" s="27"/>
      <x:c r="J1222" s="27"/>
    </x:row>
    <x:row r="1223">
      <x:c r="A1223" s="26"/>
      <x:c r="B1223" s="27"/>
      <x:c r="C1223" s="27"/>
      <x:c r="D1223" s="27"/>
      <x:c r="E1223" s="27"/>
      <x:c r="F1223" s="27"/>
      <x:c r="G1223" s="27"/>
      <x:c r="H1223" s="27"/>
      <x:c r="I1223" s="27"/>
      <x:c r="J1223" s="27"/>
    </x:row>
    <x:row r="1224">
      <x:c r="A1224" s="26"/>
      <x:c r="B1224" s="27"/>
      <x:c r="C1224" s="27"/>
      <x:c r="D1224" s="27"/>
      <x:c r="E1224" s="27"/>
      <x:c r="F1224" s="27"/>
      <x:c r="G1224" s="27"/>
      <x:c r="H1224" s="27"/>
      <x:c r="I1224" s="27"/>
      <x:c r="J1224" s="27"/>
    </x:row>
    <x:row r="1225">
      <x:c r="A1225" s="26"/>
      <x:c r="B1225" s="27"/>
      <x:c r="C1225" s="27"/>
      <x:c r="D1225" s="27"/>
      <x:c r="E1225" s="27"/>
      <x:c r="F1225" s="27"/>
      <x:c r="G1225" s="27"/>
      <x:c r="H1225" s="27"/>
      <x:c r="I1225" s="27"/>
      <x:c r="J1225" s="27"/>
    </x:row>
    <x:row r="1226">
      <x:c r="A1226" s="26"/>
      <x:c r="B1226" s="27"/>
      <x:c r="C1226" s="27"/>
      <x:c r="D1226" s="27"/>
      <x:c r="E1226" s="27"/>
      <x:c r="F1226" s="27"/>
      <x:c r="G1226" s="27"/>
      <x:c r="H1226" s="27"/>
      <x:c r="I1226" s="27"/>
      <x:c r="J1226" s="27"/>
    </x:row>
    <x:row r="1227">
      <x:c r="A1227" s="26"/>
      <x:c r="B1227" s="27"/>
      <x:c r="C1227" s="27"/>
      <x:c r="D1227" s="27"/>
      <x:c r="E1227" s="27"/>
      <x:c r="F1227" s="27"/>
      <x:c r="G1227" s="27"/>
      <x:c r="H1227" s="27"/>
      <x:c r="I1227" s="27"/>
      <x:c r="J1227" s="27"/>
    </x:row>
    <x:row r="1228">
      <x:c r="A1228" s="26"/>
      <x:c r="B1228" s="27"/>
      <x:c r="C1228" s="27"/>
      <x:c r="D1228" s="27"/>
      <x:c r="E1228" s="27"/>
      <x:c r="F1228" s="27"/>
      <x:c r="G1228" s="27"/>
      <x:c r="H1228" s="27"/>
      <x:c r="I1228" s="27"/>
      <x:c r="J1228" s="27"/>
    </x:row>
    <x:row r="1229">
      <x:c r="A1229" s="26"/>
      <x:c r="B1229" s="27"/>
      <x:c r="C1229" s="27"/>
      <x:c r="D1229" s="27"/>
      <x:c r="E1229" s="27"/>
      <x:c r="F1229" s="27"/>
      <x:c r="G1229" s="27"/>
      <x:c r="H1229" s="27"/>
      <x:c r="I1229" s="27"/>
      <x:c r="J1229" s="27"/>
    </x:row>
    <x:row r="1230">
      <x:c r="A1230" s="26"/>
      <x:c r="B1230" s="27"/>
      <x:c r="C1230" s="27"/>
      <x:c r="D1230" s="27"/>
      <x:c r="E1230" s="27"/>
      <x:c r="F1230" s="27"/>
      <x:c r="G1230" s="27"/>
      <x:c r="H1230" s="27"/>
      <x:c r="I1230" s="27"/>
      <x:c r="J1230" s="27"/>
    </x:row>
    <x:row r="1231">
      <x:c r="A1231" s="26"/>
      <x:c r="B1231" s="27"/>
      <x:c r="C1231" s="27"/>
      <x:c r="D1231" s="27"/>
      <x:c r="E1231" s="27"/>
      <x:c r="F1231" s="27"/>
      <x:c r="G1231" s="27"/>
      <x:c r="H1231" s="27"/>
      <x:c r="I1231" s="27"/>
      <x:c r="J1231" s="27"/>
    </x:row>
    <x:row r="1232">
      <x:c r="A1232" s="26"/>
      <x:c r="B1232" s="27"/>
      <x:c r="C1232" s="27"/>
      <x:c r="D1232" s="27"/>
      <x:c r="E1232" s="27"/>
      <x:c r="F1232" s="27"/>
      <x:c r="G1232" s="27"/>
      <x:c r="H1232" s="27"/>
      <x:c r="I1232" s="27"/>
      <x:c r="J1232" s="27"/>
    </x:row>
    <x:row r="1233">
      <x:c r="A1233" s="26"/>
      <x:c r="B1233" s="27"/>
      <x:c r="C1233" s="27"/>
      <x:c r="D1233" s="27"/>
      <x:c r="E1233" s="27"/>
      <x:c r="F1233" s="27"/>
      <x:c r="G1233" s="27"/>
      <x:c r="H1233" s="27"/>
      <x:c r="I1233" s="27"/>
      <x:c r="J1233" s="27"/>
    </x:row>
    <x:row r="1234">
      <x:c r="A1234" s="26"/>
      <x:c r="B1234" s="27"/>
      <x:c r="C1234" s="27"/>
      <x:c r="D1234" s="27"/>
      <x:c r="E1234" s="27"/>
      <x:c r="F1234" s="27"/>
      <x:c r="G1234" s="27"/>
      <x:c r="H1234" s="27"/>
      <x:c r="I1234" s="27"/>
      <x:c r="J1234" s="27"/>
    </x:row>
    <x:row r="1235">
      <x:c r="A1235" s="26"/>
      <x:c r="B1235" s="27"/>
      <x:c r="C1235" s="27"/>
      <x:c r="D1235" s="27"/>
      <x:c r="E1235" s="27"/>
      <x:c r="F1235" s="27"/>
      <x:c r="G1235" s="27"/>
      <x:c r="H1235" s="27"/>
      <x:c r="I1235" s="27"/>
      <x:c r="J1235" s="27"/>
    </x:row>
    <x:row r="1236">
      <x:c r="A1236" s="26"/>
      <x:c r="B1236" s="27"/>
      <x:c r="C1236" s="27"/>
      <x:c r="D1236" s="27"/>
      <x:c r="E1236" s="27"/>
      <x:c r="F1236" s="27"/>
      <x:c r="G1236" s="27"/>
      <x:c r="H1236" s="27"/>
      <x:c r="I1236" s="27"/>
      <x:c r="J1236" s="27"/>
    </x:row>
    <x:row r="1237">
      <x:c r="A1237" s="26"/>
      <x:c r="B1237" s="27"/>
      <x:c r="C1237" s="27"/>
      <x:c r="D1237" s="27"/>
      <x:c r="E1237" s="27"/>
      <x:c r="F1237" s="27"/>
      <x:c r="G1237" s="27"/>
      <x:c r="H1237" s="27"/>
      <x:c r="I1237" s="27"/>
      <x:c r="J1237" s="27"/>
    </x:row>
    <x:row r="1238">
      <x:c r="A1238" s="26"/>
      <x:c r="B1238" s="27"/>
      <x:c r="C1238" s="27"/>
      <x:c r="D1238" s="27"/>
      <x:c r="E1238" s="27"/>
      <x:c r="F1238" s="27"/>
      <x:c r="G1238" s="27"/>
      <x:c r="H1238" s="27"/>
      <x:c r="I1238" s="27"/>
      <x:c r="J1238" s="27"/>
    </x:row>
    <x:row r="1239">
      <x:c r="A1239" s="26"/>
      <x:c r="B1239" s="27"/>
      <x:c r="C1239" s="27"/>
      <x:c r="D1239" s="27"/>
      <x:c r="E1239" s="27"/>
      <x:c r="F1239" s="27"/>
      <x:c r="G1239" s="27"/>
      <x:c r="H1239" s="27"/>
      <x:c r="I1239" s="27"/>
      <x:c r="J1239" s="27"/>
    </x:row>
    <x:row r="1240">
      <x:c r="A1240" s="26"/>
      <x:c r="B1240" s="27"/>
      <x:c r="C1240" s="27"/>
      <x:c r="D1240" s="27"/>
      <x:c r="E1240" s="27"/>
      <x:c r="F1240" s="27"/>
      <x:c r="G1240" s="27"/>
      <x:c r="H1240" s="27"/>
      <x:c r="I1240" s="27"/>
      <x:c r="J1240" s="27"/>
    </x:row>
    <x:row r="1241">
      <x:c r="A1241" s="26"/>
      <x:c r="B1241" s="27"/>
      <x:c r="C1241" s="27"/>
      <x:c r="D1241" s="27"/>
      <x:c r="E1241" s="27"/>
      <x:c r="F1241" s="27"/>
      <x:c r="G1241" s="27"/>
      <x:c r="H1241" s="27"/>
      <x:c r="I1241" s="27"/>
      <x:c r="J1241" s="27"/>
    </x:row>
    <x:row r="1242">
      <x:c r="A1242" s="26"/>
      <x:c r="B1242" s="27"/>
      <x:c r="C1242" s="27"/>
      <x:c r="D1242" s="27"/>
      <x:c r="E1242" s="27"/>
      <x:c r="F1242" s="27"/>
      <x:c r="G1242" s="27"/>
      <x:c r="H1242" s="27"/>
      <x:c r="I1242" s="27"/>
      <x:c r="J1242" s="27"/>
    </x:row>
    <x:row r="1243">
      <x:c r="A1243" s="26"/>
      <x:c r="B1243" s="27"/>
      <x:c r="C1243" s="27"/>
      <x:c r="D1243" s="27"/>
      <x:c r="E1243" s="27"/>
      <x:c r="F1243" s="27"/>
      <x:c r="G1243" s="27"/>
      <x:c r="H1243" s="27"/>
      <x:c r="I1243" s="27"/>
      <x:c r="J1243" s="27"/>
    </x:row>
    <x:row r="1244">
      <x:c r="A1244" s="26"/>
      <x:c r="B1244" s="27"/>
      <x:c r="C1244" s="27"/>
      <x:c r="D1244" s="27"/>
      <x:c r="E1244" s="27"/>
      <x:c r="F1244" s="27"/>
      <x:c r="G1244" s="27"/>
      <x:c r="H1244" s="27"/>
      <x:c r="I1244" s="27"/>
      <x:c r="J1244" s="27"/>
    </x:row>
    <x:row r="1245">
      <x:c r="A1245" s="26"/>
      <x:c r="B1245" s="27"/>
      <x:c r="C1245" s="27"/>
      <x:c r="D1245" s="27"/>
      <x:c r="E1245" s="27"/>
      <x:c r="F1245" s="27"/>
      <x:c r="G1245" s="27"/>
      <x:c r="H1245" s="27"/>
      <x:c r="I1245" s="27"/>
      <x:c r="J1245" s="27"/>
    </x:row>
    <x:row r="1246">
      <x:c r="A1246" s="26"/>
      <x:c r="B1246" s="27"/>
      <x:c r="C1246" s="27"/>
      <x:c r="D1246" s="27"/>
      <x:c r="E1246" s="27"/>
      <x:c r="F1246" s="27"/>
      <x:c r="G1246" s="27"/>
      <x:c r="H1246" s="27"/>
      <x:c r="I1246" s="27"/>
      <x:c r="J1246" s="27"/>
    </x:row>
    <x:row r="1247">
      <x:c r="A1247" s="26"/>
      <x:c r="B1247" s="27"/>
      <x:c r="C1247" s="27"/>
      <x:c r="D1247" s="27"/>
      <x:c r="E1247" s="27"/>
      <x:c r="F1247" s="27"/>
      <x:c r="G1247" s="27"/>
      <x:c r="H1247" s="27"/>
      <x:c r="I1247" s="27"/>
      <x:c r="J1247" s="27"/>
    </x:row>
    <x:row r="1248">
      <x:c r="A1248" s="26"/>
      <x:c r="B1248" s="27"/>
      <x:c r="C1248" s="27"/>
      <x:c r="D1248" s="27"/>
      <x:c r="E1248" s="27"/>
      <x:c r="F1248" s="27"/>
      <x:c r="G1248" s="27"/>
      <x:c r="H1248" s="27"/>
      <x:c r="I1248" s="27"/>
      <x:c r="J1248" s="27"/>
    </x:row>
    <x:row r="1249">
      <x:c r="A1249" s="26"/>
      <x:c r="B1249" s="27"/>
      <x:c r="C1249" s="27"/>
      <x:c r="D1249" s="27"/>
      <x:c r="E1249" s="27"/>
      <x:c r="F1249" s="27"/>
      <x:c r="G1249" s="27"/>
      <x:c r="H1249" s="27"/>
      <x:c r="I1249" s="27"/>
      <x:c r="J1249" s="27"/>
    </x:row>
    <x:row r="1250">
      <x:c r="A1250" s="26"/>
      <x:c r="B1250" s="27"/>
      <x:c r="C1250" s="27"/>
      <x:c r="D1250" s="27"/>
      <x:c r="E1250" s="27"/>
      <x:c r="F1250" s="27"/>
      <x:c r="G1250" s="27"/>
      <x:c r="H1250" s="27"/>
      <x:c r="I1250" s="27"/>
      <x:c r="J1250" s="27"/>
    </x:row>
    <x:row r="1251">
      <x:c r="A1251" s="26"/>
      <x:c r="B1251" s="27"/>
      <x:c r="C1251" s="27"/>
      <x:c r="D1251" s="27"/>
      <x:c r="E1251" s="27"/>
      <x:c r="F1251" s="27"/>
      <x:c r="G1251" s="27"/>
      <x:c r="H1251" s="27"/>
      <x:c r="I1251" s="27"/>
      <x:c r="J1251" s="27"/>
    </x:row>
    <x:row r="1252">
      <x:c r="A1252" s="26"/>
      <x:c r="B1252" s="27"/>
      <x:c r="C1252" s="27"/>
      <x:c r="D1252" s="27"/>
      <x:c r="E1252" s="27"/>
      <x:c r="F1252" s="27"/>
      <x:c r="G1252" s="27"/>
      <x:c r="H1252" s="27"/>
      <x:c r="I1252" s="27"/>
      <x:c r="J1252" s="27"/>
    </x:row>
    <x:row r="1253">
      <x:c r="A1253" s="26"/>
      <x:c r="B1253" s="27"/>
      <x:c r="C1253" s="27"/>
      <x:c r="D1253" s="27"/>
      <x:c r="E1253" s="27"/>
      <x:c r="F1253" s="27"/>
      <x:c r="G1253" s="27"/>
      <x:c r="H1253" s="27"/>
      <x:c r="I1253" s="27"/>
      <x:c r="J1253" s="27"/>
    </x:row>
    <x:row r="1254">
      <x:c r="A1254" s="26"/>
      <x:c r="B1254" s="27"/>
      <x:c r="C1254" s="27"/>
      <x:c r="D1254" s="27"/>
      <x:c r="E1254" s="27"/>
      <x:c r="F1254" s="27"/>
      <x:c r="G1254" s="27"/>
      <x:c r="H1254" s="27"/>
      <x:c r="I1254" s="27"/>
      <x:c r="J1254" s="27"/>
    </x:row>
    <x:row r="1255">
      <x:c r="A1255" s="26"/>
      <x:c r="B1255" s="27"/>
      <x:c r="C1255" s="27"/>
      <x:c r="D1255" s="27"/>
      <x:c r="E1255" s="27"/>
      <x:c r="F1255" s="27"/>
      <x:c r="G1255" s="27"/>
      <x:c r="H1255" s="27"/>
      <x:c r="I1255" s="27"/>
      <x:c r="J1255" s="27"/>
    </x:row>
    <x:row r="1256">
      <x:c r="A1256" s="26"/>
      <x:c r="B1256" s="27"/>
      <x:c r="C1256" s="27"/>
      <x:c r="D1256" s="27"/>
      <x:c r="E1256" s="27"/>
      <x:c r="F1256" s="27"/>
      <x:c r="G1256" s="27"/>
      <x:c r="H1256" s="27"/>
      <x:c r="I1256" s="27"/>
      <x:c r="J1256" s="27"/>
    </x:row>
    <x:row r="1257">
      <x:c r="A1257" s="26"/>
      <x:c r="B1257" s="27"/>
      <x:c r="C1257" s="27"/>
      <x:c r="D1257" s="27"/>
      <x:c r="E1257" s="27"/>
      <x:c r="F1257" s="27"/>
      <x:c r="G1257" s="27"/>
      <x:c r="H1257" s="27"/>
      <x:c r="I1257" s="27"/>
      <x:c r="J1257" s="27"/>
    </x:row>
    <x:row r="1258">
      <x:c r="A1258" s="26"/>
      <x:c r="B1258" s="27"/>
      <x:c r="C1258" s="27"/>
      <x:c r="D1258" s="27"/>
      <x:c r="E1258" s="27"/>
      <x:c r="F1258" s="27"/>
      <x:c r="G1258" s="27"/>
      <x:c r="H1258" s="27"/>
      <x:c r="I1258" s="27"/>
      <x:c r="J1258" s="27"/>
    </x:row>
    <x:row r="1259">
      <x:c r="A1259" s="26"/>
      <x:c r="B1259" s="27"/>
      <x:c r="C1259" s="27"/>
      <x:c r="D1259" s="27"/>
      <x:c r="E1259" s="27"/>
      <x:c r="F1259" s="27"/>
      <x:c r="G1259" s="27"/>
      <x:c r="H1259" s="27"/>
      <x:c r="I1259" s="27"/>
      <x:c r="J1259" s="27"/>
    </x:row>
    <x:row r="1260">
      <x:c r="A1260" s="26"/>
      <x:c r="B1260" s="27"/>
      <x:c r="C1260" s="27"/>
      <x:c r="D1260" s="27"/>
      <x:c r="E1260" s="27"/>
      <x:c r="F1260" s="27"/>
      <x:c r="G1260" s="27"/>
      <x:c r="H1260" s="27"/>
      <x:c r="I1260" s="27"/>
      <x:c r="J1260" s="27"/>
    </x:row>
    <x:row r="1261">
      <x:c r="A1261" s="26"/>
      <x:c r="B1261" s="27"/>
      <x:c r="C1261" s="27"/>
      <x:c r="D1261" s="27"/>
      <x:c r="E1261" s="27"/>
      <x:c r="F1261" s="27"/>
      <x:c r="G1261" s="27"/>
      <x:c r="H1261" s="27"/>
      <x:c r="I1261" s="27"/>
      <x:c r="J1261" s="27"/>
    </x:row>
    <x:row r="1262">
      <x:c r="A1262" s="26"/>
      <x:c r="B1262" s="27"/>
      <x:c r="C1262" s="27"/>
      <x:c r="D1262" s="27"/>
      <x:c r="E1262" s="27"/>
      <x:c r="F1262" s="27"/>
      <x:c r="G1262" s="27"/>
      <x:c r="H1262" s="27"/>
      <x:c r="I1262" s="27"/>
      <x:c r="J1262" s="27"/>
    </x:row>
    <x:row r="1263">
      <x:c r="A1263" s="26"/>
      <x:c r="B1263" s="27"/>
      <x:c r="C1263" s="27"/>
      <x:c r="D1263" s="27"/>
      <x:c r="E1263" s="27"/>
      <x:c r="F1263" s="27"/>
      <x:c r="G1263" s="27"/>
      <x:c r="H1263" s="27"/>
      <x:c r="I1263" s="27"/>
      <x:c r="J1263" s="27"/>
    </x:row>
    <x:row r="1264">
      <x:c r="A1264" s="26"/>
      <x:c r="B1264" s="27"/>
      <x:c r="C1264" s="27"/>
      <x:c r="D1264" s="27"/>
      <x:c r="E1264" s="27"/>
      <x:c r="F1264" s="27"/>
      <x:c r="G1264" s="27"/>
      <x:c r="H1264" s="27"/>
      <x:c r="I1264" s="27"/>
      <x:c r="J1264" s="27"/>
    </x:row>
    <x:row r="1265">
      <x:c r="A1265" s="26"/>
      <x:c r="B1265" s="27"/>
      <x:c r="C1265" s="27"/>
      <x:c r="D1265" s="27"/>
      <x:c r="E1265" s="27"/>
      <x:c r="F1265" s="27"/>
      <x:c r="G1265" s="27"/>
      <x:c r="H1265" s="27"/>
      <x:c r="I1265" s="27"/>
      <x:c r="J1265" s="27"/>
    </x:row>
    <x:row r="1266">
      <x:c r="A1266" s="26"/>
      <x:c r="B1266" s="27"/>
      <x:c r="C1266" s="27"/>
      <x:c r="D1266" s="27"/>
      <x:c r="E1266" s="27"/>
      <x:c r="F1266" s="27"/>
      <x:c r="G1266" s="27"/>
      <x:c r="H1266" s="27"/>
      <x:c r="I1266" s="27"/>
      <x:c r="J1266" s="27"/>
    </x:row>
    <x:row r="1267">
      <x:c r="A1267" s="26"/>
      <x:c r="B1267" s="27"/>
      <x:c r="C1267" s="27"/>
      <x:c r="D1267" s="27"/>
      <x:c r="E1267" s="27"/>
      <x:c r="F1267" s="27"/>
      <x:c r="G1267" s="27"/>
      <x:c r="H1267" s="27"/>
      <x:c r="I1267" s="27"/>
      <x:c r="J1267" s="27"/>
    </x:row>
    <x:row r="1268">
      <x:c r="A1268" s="26"/>
      <x:c r="B1268" s="27"/>
      <x:c r="C1268" s="27"/>
      <x:c r="D1268" s="27"/>
      <x:c r="E1268" s="27"/>
      <x:c r="F1268" s="27"/>
      <x:c r="G1268" s="27"/>
      <x:c r="H1268" s="27"/>
      <x:c r="I1268" s="27"/>
      <x:c r="J1268" s="27"/>
    </x:row>
    <x:row r="1269">
      <x:c r="A1269" s="26"/>
      <x:c r="B1269" s="27"/>
      <x:c r="C1269" s="27"/>
      <x:c r="D1269" s="27"/>
      <x:c r="E1269" s="27"/>
      <x:c r="F1269" s="27"/>
      <x:c r="G1269" s="27"/>
      <x:c r="H1269" s="27"/>
      <x:c r="I1269" s="27"/>
      <x:c r="J1269" s="27"/>
    </x:row>
    <x:row r="1270">
      <x:c r="A1270" s="26"/>
      <x:c r="B1270" s="27"/>
      <x:c r="C1270" s="27"/>
      <x:c r="D1270" s="27"/>
      <x:c r="E1270" s="27"/>
      <x:c r="F1270" s="27"/>
      <x:c r="G1270" s="27"/>
      <x:c r="H1270" s="27"/>
      <x:c r="I1270" s="27"/>
      <x:c r="J1270" s="27"/>
    </x:row>
    <x:row r="1271">
      <x:c r="A1271" s="26"/>
      <x:c r="B1271" s="27"/>
      <x:c r="C1271" s="27"/>
      <x:c r="D1271" s="27"/>
      <x:c r="E1271" s="27"/>
      <x:c r="F1271" s="27"/>
      <x:c r="G1271" s="27"/>
      <x:c r="H1271" s="27"/>
      <x:c r="I1271" s="27"/>
      <x:c r="J1271" s="27"/>
    </x:row>
    <x:row r="1272">
      <x:c r="A1272" s="26"/>
      <x:c r="B1272" s="27"/>
      <x:c r="C1272" s="27"/>
      <x:c r="D1272" s="27"/>
      <x:c r="E1272" s="27"/>
      <x:c r="F1272" s="27"/>
      <x:c r="G1272" s="27"/>
      <x:c r="H1272" s="27"/>
      <x:c r="I1272" s="27"/>
      <x:c r="J1272" s="27"/>
    </x:row>
    <x:row r="1273">
      <x:c r="A1273" s="26"/>
      <x:c r="B1273" s="27"/>
      <x:c r="C1273" s="27"/>
      <x:c r="D1273" s="27"/>
      <x:c r="E1273" s="27"/>
      <x:c r="F1273" s="27"/>
      <x:c r="G1273" s="27"/>
      <x:c r="H1273" s="27"/>
      <x:c r="I1273" s="27"/>
      <x:c r="J1273" s="27"/>
    </x:row>
    <x:row r="1274">
      <x:c r="A1274" s="26"/>
      <x:c r="B1274" s="27"/>
      <x:c r="C1274" s="27"/>
      <x:c r="D1274" s="27"/>
      <x:c r="E1274" s="27"/>
      <x:c r="F1274" s="27"/>
      <x:c r="G1274" s="27"/>
      <x:c r="H1274" s="27"/>
      <x:c r="I1274" s="27"/>
      <x:c r="J1274" s="27"/>
    </x:row>
    <x:row r="1275">
      <x:c r="A1275" s="26"/>
      <x:c r="B1275" s="27"/>
      <x:c r="C1275" s="27"/>
      <x:c r="D1275" s="27"/>
      <x:c r="E1275" s="27"/>
      <x:c r="F1275" s="27"/>
      <x:c r="G1275" s="27"/>
      <x:c r="H1275" s="27"/>
      <x:c r="I1275" s="27"/>
      <x:c r="J1275" s="27"/>
    </x:row>
    <x:row r="1276">
      <x:c r="A1276" s="26"/>
      <x:c r="B1276" s="27"/>
      <x:c r="C1276" s="27"/>
      <x:c r="D1276" s="27"/>
      <x:c r="E1276" s="27"/>
      <x:c r="F1276" s="27"/>
      <x:c r="G1276" s="27"/>
      <x:c r="H1276" s="27"/>
      <x:c r="I1276" s="27"/>
      <x:c r="J1276" s="27"/>
    </x:row>
    <x:row r="1277">
      <x:c r="A1277" s="26"/>
      <x:c r="B1277" s="27"/>
      <x:c r="C1277" s="27"/>
      <x:c r="D1277" s="27"/>
      <x:c r="E1277" s="27"/>
      <x:c r="F1277" s="27"/>
      <x:c r="G1277" s="27"/>
      <x:c r="H1277" s="27"/>
      <x:c r="I1277" s="27"/>
      <x:c r="J1277" s="27"/>
    </x:row>
    <x:row r="1278">
      <x:c r="A1278" s="26"/>
      <x:c r="B1278" s="27"/>
      <x:c r="C1278" s="27"/>
      <x:c r="D1278" s="27"/>
      <x:c r="E1278" s="27"/>
      <x:c r="F1278" s="27"/>
      <x:c r="G1278" s="27"/>
      <x:c r="H1278" s="27"/>
      <x:c r="I1278" s="27"/>
      <x:c r="J1278" s="27"/>
    </x:row>
    <x:row r="1279">
      <x:c r="A1279" s="26"/>
      <x:c r="B1279" s="27"/>
      <x:c r="C1279" s="27"/>
      <x:c r="D1279" s="27"/>
      <x:c r="E1279" s="27"/>
      <x:c r="F1279" s="27"/>
      <x:c r="G1279" s="27"/>
      <x:c r="H1279" s="27"/>
      <x:c r="I1279" s="27"/>
      <x:c r="J1279" s="27"/>
    </x:row>
    <x:row r="1280">
      <x:c r="A1280" s="26"/>
      <x:c r="B1280" s="27"/>
      <x:c r="C1280" s="27"/>
      <x:c r="D1280" s="27"/>
      <x:c r="E1280" s="27"/>
      <x:c r="F1280" s="27"/>
      <x:c r="G1280" s="27"/>
      <x:c r="H1280" s="27"/>
      <x:c r="I1280" s="27"/>
      <x:c r="J1280" s="27"/>
    </x:row>
    <x:row r="1281">
      <x:c r="A1281" s="26"/>
      <x:c r="B1281" s="27"/>
      <x:c r="C1281" s="27"/>
      <x:c r="D1281" s="27"/>
      <x:c r="E1281" s="27"/>
      <x:c r="F1281" s="27"/>
      <x:c r="G1281" s="27"/>
      <x:c r="H1281" s="27"/>
      <x:c r="I1281" s="27"/>
      <x:c r="J1281" s="27"/>
    </x:row>
    <x:row r="1282">
      <x:c r="A1282" s="26"/>
      <x:c r="B1282" s="27"/>
      <x:c r="C1282" s="27"/>
      <x:c r="D1282" s="27"/>
      <x:c r="E1282" s="27"/>
      <x:c r="F1282" s="27"/>
      <x:c r="G1282" s="27"/>
      <x:c r="H1282" s="27"/>
      <x:c r="I1282" s="27"/>
      <x:c r="J1282" s="27"/>
    </x:row>
    <x:row r="1283">
      <x:c r="A1283" s="26"/>
      <x:c r="B1283" s="27"/>
      <x:c r="C1283" s="27"/>
      <x:c r="D1283" s="27"/>
      <x:c r="E1283" s="27"/>
      <x:c r="F1283" s="27"/>
      <x:c r="G1283" s="27"/>
      <x:c r="H1283" s="27"/>
      <x:c r="I1283" s="27"/>
      <x:c r="J1283" s="27"/>
    </x:row>
    <x:row r="1284">
      <x:c r="A1284" s="26"/>
      <x:c r="B1284" s="27"/>
      <x:c r="C1284" s="27"/>
      <x:c r="D1284" s="27"/>
      <x:c r="E1284" s="27"/>
      <x:c r="F1284" s="27"/>
      <x:c r="G1284" s="27"/>
      <x:c r="H1284" s="27"/>
      <x:c r="I1284" s="27"/>
      <x:c r="J1284" s="27"/>
    </x:row>
    <x:row r="1285">
      <x:c r="A1285" s="26"/>
      <x:c r="B1285" s="27"/>
      <x:c r="C1285" s="27"/>
      <x:c r="D1285" s="27"/>
      <x:c r="E1285" s="27"/>
      <x:c r="F1285" s="27"/>
      <x:c r="G1285" s="27"/>
      <x:c r="H1285" s="27"/>
      <x:c r="I1285" s="27"/>
      <x:c r="J1285" s="27"/>
    </x:row>
    <x:row r="1286">
      <x:c r="A1286" s="26"/>
      <x:c r="B1286" s="27"/>
      <x:c r="C1286" s="27"/>
      <x:c r="D1286" s="27"/>
      <x:c r="E1286" s="27"/>
      <x:c r="F1286" s="27"/>
      <x:c r="G1286" s="27"/>
      <x:c r="H1286" s="27"/>
      <x:c r="I1286" s="27"/>
      <x:c r="J1286" s="27"/>
    </x:row>
    <x:row r="1287">
      <x:c r="A1287" s="26"/>
      <x:c r="B1287" s="27"/>
      <x:c r="C1287" s="27"/>
      <x:c r="D1287" s="27"/>
      <x:c r="E1287" s="27"/>
      <x:c r="F1287" s="27"/>
      <x:c r="G1287" s="27"/>
      <x:c r="H1287" s="27"/>
      <x:c r="I1287" s="27"/>
      <x:c r="J1287" s="27"/>
    </x:row>
    <x:row r="1288">
      <x:c r="A1288" s="26"/>
      <x:c r="B1288" s="27"/>
      <x:c r="C1288" s="27"/>
      <x:c r="D1288" s="27"/>
      <x:c r="E1288" s="27"/>
      <x:c r="F1288" s="27"/>
      <x:c r="G1288" s="27"/>
      <x:c r="H1288" s="27"/>
      <x:c r="I1288" s="27"/>
      <x:c r="J1288" s="27"/>
    </x:row>
    <x:row r="1289">
      <x:c r="A1289" s="26"/>
      <x:c r="B1289" s="27"/>
      <x:c r="C1289" s="27"/>
      <x:c r="D1289" s="27"/>
      <x:c r="E1289" s="27"/>
      <x:c r="F1289" s="27"/>
      <x:c r="G1289" s="27"/>
      <x:c r="H1289" s="27"/>
      <x:c r="I1289" s="27"/>
      <x:c r="J1289" s="27"/>
    </x:row>
    <x:row r="1290">
      <x:c r="A1290" s="26"/>
      <x:c r="B1290" s="27"/>
      <x:c r="C1290" s="27"/>
      <x:c r="D1290" s="27"/>
      <x:c r="E1290" s="27"/>
      <x:c r="F1290" s="27"/>
      <x:c r="G1290" s="27"/>
      <x:c r="H1290" s="27"/>
      <x:c r="I1290" s="27"/>
      <x:c r="J1290" s="27"/>
    </x:row>
    <x:row r="1291">
      <x:c r="A1291" s="26"/>
      <x:c r="B1291" s="27"/>
      <x:c r="C1291" s="27"/>
      <x:c r="D1291" s="27"/>
      <x:c r="E1291" s="27"/>
      <x:c r="F1291" s="27"/>
      <x:c r="G1291" s="27"/>
      <x:c r="H1291" s="27"/>
      <x:c r="I1291" s="27"/>
      <x:c r="J1291" s="27"/>
    </x:row>
    <x:row r="1292">
      <x:c r="A1292" s="26"/>
      <x:c r="B1292" s="27"/>
      <x:c r="C1292" s="27"/>
      <x:c r="D1292" s="27"/>
      <x:c r="E1292" s="27"/>
      <x:c r="F1292" s="27"/>
      <x:c r="G1292" s="27"/>
      <x:c r="H1292" s="27"/>
      <x:c r="I1292" s="27"/>
      <x:c r="J1292" s="27"/>
    </x:row>
    <x:row r="1293">
      <x:c r="A1293" s="26"/>
      <x:c r="B1293" s="27"/>
      <x:c r="C1293" s="27"/>
      <x:c r="D1293" s="27"/>
      <x:c r="E1293" s="27"/>
      <x:c r="F1293" s="27"/>
      <x:c r="G1293" s="27"/>
      <x:c r="H1293" s="27"/>
      <x:c r="I1293" s="27"/>
      <x:c r="J1293" s="27"/>
    </x:row>
    <x:row r="1294">
      <x:c r="A1294" s="26"/>
      <x:c r="B1294" s="27"/>
      <x:c r="C1294" s="27"/>
      <x:c r="D1294" s="27"/>
      <x:c r="E1294" s="27"/>
      <x:c r="F1294" s="27"/>
      <x:c r="G1294" s="27"/>
      <x:c r="H1294" s="27"/>
      <x:c r="I1294" s="27"/>
      <x:c r="J1294" s="27"/>
    </x:row>
    <x:row r="1295">
      <x:c r="A1295" s="26"/>
      <x:c r="B1295" s="27"/>
      <x:c r="C1295" s="27"/>
      <x:c r="D1295" s="27"/>
      <x:c r="E1295" s="27"/>
      <x:c r="F1295" s="27"/>
      <x:c r="G1295" s="27"/>
      <x:c r="H1295" s="27"/>
      <x:c r="I1295" s="27"/>
      <x:c r="J1295" s="27"/>
    </x:row>
    <x:row r="1296">
      <x:c r="A1296" s="26"/>
      <x:c r="B1296" s="27"/>
      <x:c r="C1296" s="27"/>
      <x:c r="D1296" s="27"/>
      <x:c r="E1296" s="27"/>
      <x:c r="F1296" s="27"/>
      <x:c r="G1296" s="27"/>
      <x:c r="H1296" s="27"/>
      <x:c r="I1296" s="27"/>
      <x:c r="J1296" s="27"/>
    </x:row>
    <x:row r="1297">
      <x:c r="A1297" s="26"/>
      <x:c r="B1297" s="27"/>
      <x:c r="C1297" s="27"/>
      <x:c r="D1297" s="27"/>
      <x:c r="E1297" s="27"/>
      <x:c r="F1297" s="27"/>
      <x:c r="G1297" s="27"/>
      <x:c r="H1297" s="27"/>
      <x:c r="I1297" s="27"/>
      <x:c r="J1297" s="27"/>
    </x:row>
    <x:row r="1298">
      <x:c r="A1298" s="26"/>
      <x:c r="B1298" s="27"/>
      <x:c r="C1298" s="27"/>
      <x:c r="D1298" s="27"/>
      <x:c r="E1298" s="27"/>
      <x:c r="F1298" s="27"/>
      <x:c r="G1298" s="27"/>
      <x:c r="H1298" s="27"/>
      <x:c r="I1298" s="27"/>
      <x:c r="J1298" s="27"/>
    </x:row>
    <x:row r="1299">
      <x:c r="A1299" s="26"/>
      <x:c r="B1299" s="27"/>
      <x:c r="C1299" s="27"/>
      <x:c r="D1299" s="27"/>
      <x:c r="E1299" s="27"/>
      <x:c r="F1299" s="27"/>
      <x:c r="G1299" s="27"/>
      <x:c r="H1299" s="27"/>
      <x:c r="I1299" s="27"/>
      <x:c r="J1299" s="27"/>
    </x:row>
    <x:row r="1300">
      <x:c r="A1300" s="26"/>
      <x:c r="B1300" s="27"/>
      <x:c r="C1300" s="27"/>
      <x:c r="D1300" s="27"/>
      <x:c r="E1300" s="27"/>
      <x:c r="F1300" s="27"/>
      <x:c r="G1300" s="27"/>
      <x:c r="H1300" s="27"/>
      <x:c r="I1300" s="27"/>
      <x:c r="J1300" s="27"/>
    </x:row>
    <x:row r="1301">
      <x:c r="A1301" s="26"/>
      <x:c r="B1301" s="27"/>
      <x:c r="C1301" s="27"/>
      <x:c r="D1301" s="27"/>
      <x:c r="E1301" s="27"/>
      <x:c r="F1301" s="27"/>
      <x:c r="G1301" s="27"/>
      <x:c r="H1301" s="27"/>
      <x:c r="I1301" s="27"/>
      <x:c r="J1301" s="27"/>
    </x:row>
    <x:row r="1302">
      <x:c r="A1302" s="26"/>
      <x:c r="B1302" s="27"/>
      <x:c r="C1302" s="27"/>
      <x:c r="D1302" s="27"/>
      <x:c r="E1302" s="27"/>
      <x:c r="F1302" s="27"/>
      <x:c r="G1302" s="27"/>
      <x:c r="H1302" s="27"/>
      <x:c r="I1302" s="27"/>
      <x:c r="J1302" s="27"/>
    </x:row>
    <x:row r="1303">
      <x:c r="A1303" s="26"/>
      <x:c r="B1303" s="27"/>
      <x:c r="C1303" s="27"/>
      <x:c r="D1303" s="27"/>
      <x:c r="E1303" s="27"/>
      <x:c r="F1303" s="27"/>
      <x:c r="G1303" s="27"/>
      <x:c r="H1303" s="27"/>
      <x:c r="I1303" s="27"/>
      <x:c r="J1303" s="27"/>
    </x:row>
    <x:row r="1304">
      <x:c r="A1304" s="26"/>
      <x:c r="B1304" s="27"/>
      <x:c r="C1304" s="27"/>
      <x:c r="D1304" s="27"/>
      <x:c r="E1304" s="27"/>
      <x:c r="F1304" s="27"/>
      <x:c r="G1304" s="27"/>
      <x:c r="H1304" s="27"/>
      <x:c r="I1304" s="27"/>
      <x:c r="J1304" s="27"/>
    </x:row>
    <x:row r="1305">
      <x:c r="A1305" s="26"/>
      <x:c r="B1305" s="27"/>
      <x:c r="C1305" s="27"/>
      <x:c r="D1305" s="27"/>
      <x:c r="E1305" s="27"/>
      <x:c r="F1305" s="27"/>
      <x:c r="G1305" s="27"/>
      <x:c r="H1305" s="27"/>
      <x:c r="I1305" s="27"/>
      <x:c r="J1305" s="27"/>
    </x:row>
    <x:row r="1306">
      <x:c r="A1306" s="26"/>
      <x:c r="B1306" s="27"/>
      <x:c r="C1306" s="27"/>
      <x:c r="D1306" s="27"/>
      <x:c r="E1306" s="27"/>
      <x:c r="F1306" s="27"/>
      <x:c r="G1306" s="27"/>
      <x:c r="H1306" s="27"/>
      <x:c r="I1306" s="27"/>
      <x:c r="J1306" s="27"/>
    </x:row>
    <x:row r="1307">
      <x:c r="A1307" s="26"/>
      <x:c r="B1307" s="27"/>
      <x:c r="C1307" s="27"/>
      <x:c r="D1307" s="27"/>
      <x:c r="E1307" s="27"/>
      <x:c r="F1307" s="27"/>
      <x:c r="G1307" s="27"/>
      <x:c r="H1307" s="27"/>
      <x:c r="I1307" s="27"/>
      <x:c r="J1307" s="27"/>
    </x:row>
    <x:row r="1308">
      <x:c r="A1308" s="26"/>
      <x:c r="B1308" s="27"/>
      <x:c r="C1308" s="27"/>
      <x:c r="D1308" s="27"/>
      <x:c r="E1308" s="27"/>
      <x:c r="F1308" s="27"/>
      <x:c r="G1308" s="27"/>
      <x:c r="H1308" s="27"/>
      <x:c r="I1308" s="27"/>
      <x:c r="J1308" s="27"/>
    </x:row>
    <x:row r="1309">
      <x:c r="A1309" s="26"/>
      <x:c r="B1309" s="27"/>
      <x:c r="C1309" s="27"/>
      <x:c r="D1309" s="27"/>
      <x:c r="E1309" s="27"/>
      <x:c r="F1309" s="27"/>
      <x:c r="G1309" s="27"/>
      <x:c r="H1309" s="27"/>
      <x:c r="I1309" s="27"/>
      <x:c r="J1309" s="27"/>
    </x:row>
    <x:row r="1310">
      <x:c r="A1310" s="26"/>
      <x:c r="B1310" s="27"/>
      <x:c r="C1310" s="27"/>
      <x:c r="D1310" s="27"/>
      <x:c r="E1310" s="27"/>
      <x:c r="F1310" s="27"/>
      <x:c r="G1310" s="27"/>
      <x:c r="H1310" s="27"/>
      <x:c r="I1310" s="27"/>
      <x:c r="J1310" s="27"/>
    </x:row>
    <x:row r="1311">
      <x:c r="A1311" s="26"/>
      <x:c r="B1311" s="27"/>
      <x:c r="C1311" s="27"/>
      <x:c r="D1311" s="27"/>
      <x:c r="E1311" s="27"/>
      <x:c r="F1311" s="27"/>
      <x:c r="G1311" s="27"/>
      <x:c r="H1311" s="27"/>
      <x:c r="I1311" s="27"/>
      <x:c r="J1311" s="27"/>
    </x:row>
    <x:row r="1312">
      <x:c r="A1312" s="26"/>
      <x:c r="B1312" s="27"/>
      <x:c r="C1312" s="27"/>
      <x:c r="D1312" s="27"/>
      <x:c r="E1312" s="27"/>
      <x:c r="F1312" s="27"/>
      <x:c r="G1312" s="27"/>
      <x:c r="H1312" s="27"/>
      <x:c r="I1312" s="27"/>
      <x:c r="J1312" s="27"/>
    </x:row>
    <x:row r="1313">
      <x:c r="A1313" s="26"/>
      <x:c r="B1313" s="27"/>
      <x:c r="C1313" s="27"/>
      <x:c r="D1313" s="27"/>
      <x:c r="E1313" s="27"/>
      <x:c r="F1313" s="27"/>
      <x:c r="G1313" s="27"/>
      <x:c r="H1313" s="27"/>
      <x:c r="I1313" s="27"/>
      <x:c r="J1313" s="27"/>
    </x:row>
    <x:row r="1314">
      <x:c r="A1314" s="26"/>
      <x:c r="B1314" s="27"/>
      <x:c r="C1314" s="27"/>
      <x:c r="D1314" s="27"/>
      <x:c r="E1314" s="27"/>
      <x:c r="F1314" s="27"/>
      <x:c r="G1314" s="27"/>
      <x:c r="H1314" s="27"/>
      <x:c r="I1314" s="27"/>
      <x:c r="J1314" s="27"/>
    </x:row>
    <x:row r="1315">
      <x:c r="A1315" s="26"/>
      <x:c r="B1315" s="27"/>
      <x:c r="C1315" s="27"/>
      <x:c r="D1315" s="27"/>
      <x:c r="E1315" s="27"/>
      <x:c r="F1315" s="27"/>
      <x:c r="G1315" s="27"/>
      <x:c r="H1315" s="27"/>
      <x:c r="I1315" s="27"/>
      <x:c r="J1315" s="27"/>
    </x:row>
    <x:row r="1316">
      <x:c r="A1316" s="26"/>
      <x:c r="B1316" s="27"/>
      <x:c r="C1316" s="27"/>
      <x:c r="D1316" s="27"/>
      <x:c r="E1316" s="27"/>
      <x:c r="F1316" s="27"/>
      <x:c r="G1316" s="27"/>
      <x:c r="H1316" s="27"/>
      <x:c r="I1316" s="27"/>
      <x:c r="J1316" s="27"/>
    </x:row>
    <x:row r="1317">
      <x:c r="A1317" s="26"/>
      <x:c r="B1317" s="27"/>
      <x:c r="C1317" s="27"/>
      <x:c r="D1317" s="27"/>
      <x:c r="E1317" s="27"/>
      <x:c r="F1317" s="27"/>
      <x:c r="G1317" s="27"/>
      <x:c r="H1317" s="27"/>
      <x:c r="I1317" s="27"/>
      <x:c r="J1317" s="27"/>
    </x:row>
    <x:row r="1318">
      <x:c r="A1318" s="26"/>
      <x:c r="B1318" s="27"/>
      <x:c r="C1318" s="27"/>
      <x:c r="D1318" s="27"/>
      <x:c r="E1318" s="27"/>
      <x:c r="F1318" s="27"/>
      <x:c r="G1318" s="27"/>
      <x:c r="H1318" s="27"/>
      <x:c r="I1318" s="27"/>
      <x:c r="J1318" s="27"/>
    </x:row>
    <x:row r="1319">
      <x:c r="A1319" s="26"/>
      <x:c r="B1319" s="27"/>
      <x:c r="C1319" s="27"/>
      <x:c r="D1319" s="27"/>
      <x:c r="E1319" s="27"/>
      <x:c r="F1319" s="27"/>
      <x:c r="G1319" s="27"/>
      <x:c r="H1319" s="27"/>
      <x:c r="I1319" s="27"/>
      <x:c r="J1319" s="27"/>
    </x:row>
    <x:row r="1320">
      <x:c r="A1320" s="26"/>
      <x:c r="B1320" s="27"/>
      <x:c r="C1320" s="27"/>
      <x:c r="D1320" s="27"/>
      <x:c r="E1320" s="27"/>
      <x:c r="F1320" s="27"/>
      <x:c r="G1320" s="27"/>
      <x:c r="H1320" s="27"/>
      <x:c r="I1320" s="27"/>
      <x:c r="J1320" s="27"/>
    </x:row>
    <x:row r="1321">
      <x:c r="A1321" s="26"/>
      <x:c r="B1321" s="27"/>
      <x:c r="C1321" s="27"/>
      <x:c r="D1321" s="27"/>
      <x:c r="E1321" s="27"/>
      <x:c r="F1321" s="27"/>
      <x:c r="G1321" s="27"/>
      <x:c r="H1321" s="27"/>
      <x:c r="I1321" s="27"/>
      <x:c r="J1321" s="27"/>
    </x:row>
    <x:row r="1322">
      <x:c r="A1322" s="26"/>
      <x:c r="B1322" s="27"/>
      <x:c r="C1322" s="27"/>
      <x:c r="D1322" s="27"/>
      <x:c r="E1322" s="27"/>
      <x:c r="F1322" s="27"/>
      <x:c r="G1322" s="27"/>
      <x:c r="H1322" s="27"/>
      <x:c r="I1322" s="27"/>
      <x:c r="J1322" s="27"/>
    </x:row>
    <x:row r="1323">
      <x:c r="A1323" s="26"/>
      <x:c r="B1323" s="27"/>
      <x:c r="C1323" s="27"/>
      <x:c r="D1323" s="27"/>
      <x:c r="E1323" s="27"/>
      <x:c r="F1323" s="27"/>
      <x:c r="G1323" s="27"/>
      <x:c r="H1323" s="27"/>
      <x:c r="I1323" s="27"/>
      <x:c r="J1323" s="27"/>
    </x:row>
    <x:row r="1324">
      <x:c r="A1324" s="26"/>
      <x:c r="B1324" s="27"/>
      <x:c r="C1324" s="27"/>
      <x:c r="D1324" s="27"/>
      <x:c r="E1324" s="27"/>
      <x:c r="F1324" s="27"/>
      <x:c r="G1324" s="27"/>
      <x:c r="H1324" s="27"/>
      <x:c r="I1324" s="27"/>
      <x:c r="J1324" s="27"/>
    </x:row>
    <x:row r="1325">
      <x:c r="A1325" s="26"/>
      <x:c r="B1325" s="27"/>
      <x:c r="C1325" s="27"/>
      <x:c r="D1325" s="27"/>
      <x:c r="E1325" s="27"/>
      <x:c r="F1325" s="27"/>
      <x:c r="G1325" s="27"/>
      <x:c r="H1325" s="27"/>
      <x:c r="I1325" s="27"/>
      <x:c r="J1325" s="27"/>
    </x:row>
    <x:row r="1326">
      <x:c r="A1326" s="26"/>
      <x:c r="B1326" s="27"/>
      <x:c r="C1326" s="27"/>
      <x:c r="D1326" s="27"/>
      <x:c r="E1326" s="27"/>
      <x:c r="F1326" s="27"/>
      <x:c r="G1326" s="27"/>
      <x:c r="H1326" s="27"/>
      <x:c r="I1326" s="27"/>
      <x:c r="J1326" s="27"/>
    </x:row>
    <x:row r="1327">
      <x:c r="A1327" s="26"/>
      <x:c r="B1327" s="27"/>
      <x:c r="C1327" s="27"/>
      <x:c r="D1327" s="27"/>
      <x:c r="E1327" s="27"/>
      <x:c r="F1327" s="27"/>
      <x:c r="G1327" s="27"/>
      <x:c r="H1327" s="27"/>
      <x:c r="I1327" s="27"/>
      <x:c r="J1327" s="27"/>
    </x:row>
    <x:row r="1328">
      <x:c r="A1328" s="26"/>
      <x:c r="B1328" s="27"/>
      <x:c r="C1328" s="27"/>
      <x:c r="D1328" s="27"/>
      <x:c r="E1328" s="27"/>
      <x:c r="F1328" s="27"/>
      <x:c r="G1328" s="27"/>
      <x:c r="H1328" s="27"/>
      <x:c r="I1328" s="27"/>
      <x:c r="J1328" s="27"/>
    </x:row>
    <x:row r="1329">
      <x:c r="A1329" s="26"/>
      <x:c r="B1329" s="27"/>
      <x:c r="C1329" s="27"/>
      <x:c r="D1329" s="27"/>
      <x:c r="E1329" s="27"/>
      <x:c r="F1329" s="27"/>
      <x:c r="G1329" s="27"/>
      <x:c r="H1329" s="27"/>
      <x:c r="I1329" s="27"/>
      <x:c r="J1329" s="27"/>
    </x:row>
    <x:row r="1330">
      <x:c r="A1330" s="26"/>
      <x:c r="B1330" s="27"/>
      <x:c r="C1330" s="27"/>
      <x:c r="D1330" s="27"/>
      <x:c r="E1330" s="27"/>
      <x:c r="F1330" s="27"/>
      <x:c r="G1330" s="27"/>
      <x:c r="H1330" s="27"/>
      <x:c r="I1330" s="27"/>
      <x:c r="J1330" s="27"/>
    </x:row>
    <x:row r="1331">
      <x:c r="A1331" s="26"/>
      <x:c r="B1331" s="27"/>
      <x:c r="C1331" s="27"/>
      <x:c r="D1331" s="27"/>
      <x:c r="E1331" s="27"/>
      <x:c r="F1331" s="27"/>
      <x:c r="G1331" s="27"/>
      <x:c r="H1331" s="27"/>
      <x:c r="I1331" s="27"/>
      <x:c r="J1331" s="27"/>
    </x:row>
    <x:row r="1332">
      <x:c r="A1332" s="26"/>
      <x:c r="B1332" s="27"/>
      <x:c r="C1332" s="27"/>
      <x:c r="D1332" s="27"/>
      <x:c r="E1332" s="27"/>
      <x:c r="F1332" s="27"/>
      <x:c r="G1332" s="27"/>
      <x:c r="H1332" s="27"/>
      <x:c r="I1332" s="27"/>
      <x:c r="J1332" s="27"/>
    </x:row>
    <x:row r="1333">
      <x:c r="A1333" s="26"/>
      <x:c r="B1333" s="27"/>
      <x:c r="C1333" s="27"/>
      <x:c r="D1333" s="27"/>
      <x:c r="E1333" s="27"/>
      <x:c r="F1333" s="27"/>
      <x:c r="G1333" s="27"/>
      <x:c r="H1333" s="27"/>
      <x:c r="I1333" s="27"/>
      <x:c r="J1333" s="27"/>
    </x:row>
    <x:row r="1334">
      <x:c r="A1334" s="26"/>
      <x:c r="B1334" s="27"/>
      <x:c r="C1334" s="27"/>
      <x:c r="D1334" s="27"/>
      <x:c r="E1334" s="27"/>
      <x:c r="F1334" s="27"/>
      <x:c r="G1334" s="27"/>
      <x:c r="H1334" s="27"/>
      <x:c r="I1334" s="27"/>
      <x:c r="J1334" s="27"/>
    </x:row>
    <x:row r="1335">
      <x:c r="A1335" s="26"/>
      <x:c r="B1335" s="27"/>
      <x:c r="C1335" s="27"/>
      <x:c r="D1335" s="27"/>
      <x:c r="E1335" s="27"/>
      <x:c r="F1335" s="27"/>
      <x:c r="G1335" s="27"/>
      <x:c r="H1335" s="27"/>
      <x:c r="I1335" s="27"/>
      <x:c r="J1335" s="27"/>
    </x:row>
    <x:row r="1336">
      <x:c r="A1336" s="26"/>
      <x:c r="B1336" s="27"/>
      <x:c r="C1336" s="27"/>
      <x:c r="D1336" s="27"/>
      <x:c r="E1336" s="27"/>
      <x:c r="F1336" s="27"/>
      <x:c r="G1336" s="27"/>
      <x:c r="H1336" s="27"/>
      <x:c r="I1336" s="27"/>
      <x:c r="J1336" s="27"/>
    </x:row>
    <x:row r="1337">
      <x:c r="A1337" s="26"/>
      <x:c r="B1337" s="27"/>
      <x:c r="C1337" s="27"/>
      <x:c r="D1337" s="27"/>
      <x:c r="E1337" s="27"/>
      <x:c r="F1337" s="27"/>
      <x:c r="G1337" s="27"/>
      <x:c r="H1337" s="27"/>
      <x:c r="I1337" s="27"/>
      <x:c r="J1337" s="27"/>
    </x:row>
    <x:row r="1338">
      <x:c r="A1338" s="26"/>
      <x:c r="B1338" s="27"/>
      <x:c r="C1338" s="27"/>
      <x:c r="D1338" s="27"/>
      <x:c r="E1338" s="27"/>
      <x:c r="F1338" s="27"/>
      <x:c r="G1338" s="27"/>
      <x:c r="H1338" s="27"/>
      <x:c r="I1338" s="27"/>
      <x:c r="J1338" s="27"/>
    </x:row>
    <x:row r="1339">
      <x:c r="A1339" s="26"/>
      <x:c r="B1339" s="27"/>
      <x:c r="C1339" s="27"/>
      <x:c r="D1339" s="27"/>
      <x:c r="E1339" s="27"/>
      <x:c r="F1339" s="27"/>
      <x:c r="G1339" s="27"/>
      <x:c r="H1339" s="27"/>
      <x:c r="I1339" s="27"/>
      <x:c r="J1339" s="27"/>
    </x:row>
    <x:row r="1340">
      <x:c r="A1340" s="26"/>
      <x:c r="B1340" s="27"/>
      <x:c r="C1340" s="27"/>
      <x:c r="D1340" s="27"/>
      <x:c r="E1340" s="27"/>
      <x:c r="F1340" s="27"/>
      <x:c r="G1340" s="27"/>
      <x:c r="H1340" s="27"/>
      <x:c r="I1340" s="27"/>
      <x:c r="J1340" s="27"/>
    </x:row>
    <x:row r="1341">
      <x:c r="A1341" s="26"/>
      <x:c r="B1341" s="27"/>
      <x:c r="C1341" s="27"/>
      <x:c r="D1341" s="27"/>
      <x:c r="E1341" s="27"/>
      <x:c r="F1341" s="27"/>
      <x:c r="G1341" s="27"/>
      <x:c r="H1341" s="27"/>
      <x:c r="I1341" s="27"/>
      <x:c r="J1341" s="27"/>
    </x:row>
    <x:row r="1342">
      <x:c r="A1342" s="26"/>
      <x:c r="B1342" s="27"/>
      <x:c r="C1342" s="27"/>
      <x:c r="D1342" s="27"/>
      <x:c r="E1342" s="27"/>
      <x:c r="F1342" s="27"/>
      <x:c r="G1342" s="27"/>
      <x:c r="H1342" s="27"/>
      <x:c r="I1342" s="27"/>
      <x:c r="J1342" s="27"/>
    </x:row>
    <x:row r="1343">
      <x:c r="A1343" s="26"/>
      <x:c r="B1343" s="27"/>
      <x:c r="C1343" s="27"/>
      <x:c r="D1343" s="27"/>
      <x:c r="E1343" s="27"/>
      <x:c r="F1343" s="27"/>
      <x:c r="G1343" s="27"/>
      <x:c r="H1343" s="27"/>
      <x:c r="I1343" s="27"/>
      <x:c r="J1343" s="27"/>
    </x:row>
    <x:row r="1344">
      <x:c r="A1344" s="26"/>
      <x:c r="B1344" s="27"/>
      <x:c r="C1344" s="27"/>
      <x:c r="D1344" s="27"/>
      <x:c r="E1344" s="27"/>
      <x:c r="F1344" s="27"/>
      <x:c r="G1344" s="27"/>
      <x:c r="H1344" s="27"/>
      <x:c r="I1344" s="27"/>
      <x:c r="J1344" s="27"/>
    </x:row>
    <x:row r="1345">
      <x:c r="A1345" s="26"/>
      <x:c r="B1345" s="27"/>
      <x:c r="C1345" s="27"/>
      <x:c r="D1345" s="27"/>
      <x:c r="E1345" s="27"/>
      <x:c r="F1345" s="27"/>
      <x:c r="G1345" s="27"/>
      <x:c r="H1345" s="27"/>
      <x:c r="I1345" s="27"/>
      <x:c r="J1345" s="27"/>
    </x:row>
    <x:row r="1346">
      <x:c r="A1346" s="26"/>
      <x:c r="B1346" s="27"/>
      <x:c r="C1346" s="27"/>
      <x:c r="D1346" s="27"/>
      <x:c r="E1346" s="27"/>
      <x:c r="F1346" s="27"/>
      <x:c r="G1346" s="27"/>
      <x:c r="H1346" s="27"/>
      <x:c r="I1346" s="27"/>
      <x:c r="J1346" s="27"/>
    </x:row>
    <x:row r="1347">
      <x:c r="A1347" s="26"/>
      <x:c r="B1347" s="27"/>
      <x:c r="C1347" s="27"/>
      <x:c r="D1347" s="27"/>
      <x:c r="E1347" s="27"/>
      <x:c r="F1347" s="27"/>
      <x:c r="G1347" s="27"/>
      <x:c r="H1347" s="27"/>
      <x:c r="I1347" s="27"/>
      <x:c r="J1347" s="27"/>
    </x:row>
    <x:row r="1348">
      <x:c r="A1348" s="26"/>
      <x:c r="B1348" s="27"/>
      <x:c r="C1348" s="27"/>
      <x:c r="D1348" s="27"/>
      <x:c r="E1348" s="27"/>
      <x:c r="F1348" s="27"/>
      <x:c r="G1348" s="27"/>
      <x:c r="H1348" s="27"/>
      <x:c r="I1348" s="27"/>
      <x:c r="J1348" s="27"/>
    </x:row>
    <x:row r="1349">
      <x:c r="A1349" s="26"/>
      <x:c r="B1349" s="27"/>
      <x:c r="C1349" s="27"/>
      <x:c r="D1349" s="27"/>
      <x:c r="E1349" s="27"/>
      <x:c r="F1349" s="27"/>
      <x:c r="G1349" s="27"/>
      <x:c r="H1349" s="27"/>
      <x:c r="I1349" s="27"/>
      <x:c r="J1349" s="27"/>
    </x:row>
    <x:row r="1350">
      <x:c r="A1350" s="26"/>
      <x:c r="B1350" s="27"/>
      <x:c r="C1350" s="27"/>
      <x:c r="D1350" s="27"/>
      <x:c r="E1350" s="27"/>
      <x:c r="F1350" s="27"/>
      <x:c r="G1350" s="27"/>
      <x:c r="H1350" s="27"/>
      <x:c r="I1350" s="27"/>
      <x:c r="J1350" s="27"/>
    </x:row>
    <x:row r="1351">
      <x:c r="A1351" s="26"/>
      <x:c r="B1351" s="27"/>
      <x:c r="C1351" s="27"/>
      <x:c r="D1351" s="27"/>
      <x:c r="E1351" s="27"/>
      <x:c r="F1351" s="27"/>
      <x:c r="G1351" s="27"/>
      <x:c r="H1351" s="27"/>
      <x:c r="I1351" s="27"/>
      <x:c r="J1351" s="27"/>
    </x:row>
    <x:row r="1352">
      <x:c r="A1352" s="26"/>
      <x:c r="B1352" s="27"/>
      <x:c r="C1352" s="27"/>
      <x:c r="D1352" s="27"/>
      <x:c r="E1352" s="27"/>
      <x:c r="F1352" s="27"/>
      <x:c r="G1352" s="27"/>
      <x:c r="H1352" s="27"/>
      <x:c r="I1352" s="27"/>
      <x:c r="J1352" s="27"/>
    </x:row>
    <x:row r="1353">
      <x:c r="A1353" s="26"/>
      <x:c r="B1353" s="27"/>
      <x:c r="C1353" s="27"/>
      <x:c r="D1353" s="27"/>
      <x:c r="E1353" s="27"/>
      <x:c r="F1353" s="27"/>
      <x:c r="G1353" s="27"/>
      <x:c r="H1353" s="27"/>
      <x:c r="I1353" s="27"/>
      <x:c r="J1353" s="27"/>
    </x:row>
    <x:row r="1354">
      <x:c r="A1354" s="26"/>
      <x:c r="B1354" s="27"/>
      <x:c r="C1354" s="27"/>
      <x:c r="D1354" s="27"/>
      <x:c r="E1354" s="27"/>
      <x:c r="F1354" s="27"/>
      <x:c r="G1354" s="27"/>
      <x:c r="H1354" s="27"/>
      <x:c r="I1354" s="27"/>
      <x:c r="J1354" s="27"/>
    </x:row>
    <x:row r="1355">
      <x:c r="A1355" s="26"/>
      <x:c r="B1355" s="27"/>
      <x:c r="C1355" s="27"/>
      <x:c r="D1355" s="27"/>
      <x:c r="E1355" s="27"/>
      <x:c r="F1355" s="27"/>
      <x:c r="G1355" s="27"/>
      <x:c r="H1355" s="27"/>
      <x:c r="I1355" s="27"/>
      <x:c r="J1355" s="27"/>
    </x:row>
    <x:row r="1356">
      <x:c r="A1356" s="26"/>
      <x:c r="B1356" s="27"/>
      <x:c r="C1356" s="27"/>
      <x:c r="D1356" s="27"/>
      <x:c r="E1356" s="27"/>
      <x:c r="F1356" s="27"/>
      <x:c r="G1356" s="27"/>
      <x:c r="H1356" s="27"/>
      <x:c r="I1356" s="27"/>
      <x:c r="J1356" s="27"/>
    </x:row>
    <x:row r="1357">
      <x:c r="A1357" s="26"/>
      <x:c r="B1357" s="27"/>
      <x:c r="C1357" s="27"/>
      <x:c r="D1357" s="27"/>
      <x:c r="E1357" s="27"/>
      <x:c r="F1357" s="27"/>
      <x:c r="G1357" s="27"/>
      <x:c r="H1357" s="27"/>
      <x:c r="I1357" s="27"/>
      <x:c r="J1357" s="27"/>
    </x:row>
    <x:row r="1358">
      <x:c r="A1358" s="26"/>
      <x:c r="B1358" s="27"/>
      <x:c r="C1358" s="27"/>
      <x:c r="D1358" s="27"/>
      <x:c r="E1358" s="27"/>
      <x:c r="F1358" s="27"/>
      <x:c r="G1358" s="27"/>
      <x:c r="H1358" s="27"/>
      <x:c r="I1358" s="27"/>
      <x:c r="J1358" s="27"/>
    </x:row>
    <x:row r="1359">
      <x:c r="A1359" s="26"/>
      <x:c r="B1359" s="27"/>
      <x:c r="C1359" s="27"/>
      <x:c r="D1359" s="27"/>
      <x:c r="E1359" s="27"/>
      <x:c r="F1359" s="27"/>
      <x:c r="G1359" s="27"/>
      <x:c r="H1359" s="27"/>
      <x:c r="I1359" s="27"/>
      <x:c r="J1359" s="27"/>
    </x:row>
    <x:row r="1360">
      <x:c r="A1360" s="26"/>
      <x:c r="B1360" s="27"/>
      <x:c r="C1360" s="27"/>
      <x:c r="D1360" s="27"/>
      <x:c r="E1360" s="27"/>
      <x:c r="F1360" s="27"/>
      <x:c r="G1360" s="27"/>
      <x:c r="H1360" s="27"/>
      <x:c r="I1360" s="27"/>
      <x:c r="J1360" s="27"/>
    </x:row>
    <x:row r="1361">
      <x:c r="A1361" s="26"/>
      <x:c r="B1361" s="27"/>
      <x:c r="C1361" s="27"/>
      <x:c r="D1361" s="27"/>
      <x:c r="E1361" s="27"/>
      <x:c r="F1361" s="27"/>
      <x:c r="G1361" s="27"/>
      <x:c r="H1361" s="27"/>
      <x:c r="I1361" s="27"/>
      <x:c r="J1361" s="27"/>
    </x:row>
    <x:row r="1362">
      <x:c r="A1362" s="26"/>
      <x:c r="B1362" s="27"/>
      <x:c r="C1362" s="27"/>
      <x:c r="D1362" s="27"/>
      <x:c r="E1362" s="27"/>
      <x:c r="F1362" s="27"/>
      <x:c r="G1362" s="27"/>
      <x:c r="H1362" s="27"/>
      <x:c r="I1362" s="27"/>
      <x:c r="J1362" s="27"/>
    </x:row>
    <x:row r="1363">
      <x:c r="A1363" s="26"/>
      <x:c r="B1363" s="27"/>
      <x:c r="C1363" s="27"/>
      <x:c r="D1363" s="27"/>
      <x:c r="E1363" s="27"/>
      <x:c r="F1363" s="27"/>
      <x:c r="G1363" s="27"/>
      <x:c r="H1363" s="27"/>
      <x:c r="I1363" s="27"/>
      <x:c r="J1363" s="27"/>
    </x:row>
    <x:row r="1364">
      <x:c r="A1364" s="26"/>
      <x:c r="B1364" s="27"/>
      <x:c r="C1364" s="27"/>
      <x:c r="D1364" s="27"/>
      <x:c r="E1364" s="27"/>
      <x:c r="F1364" s="27"/>
      <x:c r="G1364" s="27"/>
      <x:c r="H1364" s="27"/>
      <x:c r="I1364" s="27"/>
      <x:c r="J1364" s="27"/>
    </x:row>
    <x:row r="1365">
      <x:c r="A1365" s="26"/>
      <x:c r="B1365" s="27"/>
      <x:c r="C1365" s="27"/>
      <x:c r="D1365" s="27"/>
      <x:c r="E1365" s="27"/>
      <x:c r="F1365" s="27"/>
      <x:c r="G1365" s="27"/>
      <x:c r="H1365" s="27"/>
      <x:c r="I1365" s="27"/>
      <x:c r="J1365" s="27"/>
    </x:row>
    <x:row r="1366">
      <x:c r="A1366" s="26"/>
      <x:c r="B1366" s="27"/>
      <x:c r="C1366" s="27"/>
      <x:c r="D1366" s="27"/>
      <x:c r="E1366" s="27"/>
      <x:c r="F1366" s="27"/>
      <x:c r="G1366" s="27"/>
      <x:c r="H1366" s="27"/>
      <x:c r="I1366" s="27"/>
      <x:c r="J1366" s="27"/>
    </x:row>
    <x:row r="1367">
      <x:c r="A1367" s="26"/>
      <x:c r="B1367" s="27"/>
      <x:c r="C1367" s="27"/>
      <x:c r="D1367" s="27"/>
      <x:c r="E1367" s="27"/>
      <x:c r="F1367" s="27"/>
      <x:c r="G1367" s="27"/>
      <x:c r="H1367" s="27"/>
      <x:c r="I1367" s="27"/>
      <x:c r="J1367" s="27"/>
    </x:row>
    <x:row r="1368">
      <x:c r="A1368" s="26"/>
      <x:c r="B1368" s="27"/>
      <x:c r="C1368" s="27"/>
      <x:c r="D1368" s="27"/>
      <x:c r="E1368" s="27"/>
      <x:c r="F1368" s="27"/>
      <x:c r="G1368" s="27"/>
      <x:c r="H1368" s="27"/>
      <x:c r="I1368" s="27"/>
      <x:c r="J1368" s="27"/>
    </x:row>
    <x:row r="1369">
      <x:c r="A1369" s="26"/>
      <x:c r="B1369" s="27"/>
      <x:c r="C1369" s="27"/>
      <x:c r="D1369" s="27"/>
      <x:c r="E1369" s="27"/>
      <x:c r="F1369" s="27"/>
      <x:c r="G1369" s="27"/>
      <x:c r="H1369" s="27"/>
      <x:c r="I1369" s="27"/>
      <x:c r="J1369" s="27"/>
    </x:row>
    <x:row r="1370">
      <x:c r="A1370" s="26"/>
      <x:c r="B1370" s="27"/>
      <x:c r="C1370" s="27"/>
      <x:c r="D1370" s="27"/>
      <x:c r="E1370" s="27"/>
      <x:c r="F1370" s="27"/>
      <x:c r="G1370" s="27"/>
      <x:c r="H1370" s="27"/>
      <x:c r="I1370" s="27"/>
      <x:c r="J1370" s="27"/>
    </x:row>
    <x:row r="1371">
      <x:c r="A1371" s="26"/>
      <x:c r="B1371" s="27"/>
      <x:c r="C1371" s="27"/>
      <x:c r="D1371" s="27"/>
      <x:c r="E1371" s="27"/>
      <x:c r="F1371" s="27"/>
      <x:c r="G1371" s="27"/>
      <x:c r="H1371" s="27"/>
      <x:c r="I1371" s="27"/>
      <x:c r="J1371" s="27"/>
    </x:row>
    <x:row r="1372">
      <x:c r="A1372" s="26"/>
      <x:c r="B1372" s="27"/>
      <x:c r="C1372" s="27"/>
      <x:c r="D1372" s="27"/>
      <x:c r="E1372" s="27"/>
      <x:c r="F1372" s="27"/>
      <x:c r="G1372" s="27"/>
      <x:c r="H1372" s="27"/>
      <x:c r="I1372" s="27"/>
      <x:c r="J1372" s="27"/>
    </x:row>
    <x:row r="1373">
      <x:c r="A1373" s="26"/>
      <x:c r="B1373" s="27"/>
      <x:c r="C1373" s="27"/>
      <x:c r="D1373" s="27"/>
      <x:c r="E1373" s="27"/>
      <x:c r="F1373" s="27"/>
      <x:c r="G1373" s="27"/>
      <x:c r="H1373" s="27"/>
      <x:c r="I1373" s="27"/>
      <x:c r="J1373" s="27"/>
    </x:row>
    <x:row r="1374">
      <x:c r="A1374" s="26"/>
      <x:c r="B1374" s="27"/>
      <x:c r="C1374" s="27"/>
      <x:c r="D1374" s="27"/>
      <x:c r="E1374" s="27"/>
      <x:c r="F1374" s="27"/>
      <x:c r="G1374" s="27"/>
      <x:c r="H1374" s="27"/>
      <x:c r="I1374" s="27"/>
      <x:c r="J1374" s="27"/>
    </x:row>
    <x:row r="1375">
      <x:c r="A1375" s="26"/>
      <x:c r="B1375" s="27"/>
      <x:c r="C1375" s="27"/>
      <x:c r="D1375" s="27"/>
      <x:c r="E1375" s="27"/>
      <x:c r="F1375" s="27"/>
      <x:c r="G1375" s="27"/>
      <x:c r="H1375" s="27"/>
      <x:c r="I1375" s="27"/>
      <x:c r="J1375" s="27"/>
    </x:row>
    <x:row r="1376">
      <x:c r="A1376" s="26"/>
      <x:c r="B1376" s="27"/>
      <x:c r="C1376" s="27"/>
      <x:c r="D1376" s="27"/>
      <x:c r="E1376" s="27"/>
      <x:c r="F1376" s="27"/>
      <x:c r="G1376" s="27"/>
      <x:c r="H1376" s="27"/>
      <x:c r="I1376" s="27"/>
      <x:c r="J1376" s="27"/>
    </x:row>
    <x:row r="1377">
      <x:c r="A1377" s="26"/>
      <x:c r="B1377" s="27"/>
      <x:c r="C1377" s="27"/>
      <x:c r="D1377" s="27"/>
      <x:c r="E1377" s="27"/>
      <x:c r="F1377" s="27"/>
      <x:c r="G1377" s="27"/>
      <x:c r="H1377" s="27"/>
      <x:c r="I1377" s="27"/>
      <x:c r="J1377" s="27"/>
    </x:row>
    <x:row r="1378">
      <x:c r="A1378" s="26"/>
      <x:c r="B1378" s="27"/>
      <x:c r="C1378" s="27"/>
      <x:c r="D1378" s="27"/>
      <x:c r="E1378" s="27"/>
      <x:c r="F1378" s="27"/>
      <x:c r="G1378" s="27"/>
      <x:c r="H1378" s="27"/>
      <x:c r="I1378" s="27"/>
      <x:c r="J1378" s="27"/>
    </x:row>
    <x:row r="1379">
      <x:c r="A1379" s="26"/>
      <x:c r="B1379" s="27"/>
      <x:c r="C1379" s="27"/>
      <x:c r="D1379" s="27"/>
      <x:c r="E1379" s="27"/>
      <x:c r="F1379" s="27"/>
      <x:c r="G1379" s="27"/>
      <x:c r="H1379" s="27"/>
      <x:c r="I1379" s="27"/>
      <x:c r="J1379" s="27"/>
    </x:row>
    <x:row r="1380">
      <x:c r="A1380" s="26"/>
      <x:c r="B1380" s="27"/>
      <x:c r="C1380" s="27"/>
      <x:c r="D1380" s="27"/>
      <x:c r="E1380" s="27"/>
      <x:c r="F1380" s="27"/>
      <x:c r="G1380" s="27"/>
      <x:c r="H1380" s="27"/>
      <x:c r="I1380" s="27"/>
      <x:c r="J1380" s="27"/>
    </x:row>
    <x:row r="1381">
      <x:c r="A1381" s="26"/>
      <x:c r="B1381" s="27"/>
      <x:c r="C1381" s="27"/>
      <x:c r="D1381" s="27"/>
      <x:c r="E1381" s="27"/>
      <x:c r="F1381" s="27"/>
      <x:c r="G1381" s="27"/>
      <x:c r="H1381" s="27"/>
      <x:c r="I1381" s="27"/>
      <x:c r="J1381" s="27"/>
    </x:row>
    <x:row r="1382">
      <x:c r="A1382" s="26"/>
      <x:c r="B1382" s="27"/>
      <x:c r="C1382" s="27"/>
      <x:c r="D1382" s="27"/>
      <x:c r="E1382" s="27"/>
      <x:c r="F1382" s="27"/>
      <x:c r="G1382" s="27"/>
      <x:c r="H1382" s="27"/>
      <x:c r="I1382" s="27"/>
      <x:c r="J1382" s="27"/>
    </x:row>
    <x:row r="1383">
      <x:c r="A1383" s="26"/>
      <x:c r="B1383" s="27"/>
      <x:c r="C1383" s="27"/>
      <x:c r="D1383" s="27"/>
      <x:c r="E1383" s="27"/>
      <x:c r="F1383" s="27"/>
      <x:c r="G1383" s="27"/>
      <x:c r="H1383" s="27"/>
      <x:c r="I1383" s="27"/>
      <x:c r="J1383" s="27"/>
    </x:row>
    <x:row r="1384">
      <x:c r="A1384" s="26"/>
      <x:c r="B1384" s="27"/>
      <x:c r="C1384" s="27"/>
      <x:c r="D1384" s="27"/>
      <x:c r="E1384" s="27"/>
      <x:c r="F1384" s="27"/>
      <x:c r="G1384" s="27"/>
      <x:c r="H1384" s="27"/>
      <x:c r="I1384" s="27"/>
      <x:c r="J1384" s="27"/>
    </x:row>
    <x:row r="1385">
      <x:c r="A1385" s="26"/>
      <x:c r="B1385" s="27"/>
      <x:c r="C1385" s="27"/>
      <x:c r="D1385" s="27"/>
      <x:c r="E1385" s="27"/>
      <x:c r="F1385" s="27"/>
      <x:c r="G1385" s="27"/>
      <x:c r="H1385" s="27"/>
      <x:c r="I1385" s="27"/>
      <x:c r="J1385" s="27"/>
    </x:row>
    <x:row r="1386">
      <x:c r="A1386" s="26"/>
      <x:c r="B1386" s="27"/>
      <x:c r="C1386" s="27"/>
      <x:c r="D1386" s="27"/>
      <x:c r="E1386" s="27"/>
      <x:c r="F1386" s="27"/>
      <x:c r="G1386" s="27"/>
      <x:c r="H1386" s="27"/>
      <x:c r="I1386" s="27"/>
      <x:c r="J1386" s="27"/>
    </x:row>
    <x:row r="1387">
      <x:c r="A1387" s="26"/>
      <x:c r="B1387" s="27"/>
      <x:c r="C1387" s="27"/>
      <x:c r="D1387" s="27"/>
      <x:c r="E1387" s="27"/>
      <x:c r="F1387" s="27"/>
      <x:c r="G1387" s="27"/>
      <x:c r="H1387" s="27"/>
      <x:c r="I1387" s="27"/>
      <x:c r="J1387" s="27"/>
    </x:row>
    <x:row r="1388">
      <x:c r="A1388" s="26"/>
      <x:c r="B1388" s="27"/>
      <x:c r="C1388" s="27"/>
      <x:c r="D1388" s="27"/>
      <x:c r="E1388" s="27"/>
      <x:c r="F1388" s="27"/>
      <x:c r="G1388" s="27"/>
      <x:c r="H1388" s="27"/>
      <x:c r="I1388" s="27"/>
      <x:c r="J1388" s="27"/>
    </x:row>
    <x:row r="1389">
      <x:c r="A1389" s="26"/>
      <x:c r="B1389" s="27"/>
      <x:c r="C1389" s="27"/>
      <x:c r="D1389" s="27"/>
      <x:c r="E1389" s="27"/>
      <x:c r="F1389" s="27"/>
      <x:c r="G1389" s="27"/>
      <x:c r="H1389" s="27"/>
      <x:c r="I1389" s="27"/>
      <x:c r="J1389" s="27"/>
    </x:row>
    <x:row r="1390">
      <x:c r="A1390" s="26"/>
      <x:c r="B1390" s="27"/>
      <x:c r="C1390" s="27"/>
      <x:c r="D1390" s="27"/>
      <x:c r="E1390" s="27"/>
      <x:c r="F1390" s="27"/>
      <x:c r="G1390" s="27"/>
      <x:c r="H1390" s="27"/>
      <x:c r="I1390" s="27"/>
      <x:c r="J1390" s="27"/>
    </x:row>
    <x:row r="1391">
      <x:c r="A1391" s="26"/>
      <x:c r="B1391" s="27"/>
      <x:c r="C1391" s="27"/>
      <x:c r="D1391" s="27"/>
      <x:c r="E1391" s="27"/>
      <x:c r="F1391" s="27"/>
      <x:c r="G1391" s="27"/>
      <x:c r="H1391" s="27"/>
      <x:c r="I1391" s="27"/>
      <x:c r="J1391" s="27"/>
    </x:row>
    <x:row r="1392">
      <x:c r="A1392" s="26"/>
      <x:c r="B1392" s="27"/>
      <x:c r="C1392" s="27"/>
      <x:c r="D1392" s="27"/>
      <x:c r="E1392" s="27"/>
      <x:c r="F1392" s="27"/>
      <x:c r="G1392" s="27"/>
      <x:c r="H1392" s="27"/>
      <x:c r="I1392" s="27"/>
      <x:c r="J1392" s="27"/>
    </x:row>
    <x:row r="1393">
      <x:c r="A1393" s="26"/>
      <x:c r="B1393" s="27"/>
      <x:c r="C1393" s="27"/>
      <x:c r="D1393" s="27"/>
      <x:c r="E1393" s="27"/>
      <x:c r="F1393" s="27"/>
      <x:c r="G1393" s="27"/>
      <x:c r="H1393" s="27"/>
      <x:c r="I1393" s="27"/>
      <x:c r="J1393" s="27"/>
    </x:row>
    <x:row r="1394">
      <x:c r="A1394" s="26"/>
      <x:c r="B1394" s="27"/>
      <x:c r="C1394" s="27"/>
      <x:c r="D1394" s="27"/>
      <x:c r="E1394" s="27"/>
      <x:c r="F1394" s="27"/>
      <x:c r="G1394" s="27"/>
      <x:c r="H1394" s="27"/>
      <x:c r="I1394" s="27"/>
      <x:c r="J1394" s="27"/>
    </x:row>
    <x:row r="1395">
      <x:c r="A1395" s="26"/>
      <x:c r="B1395" s="27"/>
      <x:c r="C1395" s="27"/>
      <x:c r="D1395" s="27"/>
      <x:c r="E1395" s="27"/>
      <x:c r="F1395" s="27"/>
      <x:c r="G1395" s="27"/>
      <x:c r="H1395" s="27"/>
      <x:c r="I1395" s="27"/>
      <x:c r="J1395" s="27"/>
    </x:row>
    <x:row r="1396">
      <x:c r="A1396" s="26"/>
      <x:c r="B1396" s="27"/>
      <x:c r="C1396" s="27"/>
      <x:c r="D1396" s="27"/>
      <x:c r="E1396" s="27"/>
      <x:c r="F1396" s="27"/>
      <x:c r="G1396" s="27"/>
      <x:c r="H1396" s="27"/>
      <x:c r="I1396" s="27"/>
      <x:c r="J1396" s="27"/>
    </x:row>
    <x:row r="1397">
      <x:c r="A1397" s="26"/>
      <x:c r="B1397" s="27"/>
      <x:c r="C1397" s="27"/>
      <x:c r="D1397" s="27"/>
      <x:c r="E1397" s="27"/>
      <x:c r="F1397" s="27"/>
      <x:c r="G1397" s="27"/>
      <x:c r="H1397" s="27"/>
      <x:c r="I1397" s="27"/>
      <x:c r="J1397" s="27"/>
    </x:row>
    <x:row r="1398">
      <x:c r="A1398" s="26"/>
      <x:c r="B1398" s="27"/>
      <x:c r="C1398" s="27"/>
      <x:c r="D1398" s="27"/>
      <x:c r="E1398" s="27"/>
      <x:c r="F1398" s="27"/>
      <x:c r="G1398" s="27"/>
      <x:c r="H1398" s="27"/>
      <x:c r="I1398" s="27"/>
      <x:c r="J1398" s="27"/>
    </x:row>
    <x:row r="1399">
      <x:c r="A1399" s="26"/>
      <x:c r="B1399" s="27"/>
      <x:c r="C1399" s="27"/>
      <x:c r="D1399" s="27"/>
      <x:c r="E1399" s="27"/>
      <x:c r="F1399" s="27"/>
      <x:c r="G1399" s="27"/>
      <x:c r="H1399" s="27"/>
      <x:c r="I1399" s="27"/>
      <x:c r="J1399" s="27"/>
    </x:row>
    <x:row r="1400">
      <x:c r="A1400" s="26"/>
      <x:c r="B1400" s="27"/>
      <x:c r="C1400" s="27"/>
      <x:c r="D1400" s="27"/>
      <x:c r="E1400" s="27"/>
      <x:c r="F1400" s="27"/>
      <x:c r="G1400" s="27"/>
      <x:c r="H1400" s="27"/>
      <x:c r="I1400" s="27"/>
      <x:c r="J1400" s="27"/>
    </x:row>
    <x:row r="1401">
      <x:c r="A1401" s="26"/>
      <x:c r="B1401" s="27"/>
      <x:c r="C1401" s="27"/>
      <x:c r="D1401" s="27"/>
      <x:c r="E1401" s="27"/>
      <x:c r="F1401" s="27"/>
      <x:c r="G1401" s="27"/>
      <x:c r="H1401" s="27"/>
      <x:c r="I1401" s="27"/>
      <x:c r="J1401" s="27"/>
    </x:row>
    <x:row r="1402">
      <x:c r="A1402" s="26"/>
      <x:c r="B1402" s="27"/>
      <x:c r="C1402" s="27"/>
      <x:c r="D1402" s="27"/>
      <x:c r="E1402" s="27"/>
      <x:c r="F1402" s="27"/>
      <x:c r="G1402" s="27"/>
      <x:c r="H1402" s="27"/>
      <x:c r="I1402" s="27"/>
      <x:c r="J1402" s="27"/>
    </x:row>
    <x:row r="1403">
      <x:c r="A1403" s="26"/>
      <x:c r="B1403" s="27"/>
      <x:c r="C1403" s="27"/>
      <x:c r="D1403" s="27"/>
      <x:c r="E1403" s="27"/>
      <x:c r="F1403" s="27"/>
      <x:c r="G1403" s="27"/>
      <x:c r="H1403" s="27"/>
      <x:c r="I1403" s="27"/>
      <x:c r="J1403" s="27"/>
    </x:row>
    <x:row r="1404">
      <x:c r="A1404" s="26"/>
      <x:c r="B1404" s="27"/>
      <x:c r="C1404" s="27"/>
      <x:c r="D1404" s="27"/>
      <x:c r="E1404" s="27"/>
      <x:c r="F1404" s="27"/>
      <x:c r="G1404" s="27"/>
      <x:c r="H1404" s="27"/>
      <x:c r="I1404" s="27"/>
      <x:c r="J1404" s="27"/>
    </x:row>
    <x:row r="1405">
      <x:c r="A1405" s="26"/>
      <x:c r="B1405" s="27"/>
      <x:c r="C1405" s="27"/>
      <x:c r="D1405" s="27"/>
      <x:c r="E1405" s="27"/>
      <x:c r="F1405" s="27"/>
      <x:c r="G1405" s="27"/>
      <x:c r="H1405" s="27"/>
      <x:c r="I1405" s="27"/>
      <x:c r="J1405" s="27"/>
    </x:row>
    <x:row r="1406">
      <x:c r="A1406" s="26"/>
      <x:c r="B1406" s="27"/>
      <x:c r="C1406" s="27"/>
      <x:c r="D1406" s="27"/>
      <x:c r="E1406" s="27"/>
      <x:c r="F1406" s="27"/>
      <x:c r="G1406" s="27"/>
      <x:c r="H1406" s="27"/>
      <x:c r="I1406" s="27"/>
      <x:c r="J1406" s="27"/>
    </x:row>
    <x:row r="1407">
      <x:c r="A1407" s="26"/>
      <x:c r="B1407" s="27"/>
      <x:c r="C1407" s="27"/>
      <x:c r="D1407" s="27"/>
      <x:c r="E1407" s="27"/>
      <x:c r="F1407" s="27"/>
      <x:c r="G1407" s="27"/>
      <x:c r="H1407" s="27"/>
      <x:c r="I1407" s="27"/>
      <x:c r="J1407" s="27"/>
    </x:row>
    <x:row r="1408">
      <x:c r="A1408" s="26"/>
      <x:c r="B1408" s="27"/>
      <x:c r="C1408" s="27"/>
      <x:c r="D1408" s="27"/>
      <x:c r="E1408" s="27"/>
      <x:c r="F1408" s="27"/>
      <x:c r="G1408" s="27"/>
      <x:c r="H1408" s="27"/>
      <x:c r="I1408" s="27"/>
      <x:c r="J1408" s="27"/>
    </x:row>
    <x:row r="1409">
      <x:c r="A1409" s="26"/>
      <x:c r="B1409" s="27"/>
      <x:c r="C1409" s="27"/>
      <x:c r="D1409" s="27"/>
      <x:c r="E1409" s="27"/>
      <x:c r="F1409" s="27"/>
      <x:c r="G1409" s="27"/>
      <x:c r="H1409" s="27"/>
      <x:c r="I1409" s="27"/>
      <x:c r="J1409" s="27"/>
    </x:row>
    <x:row r="1410">
      <x:c r="A1410" s="26"/>
      <x:c r="B1410" s="27"/>
      <x:c r="C1410" s="27"/>
      <x:c r="D1410" s="27"/>
      <x:c r="E1410" s="27"/>
      <x:c r="F1410" s="27"/>
      <x:c r="G1410" s="27"/>
      <x:c r="H1410" s="27"/>
      <x:c r="I1410" s="27"/>
      <x:c r="J1410" s="27"/>
    </x:row>
    <x:row r="1411">
      <x:c r="A1411" s="26"/>
      <x:c r="B1411" s="27"/>
      <x:c r="C1411" s="27"/>
      <x:c r="D1411" s="27"/>
      <x:c r="E1411" s="27"/>
      <x:c r="F1411" s="27"/>
      <x:c r="G1411" s="27"/>
      <x:c r="H1411" s="27"/>
      <x:c r="I1411" s="27"/>
      <x:c r="J1411" s="27"/>
    </x:row>
    <x:row r="1412">
      <x:c r="A1412" s="26"/>
      <x:c r="B1412" s="27"/>
      <x:c r="C1412" s="27"/>
      <x:c r="D1412" s="27"/>
      <x:c r="E1412" s="27"/>
      <x:c r="F1412" s="27"/>
      <x:c r="G1412" s="27"/>
      <x:c r="H1412" s="27"/>
      <x:c r="I1412" s="27"/>
      <x:c r="J1412" s="27"/>
    </x:row>
    <x:row r="1413">
      <x:c r="A1413" s="26"/>
      <x:c r="B1413" s="27"/>
      <x:c r="C1413" s="27"/>
      <x:c r="D1413" s="27"/>
      <x:c r="E1413" s="27"/>
      <x:c r="F1413" s="27"/>
      <x:c r="G1413" s="27"/>
      <x:c r="H1413" s="27"/>
      <x:c r="I1413" s="27"/>
      <x:c r="J1413" s="27"/>
    </x:row>
    <x:row r="1414">
      <x:c r="A1414" s="26"/>
      <x:c r="B1414" s="27"/>
      <x:c r="C1414" s="27"/>
      <x:c r="D1414" s="27"/>
      <x:c r="E1414" s="27"/>
      <x:c r="F1414" s="27"/>
      <x:c r="G1414" s="27"/>
      <x:c r="H1414" s="27"/>
      <x:c r="I1414" s="27"/>
      <x:c r="J1414" s="27"/>
    </x:row>
    <x:row r="1415">
      <x:c r="A1415" s="26"/>
      <x:c r="B1415" s="27"/>
      <x:c r="C1415" s="27"/>
      <x:c r="D1415" s="27"/>
      <x:c r="E1415" s="27"/>
      <x:c r="F1415" s="27"/>
      <x:c r="G1415" s="27"/>
      <x:c r="H1415" s="27"/>
      <x:c r="I1415" s="27"/>
      <x:c r="J1415" s="27"/>
    </x:row>
    <x:row r="1416">
      <x:c r="A1416" s="26"/>
      <x:c r="B1416" s="27"/>
      <x:c r="C1416" s="27"/>
      <x:c r="D1416" s="27"/>
      <x:c r="E1416" s="27"/>
      <x:c r="F1416" s="27"/>
      <x:c r="G1416" s="27"/>
      <x:c r="H1416" s="27"/>
      <x:c r="I1416" s="27"/>
      <x:c r="J1416" s="27"/>
    </x:row>
    <x:row r="1417">
      <x:c r="A1417" s="26"/>
      <x:c r="B1417" s="27"/>
      <x:c r="C1417" s="27"/>
      <x:c r="D1417" s="27"/>
      <x:c r="E1417" s="27"/>
      <x:c r="F1417" s="27"/>
      <x:c r="G1417" s="27"/>
      <x:c r="H1417" s="27"/>
      <x:c r="I1417" s="27"/>
      <x:c r="J1417" s="27"/>
    </x:row>
    <x:row r="1418">
      <x:c r="A1418" s="26"/>
      <x:c r="B1418" s="27"/>
      <x:c r="C1418" s="27"/>
      <x:c r="D1418" s="27"/>
      <x:c r="E1418" s="27"/>
      <x:c r="F1418" s="27"/>
      <x:c r="G1418" s="27"/>
      <x:c r="H1418" s="27"/>
      <x:c r="I1418" s="27"/>
      <x:c r="J1418" s="27"/>
    </x:row>
    <x:row r="1419">
      <x:c r="A1419" s="26"/>
      <x:c r="B1419" s="27"/>
      <x:c r="C1419" s="27"/>
      <x:c r="D1419" s="27"/>
      <x:c r="E1419" s="27"/>
      <x:c r="F1419" s="27"/>
      <x:c r="G1419" s="27"/>
      <x:c r="H1419" s="27"/>
      <x:c r="I1419" s="27"/>
      <x:c r="J1419" s="27"/>
    </x:row>
    <x:row r="1420">
      <x:c r="A1420" s="26"/>
      <x:c r="B1420" s="27"/>
      <x:c r="C1420" s="27"/>
      <x:c r="D1420" s="27"/>
      <x:c r="E1420" s="27"/>
      <x:c r="F1420" s="27"/>
      <x:c r="G1420" s="27"/>
      <x:c r="H1420" s="27"/>
      <x:c r="I1420" s="27"/>
      <x:c r="J1420" s="27"/>
    </x:row>
    <x:row r="1421">
      <x:c r="A1421" s="26"/>
      <x:c r="B1421" s="27"/>
      <x:c r="C1421" s="27"/>
      <x:c r="D1421" s="27"/>
      <x:c r="E1421" s="27"/>
      <x:c r="F1421" s="27"/>
      <x:c r="G1421" s="27"/>
      <x:c r="H1421" s="27"/>
      <x:c r="I1421" s="27"/>
      <x:c r="J1421" s="27"/>
    </x:row>
    <x:row r="1422">
      <x:c r="A1422" s="26"/>
      <x:c r="B1422" s="27"/>
      <x:c r="C1422" s="27"/>
      <x:c r="D1422" s="27"/>
      <x:c r="E1422" s="27"/>
      <x:c r="F1422" s="27"/>
      <x:c r="G1422" s="27"/>
      <x:c r="H1422" s="27"/>
      <x:c r="I1422" s="27"/>
      <x:c r="J1422" s="27"/>
    </x:row>
    <x:row r="1423">
      <x:c r="A1423" s="26"/>
      <x:c r="B1423" s="27"/>
      <x:c r="C1423" s="27"/>
      <x:c r="D1423" s="27"/>
      <x:c r="E1423" s="27"/>
      <x:c r="F1423" s="27"/>
      <x:c r="G1423" s="27"/>
      <x:c r="H1423" s="27"/>
      <x:c r="I1423" s="27"/>
      <x:c r="J1423" s="27"/>
    </x:row>
    <x:row r="1424">
      <x:c r="A1424" s="26"/>
      <x:c r="B1424" s="27"/>
      <x:c r="C1424" s="27"/>
      <x:c r="D1424" s="27"/>
      <x:c r="E1424" s="27"/>
      <x:c r="F1424" s="27"/>
      <x:c r="G1424" s="27"/>
      <x:c r="H1424" s="27"/>
      <x:c r="I1424" s="27"/>
      <x:c r="J1424" s="27"/>
    </x:row>
    <x:row r="1425">
      <x:c r="A1425" s="26"/>
      <x:c r="B1425" s="27"/>
      <x:c r="C1425" s="27"/>
      <x:c r="D1425" s="27"/>
      <x:c r="E1425" s="27"/>
      <x:c r="F1425" s="27"/>
      <x:c r="G1425" s="27"/>
      <x:c r="H1425" s="27"/>
      <x:c r="I1425" s="27"/>
      <x:c r="J1425" s="27"/>
    </x:row>
    <x:row r="1426">
      <x:c r="A1426" s="26"/>
      <x:c r="B1426" s="27"/>
      <x:c r="C1426" s="27"/>
      <x:c r="D1426" s="27"/>
      <x:c r="E1426" s="27"/>
      <x:c r="F1426" s="27"/>
      <x:c r="G1426" s="27"/>
      <x:c r="H1426" s="27"/>
      <x:c r="I1426" s="27"/>
      <x:c r="J1426" s="27"/>
    </x:row>
    <x:row r="1427">
      <x:c r="A1427" s="26"/>
      <x:c r="B1427" s="27"/>
      <x:c r="C1427" s="27"/>
      <x:c r="D1427" s="27"/>
      <x:c r="E1427" s="27"/>
      <x:c r="F1427" s="27"/>
      <x:c r="G1427" s="27"/>
      <x:c r="H1427" s="27"/>
      <x:c r="I1427" s="27"/>
      <x:c r="J1427" s="27"/>
    </x:row>
    <x:row r="1428">
      <x:c r="A1428" s="26"/>
      <x:c r="B1428" s="27"/>
      <x:c r="C1428" s="27"/>
      <x:c r="D1428" s="27"/>
      <x:c r="E1428" s="27"/>
      <x:c r="F1428" s="27"/>
      <x:c r="G1428" s="27"/>
      <x:c r="H1428" s="27"/>
      <x:c r="I1428" s="27"/>
      <x:c r="J1428" s="27"/>
    </x:row>
    <x:row r="1429">
      <x:c r="A1429" s="26"/>
      <x:c r="B1429" s="27"/>
      <x:c r="C1429" s="27"/>
      <x:c r="D1429" s="27"/>
      <x:c r="E1429" s="27"/>
      <x:c r="F1429" s="27"/>
      <x:c r="G1429" s="27"/>
      <x:c r="H1429" s="27"/>
      <x:c r="I1429" s="27"/>
      <x:c r="J1429" s="27"/>
    </x:row>
    <x:row r="1430">
      <x:c r="A1430" s="26"/>
      <x:c r="B1430" s="27"/>
      <x:c r="C1430" s="27"/>
      <x:c r="D1430" s="27"/>
      <x:c r="E1430" s="27"/>
      <x:c r="F1430" s="27"/>
      <x:c r="G1430" s="27"/>
      <x:c r="H1430" s="27"/>
      <x:c r="I1430" s="27"/>
      <x:c r="J1430" s="27"/>
    </x:row>
    <x:row r="1431">
      <x:c r="A1431" s="26"/>
      <x:c r="B1431" s="27"/>
      <x:c r="C1431" s="27"/>
      <x:c r="D1431" s="27"/>
      <x:c r="E1431" s="27"/>
      <x:c r="F1431" s="27"/>
      <x:c r="G1431" s="27"/>
      <x:c r="H1431" s="27"/>
      <x:c r="I1431" s="27"/>
      <x:c r="J1431" s="27"/>
    </x:row>
    <x:row r="1432">
      <x:c r="A1432" s="26"/>
      <x:c r="B1432" s="27"/>
      <x:c r="C1432" s="27"/>
      <x:c r="D1432" s="27"/>
      <x:c r="E1432" s="27"/>
      <x:c r="F1432" s="27"/>
      <x:c r="G1432" s="27"/>
      <x:c r="H1432" s="27"/>
      <x:c r="I1432" s="27"/>
      <x:c r="J1432" s="27"/>
    </x:row>
    <x:row r="1433">
      <x:c r="A1433" s="26"/>
      <x:c r="B1433" s="27"/>
      <x:c r="C1433" s="27"/>
      <x:c r="D1433" s="27"/>
      <x:c r="E1433" s="27"/>
      <x:c r="F1433" s="27"/>
      <x:c r="G1433" s="27"/>
      <x:c r="H1433" s="27"/>
      <x:c r="I1433" s="27"/>
      <x:c r="J1433" s="27"/>
    </x:row>
    <x:row r="1434">
      <x:c r="A1434" s="26"/>
      <x:c r="B1434" s="27"/>
      <x:c r="C1434" s="27"/>
      <x:c r="D1434" s="27"/>
      <x:c r="E1434" s="27"/>
      <x:c r="F1434" s="27"/>
      <x:c r="G1434" s="27"/>
      <x:c r="H1434" s="27"/>
      <x:c r="I1434" s="27"/>
      <x:c r="J1434" s="27"/>
    </x:row>
    <x:row r="1435">
      <x:c r="A1435" s="26"/>
      <x:c r="B1435" s="27"/>
      <x:c r="C1435" s="27"/>
      <x:c r="D1435" s="27"/>
      <x:c r="E1435" s="27"/>
      <x:c r="F1435" s="27"/>
      <x:c r="G1435" s="27"/>
      <x:c r="H1435" s="27"/>
      <x:c r="I1435" s="27"/>
      <x:c r="J1435" s="27"/>
    </x:row>
    <x:row r="1436">
      <x:c r="A1436" s="26"/>
      <x:c r="B1436" s="27"/>
      <x:c r="C1436" s="27"/>
      <x:c r="D1436" s="27"/>
      <x:c r="E1436" s="27"/>
      <x:c r="F1436" s="27"/>
      <x:c r="G1436" s="27"/>
      <x:c r="H1436" s="27"/>
      <x:c r="I1436" s="27"/>
      <x:c r="J1436" s="27"/>
    </x:row>
    <x:row r="1437">
      <x:c r="A1437" s="26"/>
      <x:c r="B1437" s="27"/>
      <x:c r="C1437" s="27"/>
      <x:c r="D1437" s="27"/>
      <x:c r="E1437" s="27"/>
      <x:c r="F1437" s="27"/>
      <x:c r="G1437" s="27"/>
      <x:c r="H1437" s="27"/>
      <x:c r="I1437" s="27"/>
      <x:c r="J1437" s="27"/>
    </x:row>
    <x:row r="1438">
      <x:c r="A1438" s="26"/>
      <x:c r="B1438" s="27"/>
      <x:c r="C1438" s="27"/>
      <x:c r="D1438" s="27"/>
      <x:c r="E1438" s="27"/>
      <x:c r="F1438" s="27"/>
      <x:c r="G1438" s="27"/>
      <x:c r="H1438" s="27"/>
      <x:c r="I1438" s="27"/>
      <x:c r="J1438" s="27"/>
    </x:row>
    <x:row r="1439">
      <x:c r="A1439" s="26"/>
      <x:c r="B1439" s="27"/>
      <x:c r="C1439" s="27"/>
      <x:c r="D1439" s="27"/>
      <x:c r="E1439" s="27"/>
      <x:c r="F1439" s="27"/>
      <x:c r="G1439" s="27"/>
      <x:c r="H1439" s="27"/>
      <x:c r="I1439" s="27"/>
      <x:c r="J1439" s="27"/>
    </x:row>
    <x:row r="1440">
      <x:c r="A1440" s="26"/>
      <x:c r="B1440" s="27"/>
      <x:c r="C1440" s="27"/>
      <x:c r="D1440" s="27"/>
      <x:c r="E1440" s="27"/>
      <x:c r="F1440" s="27"/>
      <x:c r="G1440" s="27"/>
      <x:c r="H1440" s="27"/>
      <x:c r="I1440" s="27"/>
      <x:c r="J1440" s="27"/>
    </x:row>
    <x:row r="1441">
      <x:c r="A1441" s="26"/>
      <x:c r="B1441" s="27"/>
      <x:c r="C1441" s="27"/>
      <x:c r="D1441" s="27"/>
      <x:c r="E1441" s="27"/>
      <x:c r="F1441" s="27"/>
      <x:c r="G1441" s="27"/>
      <x:c r="H1441" s="27"/>
      <x:c r="I1441" s="27"/>
      <x:c r="J1441" s="27"/>
    </x:row>
    <x:row r="1442">
      <x:c r="A1442" s="26"/>
      <x:c r="B1442" s="27"/>
      <x:c r="C1442" s="27"/>
      <x:c r="D1442" s="27"/>
      <x:c r="E1442" s="27"/>
      <x:c r="F1442" s="27"/>
      <x:c r="G1442" s="27"/>
      <x:c r="H1442" s="27"/>
      <x:c r="I1442" s="27"/>
      <x:c r="J1442" s="27"/>
    </x:row>
    <x:row r="1443">
      <x:c r="A1443" s="26"/>
      <x:c r="B1443" s="27"/>
      <x:c r="C1443" s="27"/>
      <x:c r="D1443" s="27"/>
      <x:c r="E1443" s="27"/>
      <x:c r="F1443" s="27"/>
      <x:c r="G1443" s="27"/>
      <x:c r="H1443" s="27"/>
      <x:c r="I1443" s="27"/>
      <x:c r="J1443" s="27"/>
    </x:row>
    <x:row r="1444">
      <x:c r="A1444" s="26"/>
      <x:c r="B1444" s="27"/>
      <x:c r="C1444" s="27"/>
      <x:c r="D1444" s="27"/>
      <x:c r="E1444" s="27"/>
      <x:c r="F1444" s="27"/>
      <x:c r="G1444" s="27"/>
      <x:c r="H1444" s="27"/>
      <x:c r="I1444" s="27"/>
      <x:c r="J1444" s="27"/>
    </x:row>
    <x:row r="1445">
      <x:c r="A1445" s="26"/>
      <x:c r="B1445" s="27"/>
      <x:c r="C1445" s="27"/>
      <x:c r="D1445" s="27"/>
      <x:c r="E1445" s="27"/>
      <x:c r="F1445" s="27"/>
      <x:c r="G1445" s="27"/>
      <x:c r="H1445" s="27"/>
      <x:c r="I1445" s="27"/>
      <x:c r="J1445" s="27"/>
    </x:row>
    <x:row r="1446">
      <x:c r="A1446" s="26"/>
      <x:c r="B1446" s="27"/>
      <x:c r="C1446" s="27"/>
      <x:c r="D1446" s="27"/>
      <x:c r="E1446" s="27"/>
      <x:c r="F1446" s="27"/>
      <x:c r="G1446" s="27"/>
      <x:c r="H1446" s="27"/>
      <x:c r="I1446" s="27"/>
      <x:c r="J1446" s="27"/>
    </x:row>
    <x:row r="1447">
      <x:c r="A1447" s="26"/>
      <x:c r="B1447" s="27"/>
      <x:c r="C1447" s="27"/>
      <x:c r="D1447" s="27"/>
      <x:c r="E1447" s="27"/>
      <x:c r="F1447" s="27"/>
      <x:c r="G1447" s="27"/>
      <x:c r="H1447" s="27"/>
      <x:c r="I1447" s="27"/>
      <x:c r="J1447" s="27"/>
    </x:row>
    <x:row r="1448">
      <x:c r="A1448" s="26"/>
      <x:c r="B1448" s="27"/>
      <x:c r="C1448" s="27"/>
      <x:c r="D1448" s="27"/>
      <x:c r="E1448" s="27"/>
      <x:c r="F1448" s="27"/>
      <x:c r="G1448" s="27"/>
      <x:c r="H1448" s="27"/>
      <x:c r="I1448" s="27"/>
      <x:c r="J1448" s="27"/>
    </x:row>
    <x:row r="1449">
      <x:c r="A1449" s="26"/>
      <x:c r="B1449" s="27"/>
      <x:c r="C1449" s="27"/>
      <x:c r="D1449" s="27"/>
      <x:c r="E1449" s="27"/>
      <x:c r="F1449" s="27"/>
      <x:c r="G1449" s="27"/>
      <x:c r="H1449" s="27"/>
      <x:c r="I1449" s="27"/>
      <x:c r="J1449" s="27"/>
    </x:row>
    <x:row r="1450">
      <x:c r="A1450" s="26"/>
      <x:c r="B1450" s="27"/>
      <x:c r="C1450" s="27"/>
      <x:c r="D1450" s="27"/>
      <x:c r="E1450" s="27"/>
      <x:c r="F1450" s="27"/>
      <x:c r="G1450" s="27"/>
      <x:c r="H1450" s="27"/>
      <x:c r="I1450" s="27"/>
      <x:c r="J1450" s="27"/>
    </x:row>
    <x:row r="1451">
      <x:c r="A1451" s="26"/>
      <x:c r="B1451" s="27"/>
      <x:c r="C1451" s="27"/>
      <x:c r="D1451" s="27"/>
      <x:c r="E1451" s="27"/>
      <x:c r="F1451" s="27"/>
      <x:c r="G1451" s="27"/>
      <x:c r="H1451" s="27"/>
      <x:c r="I1451" s="27"/>
      <x:c r="J1451" s="27"/>
    </x:row>
    <x:row r="1452">
      <x:c r="A1452" s="26"/>
      <x:c r="B1452" s="27"/>
      <x:c r="C1452" s="27"/>
      <x:c r="D1452" s="27"/>
      <x:c r="E1452" s="27"/>
      <x:c r="F1452" s="27"/>
      <x:c r="G1452" s="27"/>
      <x:c r="H1452" s="27"/>
      <x:c r="I1452" s="27"/>
      <x:c r="J1452" s="27"/>
    </x:row>
    <x:row r="1453">
      <x:c r="A1453" s="26"/>
      <x:c r="B1453" s="27"/>
      <x:c r="C1453" s="27"/>
      <x:c r="D1453" s="27"/>
      <x:c r="E1453" s="27"/>
      <x:c r="F1453" s="27"/>
      <x:c r="G1453" s="27"/>
      <x:c r="H1453" s="27"/>
      <x:c r="I1453" s="27"/>
      <x:c r="J1453" s="27"/>
    </x:row>
    <x:row r="1454">
      <x:c r="A1454" s="26"/>
      <x:c r="B1454" s="27"/>
      <x:c r="C1454" s="27"/>
      <x:c r="D1454" s="27"/>
      <x:c r="E1454" s="27"/>
      <x:c r="F1454" s="27"/>
      <x:c r="G1454" s="27"/>
      <x:c r="H1454" s="27"/>
      <x:c r="I1454" s="27"/>
      <x:c r="J1454" s="27"/>
    </x:row>
    <x:row r="1455">
      <x:c r="A1455" s="26"/>
      <x:c r="B1455" s="27"/>
      <x:c r="C1455" s="27"/>
      <x:c r="D1455" s="27"/>
      <x:c r="E1455" s="27"/>
      <x:c r="F1455" s="27"/>
      <x:c r="G1455" s="27"/>
      <x:c r="H1455" s="27"/>
      <x:c r="I1455" s="27"/>
      <x:c r="J1455" s="27"/>
    </x:row>
    <x:row r="1456">
      <x:c r="A1456" s="26"/>
      <x:c r="B1456" s="27"/>
      <x:c r="C1456" s="27"/>
      <x:c r="D1456" s="27"/>
      <x:c r="E1456" s="27"/>
      <x:c r="F1456" s="27"/>
      <x:c r="G1456" s="27"/>
      <x:c r="H1456" s="27"/>
      <x:c r="I1456" s="27"/>
      <x:c r="J1456" s="27"/>
    </x:row>
    <x:row r="1457">
      <x:c r="A1457" s="26"/>
      <x:c r="B1457" s="27"/>
      <x:c r="C1457" s="27"/>
      <x:c r="D1457" s="27"/>
      <x:c r="E1457" s="27"/>
      <x:c r="F1457" s="27"/>
      <x:c r="G1457" s="27"/>
      <x:c r="H1457" s="27"/>
      <x:c r="I1457" s="27"/>
      <x:c r="J1457" s="27"/>
    </x:row>
    <x:row r="1458">
      <x:c r="A1458" s="26"/>
      <x:c r="B1458" s="27"/>
      <x:c r="C1458" s="27"/>
      <x:c r="D1458" s="27"/>
      <x:c r="E1458" s="27"/>
      <x:c r="F1458" s="27"/>
      <x:c r="G1458" s="27"/>
      <x:c r="H1458" s="27"/>
      <x:c r="I1458" s="27"/>
      <x:c r="J1458" s="27"/>
    </x:row>
    <x:row r="1459">
      <x:c r="A1459" s="26"/>
      <x:c r="B1459" s="27"/>
      <x:c r="C1459" s="27"/>
      <x:c r="D1459" s="27"/>
      <x:c r="E1459" s="27"/>
      <x:c r="F1459" s="27"/>
      <x:c r="G1459" s="27"/>
      <x:c r="H1459" s="27"/>
      <x:c r="I1459" s="27"/>
      <x:c r="J1459" s="27"/>
    </x:row>
    <x:row r="1460">
      <x:c r="A1460" s="26"/>
      <x:c r="B1460" s="27"/>
      <x:c r="C1460" s="27"/>
      <x:c r="D1460" s="27"/>
      <x:c r="E1460" s="27"/>
      <x:c r="F1460" s="27"/>
      <x:c r="G1460" s="27"/>
      <x:c r="H1460" s="27"/>
      <x:c r="I1460" s="27"/>
      <x:c r="J1460" s="27"/>
    </x:row>
    <x:row r="1461">
      <x:c r="A1461" s="26"/>
      <x:c r="B1461" s="27"/>
      <x:c r="C1461" s="27"/>
      <x:c r="D1461" s="27"/>
      <x:c r="E1461" s="27"/>
      <x:c r="F1461" s="27"/>
      <x:c r="G1461" s="27"/>
      <x:c r="H1461" s="27"/>
      <x:c r="I1461" s="27"/>
      <x:c r="J1461" s="27"/>
    </x:row>
    <x:row r="1462">
      <x:c r="A1462" s="26"/>
      <x:c r="B1462" s="27"/>
      <x:c r="C1462" s="27"/>
      <x:c r="D1462" s="27"/>
      <x:c r="E1462" s="27"/>
      <x:c r="F1462" s="27"/>
      <x:c r="G1462" s="27"/>
      <x:c r="H1462" s="27"/>
      <x:c r="I1462" s="27"/>
      <x:c r="J1462" s="27"/>
    </x:row>
    <x:row r="1463">
      <x:c r="A1463" s="26"/>
      <x:c r="B1463" s="27"/>
      <x:c r="C1463" s="27"/>
      <x:c r="D1463" s="27"/>
      <x:c r="E1463" s="27"/>
      <x:c r="F1463" s="27"/>
      <x:c r="G1463" s="27"/>
      <x:c r="H1463" s="27"/>
      <x:c r="I1463" s="27"/>
      <x:c r="J1463" s="27"/>
    </x:row>
    <x:row r="1464">
      <x:c r="A1464" s="26"/>
      <x:c r="B1464" s="27"/>
      <x:c r="C1464" s="27"/>
      <x:c r="D1464" s="27"/>
      <x:c r="E1464" s="27"/>
      <x:c r="F1464" s="27"/>
      <x:c r="G1464" s="27"/>
      <x:c r="H1464" s="27"/>
      <x:c r="I1464" s="27"/>
      <x:c r="J1464" s="27"/>
    </x:row>
    <x:row r="1465">
      <x:c r="A1465" s="26"/>
      <x:c r="B1465" s="27"/>
      <x:c r="C1465" s="27"/>
      <x:c r="D1465" s="27"/>
      <x:c r="E1465" s="27"/>
      <x:c r="F1465" s="27"/>
      <x:c r="G1465" s="27"/>
      <x:c r="H1465" s="27"/>
      <x:c r="I1465" s="27"/>
      <x:c r="J1465" s="27"/>
    </x:row>
    <x:row r="1466">
      <x:c r="A1466" s="26"/>
      <x:c r="B1466" s="27"/>
      <x:c r="C1466" s="27"/>
      <x:c r="D1466" s="27"/>
      <x:c r="E1466" s="27"/>
      <x:c r="F1466" s="27"/>
      <x:c r="G1466" s="27"/>
      <x:c r="H1466" s="27"/>
      <x:c r="I1466" s="27"/>
      <x:c r="J1466" s="27"/>
    </x:row>
    <x:row r="1467">
      <x:c r="A1467" s="26"/>
      <x:c r="B1467" s="27"/>
      <x:c r="C1467" s="27"/>
      <x:c r="D1467" s="27"/>
      <x:c r="E1467" s="27"/>
      <x:c r="F1467" s="27"/>
      <x:c r="G1467" s="27"/>
      <x:c r="H1467" s="27"/>
      <x:c r="I1467" s="27"/>
      <x:c r="J1467" s="27"/>
    </x:row>
    <x:row r="1468">
      <x:c r="A1468" s="26"/>
      <x:c r="B1468" s="27"/>
      <x:c r="C1468" s="27"/>
      <x:c r="D1468" s="27"/>
      <x:c r="E1468" s="27"/>
      <x:c r="F1468" s="27"/>
      <x:c r="G1468" s="27"/>
      <x:c r="H1468" s="27"/>
      <x:c r="I1468" s="27"/>
      <x:c r="J1468" s="27"/>
    </x:row>
    <x:row r="1469">
      <x:c r="A1469" s="26"/>
      <x:c r="B1469" s="27"/>
      <x:c r="C1469" s="27"/>
      <x:c r="D1469" s="27"/>
      <x:c r="E1469" s="27"/>
      <x:c r="F1469" s="27"/>
      <x:c r="G1469" s="27"/>
      <x:c r="H1469" s="27"/>
      <x:c r="I1469" s="27"/>
      <x:c r="J1469" s="27"/>
    </x:row>
    <x:row r="1470">
      <x:c r="A1470" s="26"/>
      <x:c r="B1470" s="27"/>
      <x:c r="C1470" s="27"/>
      <x:c r="D1470" s="27"/>
      <x:c r="E1470" s="27"/>
      <x:c r="F1470" s="27"/>
      <x:c r="G1470" s="27"/>
      <x:c r="H1470" s="27"/>
      <x:c r="I1470" s="27"/>
      <x:c r="J1470" s="27"/>
    </x:row>
    <x:row r="1471">
      <x:c r="A1471" s="26"/>
      <x:c r="B1471" s="27"/>
      <x:c r="C1471" s="27"/>
      <x:c r="D1471" s="27"/>
      <x:c r="E1471" s="27"/>
      <x:c r="F1471" s="27"/>
      <x:c r="G1471" s="27"/>
      <x:c r="H1471" s="27"/>
      <x:c r="I1471" s="27"/>
      <x:c r="J1471" s="27"/>
    </x:row>
    <x:row r="1472">
      <x:c r="A1472" s="26"/>
      <x:c r="B1472" s="27"/>
      <x:c r="C1472" s="27"/>
      <x:c r="D1472" s="27"/>
      <x:c r="E1472" s="27"/>
      <x:c r="F1472" s="27"/>
      <x:c r="G1472" s="27"/>
      <x:c r="H1472" s="27"/>
      <x:c r="I1472" s="27"/>
      <x:c r="J1472" s="27"/>
    </x:row>
    <x:row r="1473">
      <x:c r="A1473" s="26"/>
      <x:c r="B1473" s="27"/>
      <x:c r="C1473" s="27"/>
      <x:c r="D1473" s="27"/>
      <x:c r="E1473" s="27"/>
      <x:c r="F1473" s="27"/>
      <x:c r="G1473" s="27"/>
      <x:c r="H1473" s="27"/>
      <x:c r="I1473" s="27"/>
      <x:c r="J1473" s="27"/>
    </x:row>
    <x:row r="1474">
      <x:c r="A1474" s="26"/>
      <x:c r="B1474" s="27"/>
      <x:c r="C1474" s="27"/>
      <x:c r="D1474" s="27"/>
      <x:c r="E1474" s="27"/>
      <x:c r="F1474" s="27"/>
      <x:c r="G1474" s="27"/>
      <x:c r="H1474" s="27"/>
      <x:c r="I1474" s="27"/>
      <x:c r="J1474" s="27"/>
    </x:row>
    <x:row r="1475">
      <x:c r="A1475" s="26"/>
      <x:c r="B1475" s="27"/>
      <x:c r="C1475" s="27"/>
      <x:c r="D1475" s="27"/>
      <x:c r="E1475" s="27"/>
      <x:c r="F1475" s="27"/>
      <x:c r="G1475" s="27"/>
      <x:c r="H1475" s="27"/>
      <x:c r="I1475" s="27"/>
      <x:c r="J1475" s="27"/>
    </x:row>
    <x:row r="1476">
      <x:c r="A1476" s="26"/>
      <x:c r="B1476" s="27"/>
      <x:c r="C1476" s="27"/>
      <x:c r="D1476" s="27"/>
      <x:c r="E1476" s="27"/>
      <x:c r="F1476" s="27"/>
      <x:c r="G1476" s="27"/>
      <x:c r="H1476" s="27"/>
      <x:c r="I1476" s="27"/>
      <x:c r="J1476" s="27"/>
    </x:row>
    <x:row r="1477">
      <x:c r="A1477" s="26"/>
      <x:c r="B1477" s="27"/>
      <x:c r="C1477" s="27"/>
      <x:c r="D1477" s="27"/>
      <x:c r="E1477" s="27"/>
      <x:c r="F1477" s="27"/>
      <x:c r="G1477" s="27"/>
      <x:c r="H1477" s="27"/>
      <x:c r="I1477" s="27"/>
      <x:c r="J1477" s="27"/>
    </x:row>
    <x:row r="1478">
      <x:c r="A1478" s="26"/>
      <x:c r="B1478" s="27"/>
      <x:c r="C1478" s="27"/>
      <x:c r="D1478" s="27"/>
      <x:c r="E1478" s="27"/>
      <x:c r="F1478" s="27"/>
      <x:c r="G1478" s="27"/>
      <x:c r="H1478" s="27"/>
      <x:c r="I1478" s="27"/>
      <x:c r="J1478" s="27"/>
    </x:row>
    <x:row r="1479">
      <x:c r="A1479" s="26"/>
      <x:c r="B1479" s="27"/>
      <x:c r="C1479" s="27"/>
      <x:c r="D1479" s="27"/>
      <x:c r="E1479" s="27"/>
      <x:c r="F1479" s="27"/>
      <x:c r="G1479" s="27"/>
      <x:c r="H1479" s="27"/>
      <x:c r="I1479" s="27"/>
      <x:c r="J1479" s="27"/>
    </x:row>
    <x:row r="1480">
      <x:c r="A1480" s="26"/>
      <x:c r="B1480" s="27"/>
      <x:c r="C1480" s="27"/>
      <x:c r="D1480" s="27"/>
      <x:c r="E1480" s="27"/>
      <x:c r="F1480" s="27"/>
      <x:c r="G1480" s="27"/>
      <x:c r="H1480" s="27"/>
      <x:c r="I1480" s="27"/>
      <x:c r="J1480" s="27"/>
    </x:row>
    <x:row r="1481">
      <x:c r="A1481" s="26"/>
      <x:c r="B1481" s="27"/>
      <x:c r="C1481" s="27"/>
      <x:c r="D1481" s="27"/>
      <x:c r="E1481" s="27"/>
      <x:c r="F1481" s="27"/>
      <x:c r="G1481" s="27"/>
      <x:c r="H1481" s="27"/>
      <x:c r="I1481" s="27"/>
      <x:c r="J1481" s="27"/>
    </x:row>
    <x:row r="1482">
      <x:c r="A1482" s="26"/>
      <x:c r="B1482" s="27"/>
      <x:c r="C1482" s="27"/>
      <x:c r="D1482" s="27"/>
      <x:c r="E1482" s="27"/>
      <x:c r="F1482" s="27"/>
      <x:c r="G1482" s="27"/>
      <x:c r="H1482" s="27"/>
      <x:c r="I1482" s="27"/>
      <x:c r="J1482" s="27"/>
    </x:row>
    <x:row r="1483">
      <x:c r="A1483" s="26"/>
      <x:c r="B1483" s="27"/>
      <x:c r="C1483" s="27"/>
      <x:c r="D1483" s="27"/>
      <x:c r="E1483" s="27"/>
      <x:c r="F1483" s="27"/>
      <x:c r="G1483" s="27"/>
      <x:c r="H1483" s="27"/>
      <x:c r="I1483" s="27"/>
      <x:c r="J1483" s="27"/>
    </x:row>
    <x:row r="1484">
      <x:c r="A1484" s="26"/>
      <x:c r="B1484" s="27"/>
      <x:c r="C1484" s="27"/>
      <x:c r="D1484" s="27"/>
      <x:c r="E1484" s="27"/>
      <x:c r="F1484" s="27"/>
      <x:c r="G1484" s="27"/>
      <x:c r="H1484" s="27"/>
      <x:c r="I1484" s="27"/>
      <x:c r="J1484" s="27"/>
    </x:row>
    <x:row r="1485">
      <x:c r="A1485" s="26"/>
      <x:c r="B1485" s="27"/>
      <x:c r="C1485" s="27"/>
      <x:c r="D1485" s="27"/>
      <x:c r="E1485" s="27"/>
      <x:c r="F1485" s="27"/>
      <x:c r="G1485" s="27"/>
      <x:c r="H1485" s="27"/>
      <x:c r="I1485" s="27"/>
      <x:c r="J1485" s="27"/>
    </x:row>
    <x:row r="1486">
      <x:c r="A1486" s="26"/>
      <x:c r="B1486" s="27"/>
      <x:c r="C1486" s="27"/>
      <x:c r="D1486" s="27"/>
      <x:c r="E1486" s="27"/>
      <x:c r="F1486" s="27"/>
      <x:c r="G1486" s="27"/>
      <x:c r="H1486" s="27"/>
      <x:c r="I1486" s="27"/>
      <x:c r="J1486" s="27"/>
    </x:row>
    <x:row r="1487">
      <x:c r="A1487" s="26"/>
      <x:c r="B1487" s="27"/>
      <x:c r="C1487" s="27"/>
      <x:c r="D1487" s="27"/>
      <x:c r="E1487" s="27"/>
      <x:c r="F1487" s="27"/>
      <x:c r="G1487" s="27"/>
      <x:c r="H1487" s="27"/>
      <x:c r="I1487" s="27"/>
      <x:c r="J1487" s="27"/>
    </x:row>
    <x:row r="1488">
      <x:c r="A1488" s="26"/>
      <x:c r="B1488" s="27"/>
      <x:c r="C1488" s="27"/>
      <x:c r="D1488" s="27"/>
      <x:c r="E1488" s="27"/>
      <x:c r="F1488" s="27"/>
      <x:c r="G1488" s="27"/>
      <x:c r="H1488" s="27"/>
      <x:c r="I1488" s="27"/>
      <x:c r="J1488" s="27"/>
    </x:row>
    <x:row r="1489">
      <x:c r="A1489" s="26"/>
      <x:c r="B1489" s="27"/>
      <x:c r="C1489" s="27"/>
      <x:c r="D1489" s="27"/>
      <x:c r="E1489" s="27"/>
      <x:c r="F1489" s="27"/>
      <x:c r="G1489" s="27"/>
      <x:c r="H1489" s="27"/>
      <x:c r="I1489" s="27"/>
      <x:c r="J1489" s="27"/>
    </x:row>
    <x:row r="1490">
      <x:c r="A1490" s="26"/>
      <x:c r="B1490" s="27"/>
      <x:c r="C1490" s="27"/>
      <x:c r="D1490" s="27"/>
      <x:c r="E1490" s="27"/>
      <x:c r="F1490" s="27"/>
      <x:c r="G1490" s="27"/>
      <x:c r="H1490" s="27"/>
      <x:c r="I1490" s="27"/>
      <x:c r="J1490" s="27"/>
    </x:row>
    <x:row r="1491">
      <x:c r="A1491" s="26"/>
      <x:c r="B1491" s="27"/>
      <x:c r="C1491" s="27"/>
      <x:c r="D1491" s="27"/>
      <x:c r="E1491" s="27"/>
      <x:c r="F1491" s="27"/>
      <x:c r="G1491" s="27"/>
      <x:c r="H1491" s="27"/>
      <x:c r="I1491" s="27"/>
      <x:c r="J1491" s="27"/>
    </x:row>
    <x:row r="1492">
      <x:c r="A1492" s="26"/>
      <x:c r="B1492" s="27"/>
      <x:c r="C1492" s="27"/>
      <x:c r="D1492" s="27"/>
      <x:c r="E1492" s="27"/>
      <x:c r="F1492" s="27"/>
      <x:c r="G1492" s="27"/>
      <x:c r="H1492" s="27"/>
      <x:c r="I1492" s="27"/>
      <x:c r="J1492" s="27"/>
    </x:row>
    <x:row r="1493">
      <x:c r="A1493" s="26"/>
      <x:c r="B1493" s="27"/>
      <x:c r="C1493" s="27"/>
      <x:c r="D1493" s="27"/>
      <x:c r="E1493" s="27"/>
      <x:c r="F1493" s="27"/>
      <x:c r="G1493" s="27"/>
      <x:c r="H1493" s="27"/>
      <x:c r="I1493" s="27"/>
      <x:c r="J1493" s="27"/>
    </x:row>
    <x:row r="1494">
      <x:c r="A1494" s="26"/>
      <x:c r="B1494" s="27"/>
      <x:c r="C1494" s="27"/>
      <x:c r="D1494" s="27"/>
      <x:c r="E1494" s="27"/>
      <x:c r="F1494" s="27"/>
      <x:c r="G1494" s="27"/>
      <x:c r="H1494" s="27"/>
      <x:c r="I1494" s="27"/>
      <x:c r="J1494" s="27"/>
    </x:row>
    <x:row r="1495">
      <x:c r="A1495" s="26"/>
      <x:c r="B1495" s="27"/>
      <x:c r="C1495" s="27"/>
      <x:c r="D1495" s="27"/>
      <x:c r="E1495" s="27"/>
      <x:c r="F1495" s="27"/>
      <x:c r="G1495" s="27"/>
      <x:c r="H1495" s="27"/>
      <x:c r="I1495" s="27"/>
      <x:c r="J1495" s="27"/>
    </x:row>
    <x:row r="1496">
      <x:c r="A1496" s="26"/>
      <x:c r="B1496" s="27"/>
      <x:c r="C1496" s="27"/>
      <x:c r="D1496" s="27"/>
      <x:c r="E1496" s="27"/>
      <x:c r="F1496" s="27"/>
      <x:c r="G1496" s="27"/>
      <x:c r="H1496" s="27"/>
      <x:c r="I1496" s="27"/>
      <x:c r="J1496" s="27"/>
    </x:row>
    <x:row r="1497">
      <x:c r="A1497" s="26"/>
      <x:c r="B1497" s="27"/>
      <x:c r="C1497" s="27"/>
      <x:c r="D1497" s="27"/>
      <x:c r="E1497" s="27"/>
      <x:c r="F1497" s="27"/>
      <x:c r="G1497" s="27"/>
      <x:c r="H1497" s="27"/>
      <x:c r="I1497" s="27"/>
      <x:c r="J1497" s="27"/>
    </x:row>
    <x:row r="1498">
      <x:c r="A1498" s="26"/>
      <x:c r="B1498" s="27"/>
      <x:c r="C1498" s="27"/>
      <x:c r="D1498" s="27"/>
      <x:c r="E1498" s="27"/>
      <x:c r="F1498" s="27"/>
      <x:c r="G1498" s="27"/>
      <x:c r="H1498" s="27"/>
      <x:c r="I1498" s="27"/>
      <x:c r="J1498" s="27"/>
    </x:row>
    <x:row r="1499">
      <x:c r="A1499" s="26"/>
      <x:c r="B1499" s="27"/>
      <x:c r="C1499" s="27"/>
      <x:c r="D1499" s="27"/>
      <x:c r="E1499" s="27"/>
      <x:c r="F1499" s="27"/>
      <x:c r="G1499" s="27"/>
      <x:c r="H1499" s="27"/>
      <x:c r="I1499" s="27"/>
      <x:c r="J1499" s="27"/>
    </x:row>
    <x:row r="1500">
      <x:c r="A1500" s="26"/>
      <x:c r="B1500" s="27"/>
      <x:c r="C1500" s="27"/>
      <x:c r="D1500" s="27"/>
      <x:c r="E1500" s="27"/>
      <x:c r="F1500" s="27"/>
      <x:c r="G1500" s="27"/>
      <x:c r="H1500" s="27"/>
      <x:c r="I1500" s="27"/>
      <x:c r="J1500" s="27"/>
    </x:row>
    <x:row r="1501">
      <x:c r="A1501" s="26"/>
      <x:c r="B1501" s="27"/>
      <x:c r="C1501" s="27"/>
      <x:c r="D1501" s="27"/>
      <x:c r="E1501" s="27"/>
      <x:c r="F1501" s="27"/>
      <x:c r="G1501" s="27"/>
      <x:c r="H1501" s="27"/>
      <x:c r="I1501" s="27"/>
      <x:c r="J1501" s="27"/>
    </x:row>
    <x:row r="1502">
      <x:c r="A1502" s="26"/>
      <x:c r="B1502" s="27"/>
      <x:c r="C1502" s="27"/>
      <x:c r="D1502" s="27"/>
      <x:c r="E1502" s="27"/>
      <x:c r="F1502" s="27"/>
      <x:c r="G1502" s="27"/>
      <x:c r="H1502" s="27"/>
      <x:c r="I1502" s="27"/>
      <x:c r="J1502" s="27"/>
    </x:row>
    <x:row r="1503">
      <x:c r="A1503" s="26"/>
      <x:c r="B1503" s="27"/>
      <x:c r="C1503" s="27"/>
      <x:c r="D1503" s="27"/>
      <x:c r="E1503" s="27"/>
      <x:c r="F1503" s="27"/>
      <x:c r="G1503" s="27"/>
      <x:c r="H1503" s="27"/>
      <x:c r="I1503" s="27"/>
      <x:c r="J1503" s="27"/>
    </x:row>
    <x:row r="1504">
      <x:c r="A1504" s="26"/>
      <x:c r="B1504" s="27"/>
      <x:c r="C1504" s="27"/>
      <x:c r="D1504" s="27"/>
      <x:c r="E1504" s="27"/>
      <x:c r="F1504" s="27"/>
      <x:c r="G1504" s="27"/>
      <x:c r="H1504" s="27"/>
      <x:c r="I1504" s="27"/>
      <x:c r="J1504" s="27"/>
    </x:row>
    <x:row r="1505">
      <x:c r="A1505" s="26"/>
      <x:c r="B1505" s="27"/>
      <x:c r="C1505" s="27"/>
      <x:c r="D1505" s="27"/>
      <x:c r="E1505" s="27"/>
      <x:c r="F1505" s="27"/>
      <x:c r="G1505" s="27"/>
      <x:c r="H1505" s="27"/>
      <x:c r="I1505" s="27"/>
      <x:c r="J1505" s="27"/>
    </x:row>
    <x:row r="1506">
      <x:c r="A1506" s="26"/>
      <x:c r="B1506" s="27"/>
      <x:c r="C1506" s="27"/>
      <x:c r="D1506" s="27"/>
      <x:c r="E1506" s="27"/>
      <x:c r="F1506" s="27"/>
      <x:c r="G1506" s="27"/>
      <x:c r="H1506" s="27"/>
      <x:c r="I1506" s="27"/>
      <x:c r="J1506" s="27"/>
    </x:row>
    <x:row r="1507">
      <x:c r="A1507" s="26"/>
      <x:c r="B1507" s="27"/>
      <x:c r="C1507" s="27"/>
      <x:c r="D1507" s="27"/>
      <x:c r="E1507" s="27"/>
      <x:c r="F1507" s="27"/>
      <x:c r="G1507" s="27"/>
      <x:c r="H1507" s="27"/>
      <x:c r="I1507" s="27"/>
      <x:c r="J1507" s="27"/>
    </x:row>
    <x:row r="1508">
      <x:c r="A1508" s="26"/>
      <x:c r="B1508" s="27"/>
      <x:c r="C1508" s="27"/>
      <x:c r="D1508" s="27"/>
      <x:c r="E1508" s="27"/>
      <x:c r="F1508" s="27"/>
      <x:c r="G1508" s="27"/>
      <x:c r="H1508" s="27"/>
      <x:c r="I1508" s="27"/>
      <x:c r="J1508" s="27"/>
    </x:row>
    <x:row r="1509">
      <x:c r="A1509" s="26"/>
      <x:c r="B1509" s="27"/>
      <x:c r="C1509" s="27"/>
      <x:c r="D1509" s="27"/>
      <x:c r="E1509" s="27"/>
      <x:c r="F1509" s="27"/>
      <x:c r="G1509" s="27"/>
      <x:c r="H1509" s="27"/>
      <x:c r="I1509" s="27"/>
      <x:c r="J1509" s="27"/>
    </x:row>
    <x:row r="1510">
      <x:c r="A1510" s="26"/>
      <x:c r="B1510" s="27"/>
      <x:c r="C1510" s="27"/>
      <x:c r="D1510" s="27"/>
      <x:c r="E1510" s="27"/>
      <x:c r="F1510" s="27"/>
      <x:c r="G1510" s="27"/>
      <x:c r="H1510" s="27"/>
      <x:c r="I1510" s="27"/>
      <x:c r="J1510" s="27"/>
    </x:row>
    <x:row r="1511">
      <x:c r="A1511" s="26"/>
      <x:c r="B1511" s="27"/>
      <x:c r="C1511" s="27"/>
      <x:c r="D1511" s="27"/>
      <x:c r="E1511" s="27"/>
      <x:c r="F1511" s="27"/>
      <x:c r="G1511" s="27"/>
      <x:c r="H1511" s="27"/>
      <x:c r="I1511" s="27"/>
      <x:c r="J1511" s="27"/>
    </x:row>
    <x:row r="1512">
      <x:c r="A1512" s="26"/>
      <x:c r="B1512" s="27"/>
      <x:c r="C1512" s="27"/>
      <x:c r="D1512" s="27"/>
      <x:c r="E1512" s="27"/>
      <x:c r="F1512" s="27"/>
      <x:c r="G1512" s="27"/>
      <x:c r="H1512" s="27"/>
      <x:c r="I1512" s="27"/>
      <x:c r="J1512" s="27"/>
    </x:row>
    <x:row r="1513">
      <x:c r="A1513" s="26"/>
      <x:c r="B1513" s="27"/>
      <x:c r="C1513" s="27"/>
      <x:c r="D1513" s="27"/>
      <x:c r="E1513" s="27"/>
      <x:c r="F1513" s="27"/>
      <x:c r="G1513" s="27"/>
      <x:c r="H1513" s="27"/>
      <x:c r="I1513" s="27"/>
      <x:c r="J1513" s="27"/>
    </x:row>
    <x:row r="1514">
      <x:c r="A1514" s="26"/>
      <x:c r="B1514" s="27"/>
      <x:c r="C1514" s="27"/>
      <x:c r="D1514" s="27"/>
      <x:c r="E1514" s="27"/>
      <x:c r="F1514" s="27"/>
      <x:c r="G1514" s="27"/>
      <x:c r="H1514" s="27"/>
      <x:c r="I1514" s="27"/>
      <x:c r="J1514" s="27"/>
    </x:row>
    <x:row r="1515">
      <x:c r="A1515" s="26"/>
      <x:c r="B1515" s="27"/>
      <x:c r="C1515" s="27"/>
      <x:c r="D1515" s="27"/>
      <x:c r="E1515" s="27"/>
      <x:c r="F1515" s="27"/>
      <x:c r="G1515" s="27"/>
      <x:c r="H1515" s="27"/>
      <x:c r="I1515" s="27"/>
      <x:c r="J1515" s="27"/>
    </x:row>
    <x:row r="1516">
      <x:c r="A1516" s="26"/>
      <x:c r="B1516" s="27"/>
      <x:c r="C1516" s="27"/>
      <x:c r="D1516" s="27"/>
      <x:c r="E1516" s="27"/>
      <x:c r="F1516" s="27"/>
      <x:c r="G1516" s="27"/>
      <x:c r="H1516" s="27"/>
      <x:c r="I1516" s="27"/>
      <x:c r="J1516" s="27"/>
    </x:row>
    <x:row r="1517">
      <x:c r="A1517" s="26"/>
      <x:c r="B1517" s="27"/>
      <x:c r="C1517" s="27"/>
      <x:c r="D1517" s="27"/>
      <x:c r="E1517" s="27"/>
      <x:c r="F1517" s="27"/>
      <x:c r="G1517" s="27"/>
      <x:c r="H1517" s="27"/>
      <x:c r="I1517" s="27"/>
      <x:c r="J1517" s="27"/>
    </x:row>
    <x:row r="1518">
      <x:c r="A1518" s="26"/>
      <x:c r="B1518" s="27"/>
      <x:c r="C1518" s="27"/>
      <x:c r="D1518" s="27"/>
      <x:c r="E1518" s="27"/>
      <x:c r="F1518" s="27"/>
      <x:c r="G1518" s="27"/>
      <x:c r="H1518" s="27"/>
      <x:c r="I1518" s="27"/>
      <x:c r="J1518" s="27"/>
    </x:row>
    <x:row r="1519">
      <x:c r="A1519" s="26"/>
      <x:c r="B1519" s="27"/>
      <x:c r="C1519" s="27"/>
      <x:c r="D1519" s="27"/>
      <x:c r="E1519" s="27"/>
      <x:c r="F1519" s="27"/>
      <x:c r="G1519" s="27"/>
      <x:c r="H1519" s="27"/>
      <x:c r="I1519" s="27"/>
      <x:c r="J1519" s="27"/>
    </x:row>
    <x:row r="1520">
      <x:c r="A1520" s="26"/>
      <x:c r="B1520" s="27"/>
      <x:c r="C1520" s="27"/>
      <x:c r="D1520" s="27"/>
      <x:c r="E1520" s="27"/>
      <x:c r="F1520" s="27"/>
      <x:c r="G1520" s="27"/>
      <x:c r="H1520" s="27"/>
      <x:c r="I1520" s="27"/>
      <x:c r="J1520" s="27"/>
    </x:row>
    <x:row r="1521">
      <x:c r="A1521" s="26"/>
      <x:c r="B1521" s="27"/>
      <x:c r="C1521" s="27"/>
      <x:c r="D1521" s="27"/>
      <x:c r="E1521" s="27"/>
      <x:c r="F1521" s="27"/>
      <x:c r="G1521" s="27"/>
      <x:c r="H1521" s="27"/>
      <x:c r="I1521" s="27"/>
      <x:c r="J1521" s="27"/>
    </x:row>
    <x:row r="1522">
      <x:c r="A1522" s="26"/>
      <x:c r="B1522" s="27"/>
      <x:c r="C1522" s="27"/>
      <x:c r="D1522" s="27"/>
      <x:c r="E1522" s="27"/>
      <x:c r="F1522" s="27"/>
      <x:c r="G1522" s="27"/>
      <x:c r="H1522" s="27"/>
      <x:c r="I1522" s="27"/>
      <x:c r="J1522" s="27"/>
    </x:row>
    <x:row r="1523">
      <x:c r="A1523" s="26"/>
      <x:c r="B1523" s="27"/>
      <x:c r="C1523" s="27"/>
      <x:c r="D1523" s="27"/>
      <x:c r="E1523" s="27"/>
      <x:c r="F1523" s="27"/>
      <x:c r="G1523" s="27"/>
      <x:c r="H1523" s="27"/>
      <x:c r="I1523" s="27"/>
      <x:c r="J1523" s="27"/>
    </x:row>
    <x:row r="1524">
      <x:c r="A1524" s="26"/>
      <x:c r="B1524" s="27"/>
      <x:c r="C1524" s="27"/>
      <x:c r="D1524" s="27"/>
      <x:c r="E1524" s="27"/>
      <x:c r="F1524" s="27"/>
      <x:c r="G1524" s="27"/>
      <x:c r="H1524" s="27"/>
      <x:c r="I1524" s="27"/>
      <x:c r="J1524" s="27"/>
    </x:row>
    <x:row r="1525">
      <x:c r="A1525" s="26"/>
      <x:c r="B1525" s="27"/>
      <x:c r="C1525" s="27"/>
      <x:c r="D1525" s="27"/>
      <x:c r="E1525" s="27"/>
      <x:c r="F1525" s="27"/>
      <x:c r="G1525" s="27"/>
      <x:c r="H1525" s="27"/>
      <x:c r="I1525" s="27"/>
      <x:c r="J1525" s="27"/>
    </x:row>
    <x:row r="1526">
      <x:c r="A1526" s="26"/>
      <x:c r="B1526" s="27"/>
      <x:c r="C1526" s="27"/>
      <x:c r="D1526" s="27"/>
      <x:c r="E1526" s="27"/>
      <x:c r="F1526" s="27"/>
      <x:c r="G1526" s="27"/>
      <x:c r="H1526" s="27"/>
      <x:c r="I1526" s="27"/>
      <x:c r="J1526" s="27"/>
    </x:row>
    <x:row r="1527">
      <x:c r="A1527" s="26"/>
      <x:c r="B1527" s="27"/>
      <x:c r="C1527" s="27"/>
      <x:c r="D1527" s="27"/>
      <x:c r="E1527" s="27"/>
      <x:c r="F1527" s="27"/>
      <x:c r="G1527" s="27"/>
      <x:c r="H1527" s="27"/>
      <x:c r="I1527" s="27"/>
      <x:c r="J1527" s="27"/>
    </x:row>
    <x:row r="1528">
      <x:c r="A1528" s="26"/>
      <x:c r="B1528" s="27"/>
      <x:c r="C1528" s="27"/>
      <x:c r="D1528" s="27"/>
      <x:c r="E1528" s="27"/>
      <x:c r="F1528" s="27"/>
      <x:c r="G1528" s="27"/>
      <x:c r="H1528" s="27"/>
      <x:c r="I1528" s="27"/>
      <x:c r="J1528" s="27"/>
    </x:row>
    <x:row r="1529">
      <x:c r="A1529" s="26"/>
      <x:c r="B1529" s="27"/>
      <x:c r="C1529" s="27"/>
      <x:c r="D1529" s="27"/>
      <x:c r="E1529" s="27"/>
      <x:c r="F1529" s="27"/>
      <x:c r="G1529" s="27"/>
      <x:c r="H1529" s="27"/>
      <x:c r="I1529" s="27"/>
      <x:c r="J1529" s="27"/>
    </x:row>
    <x:row r="1530">
      <x:c r="A1530" s="26"/>
      <x:c r="B1530" s="27"/>
      <x:c r="C1530" s="27"/>
      <x:c r="D1530" s="27"/>
      <x:c r="E1530" s="27"/>
      <x:c r="F1530" s="27"/>
      <x:c r="G1530" s="27"/>
      <x:c r="H1530" s="27"/>
      <x:c r="I1530" s="27"/>
      <x:c r="J1530" s="27"/>
    </x:row>
    <x:row r="1531">
      <x:c r="A1531" s="26"/>
      <x:c r="B1531" s="27"/>
      <x:c r="C1531" s="27"/>
      <x:c r="D1531" s="27"/>
      <x:c r="E1531" s="27"/>
      <x:c r="F1531" s="27"/>
      <x:c r="G1531" s="27"/>
      <x:c r="H1531" s="27"/>
      <x:c r="I1531" s="27"/>
      <x:c r="J1531" s="27"/>
    </x:row>
    <x:row r="1532">
      <x:c r="A1532" s="26"/>
      <x:c r="B1532" s="27"/>
      <x:c r="C1532" s="27"/>
      <x:c r="D1532" s="27"/>
      <x:c r="E1532" s="27"/>
      <x:c r="F1532" s="27"/>
      <x:c r="G1532" s="27"/>
      <x:c r="H1532" s="27"/>
      <x:c r="I1532" s="27"/>
      <x:c r="J1532" s="27"/>
    </x:row>
    <x:row r="1533">
      <x:c r="A1533" s="26"/>
      <x:c r="B1533" s="27"/>
      <x:c r="C1533" s="27"/>
      <x:c r="D1533" s="27"/>
      <x:c r="E1533" s="27"/>
      <x:c r="F1533" s="27"/>
      <x:c r="G1533" s="27"/>
      <x:c r="H1533" s="27"/>
      <x:c r="I1533" s="27"/>
      <x:c r="J1533" s="27"/>
    </x:row>
    <x:row r="1534">
      <x:c r="A1534" s="26"/>
      <x:c r="B1534" s="27"/>
      <x:c r="C1534" s="27"/>
      <x:c r="D1534" s="27"/>
      <x:c r="E1534" s="27"/>
      <x:c r="F1534" s="27"/>
      <x:c r="G1534" s="27"/>
      <x:c r="H1534" s="27"/>
      <x:c r="I1534" s="27"/>
      <x:c r="J1534" s="27"/>
    </x:row>
    <x:row r="1535">
      <x:c r="A1535" s="26"/>
      <x:c r="B1535" s="27"/>
      <x:c r="C1535" s="27"/>
      <x:c r="D1535" s="27"/>
      <x:c r="E1535" s="27"/>
      <x:c r="F1535" s="27"/>
      <x:c r="G1535" s="27"/>
      <x:c r="H1535" s="27"/>
      <x:c r="I1535" s="27"/>
      <x:c r="J1535" s="27"/>
    </x:row>
    <x:row r="1536">
      <x:c r="A1536" s="26"/>
      <x:c r="B1536" s="27"/>
      <x:c r="C1536" s="27"/>
      <x:c r="D1536" s="27"/>
      <x:c r="E1536" s="27"/>
      <x:c r="F1536" s="27"/>
      <x:c r="G1536" s="27"/>
      <x:c r="H1536" s="27"/>
      <x:c r="I1536" s="27"/>
      <x:c r="J1536" s="27"/>
    </x:row>
    <x:row r="1537">
      <x:c r="A1537" s="26"/>
      <x:c r="B1537" s="27"/>
      <x:c r="C1537" s="27"/>
      <x:c r="D1537" s="27"/>
      <x:c r="E1537" s="27"/>
      <x:c r="F1537" s="27"/>
      <x:c r="G1537" s="27"/>
      <x:c r="H1537" s="27"/>
      <x:c r="I1537" s="27"/>
      <x:c r="J1537" s="27"/>
    </x:row>
    <x:row r="1538">
      <x:c r="A1538" s="26"/>
      <x:c r="B1538" s="27"/>
      <x:c r="C1538" s="27"/>
      <x:c r="D1538" s="27"/>
      <x:c r="E1538" s="27"/>
      <x:c r="F1538" s="27"/>
      <x:c r="G1538" s="27"/>
      <x:c r="H1538" s="27"/>
      <x:c r="I1538" s="27"/>
      <x:c r="J1538" s="27"/>
    </x:row>
    <x:row r="1539">
      <x:c r="A1539" s="26"/>
      <x:c r="B1539" s="27"/>
      <x:c r="C1539" s="27"/>
      <x:c r="D1539" s="27"/>
      <x:c r="E1539" s="27"/>
      <x:c r="F1539" s="27"/>
      <x:c r="G1539" s="27"/>
      <x:c r="H1539" s="27"/>
      <x:c r="I1539" s="27"/>
      <x:c r="J1539" s="27"/>
    </x:row>
    <x:row r="1540">
      <x:c r="A1540" s="26"/>
      <x:c r="B1540" s="27"/>
      <x:c r="C1540" s="27"/>
      <x:c r="D1540" s="27"/>
      <x:c r="E1540" s="27"/>
      <x:c r="F1540" s="27"/>
      <x:c r="G1540" s="27"/>
      <x:c r="H1540" s="27"/>
      <x:c r="I1540" s="27"/>
      <x:c r="J1540" s="27"/>
    </x:row>
    <x:row r="1541">
      <x:c r="A1541" s="26"/>
      <x:c r="B1541" s="27"/>
      <x:c r="C1541" s="27"/>
      <x:c r="D1541" s="27"/>
      <x:c r="E1541" s="27"/>
      <x:c r="F1541" s="27"/>
      <x:c r="G1541" s="27"/>
      <x:c r="H1541" s="27"/>
      <x:c r="I1541" s="27"/>
      <x:c r="J1541" s="27"/>
    </x:row>
    <x:row r="1542">
      <x:c r="A1542" s="26"/>
      <x:c r="B1542" s="27"/>
      <x:c r="C1542" s="27"/>
      <x:c r="D1542" s="27"/>
      <x:c r="E1542" s="27"/>
      <x:c r="F1542" s="27"/>
      <x:c r="G1542" s="27"/>
      <x:c r="H1542" s="27"/>
      <x:c r="I1542" s="27"/>
      <x:c r="J1542" s="27"/>
    </x:row>
    <x:row r="1543">
      <x:c r="A1543" s="26"/>
      <x:c r="B1543" s="27"/>
      <x:c r="C1543" s="27"/>
      <x:c r="D1543" s="27"/>
      <x:c r="E1543" s="27"/>
      <x:c r="F1543" s="27"/>
      <x:c r="G1543" s="27"/>
      <x:c r="H1543" s="27"/>
      <x:c r="I1543" s="27"/>
      <x:c r="J1543" s="27"/>
    </x:row>
    <x:row r="1544">
      <x:c r="A1544" s="26"/>
      <x:c r="B1544" s="27"/>
      <x:c r="C1544" s="27"/>
      <x:c r="D1544" s="27"/>
      <x:c r="E1544" s="27"/>
      <x:c r="F1544" s="27"/>
      <x:c r="G1544" s="27"/>
      <x:c r="H1544" s="27"/>
      <x:c r="I1544" s="27"/>
      <x:c r="J1544" s="27"/>
    </x:row>
    <x:row r="1545">
      <x:c r="A1545" s="26"/>
      <x:c r="B1545" s="27"/>
      <x:c r="C1545" s="27"/>
      <x:c r="D1545" s="27"/>
      <x:c r="E1545" s="27"/>
      <x:c r="F1545" s="27"/>
      <x:c r="G1545" s="27"/>
      <x:c r="H1545" s="27"/>
      <x:c r="I1545" s="27"/>
      <x:c r="J1545" s="27"/>
    </x:row>
    <x:row r="1546">
      <x:c r="A1546" s="26"/>
      <x:c r="B1546" s="27"/>
      <x:c r="C1546" s="27"/>
      <x:c r="D1546" s="27"/>
      <x:c r="E1546" s="27"/>
      <x:c r="F1546" s="27"/>
      <x:c r="G1546" s="27"/>
      <x:c r="H1546" s="27"/>
      <x:c r="I1546" s="27"/>
      <x:c r="J1546" s="27"/>
    </x:row>
    <x:row r="1547">
      <x:c r="A1547" s="26"/>
      <x:c r="B1547" s="27"/>
      <x:c r="C1547" s="27"/>
      <x:c r="D1547" s="27"/>
      <x:c r="E1547" s="27"/>
      <x:c r="F1547" s="27"/>
      <x:c r="G1547" s="27"/>
      <x:c r="H1547" s="27"/>
      <x:c r="I1547" s="27"/>
      <x:c r="J1547" s="27"/>
    </x:row>
    <x:row r="1548">
      <x:c r="A1548" s="26"/>
      <x:c r="B1548" s="27"/>
      <x:c r="C1548" s="27"/>
      <x:c r="D1548" s="27"/>
      <x:c r="E1548" s="27"/>
      <x:c r="F1548" s="27"/>
      <x:c r="G1548" s="27"/>
      <x:c r="H1548" s="27"/>
      <x:c r="I1548" s="27"/>
      <x:c r="J1548" s="27"/>
    </x:row>
    <x:row r="1549">
      <x:c r="A1549" s="26"/>
      <x:c r="B1549" s="27"/>
      <x:c r="C1549" s="27"/>
      <x:c r="D1549" s="27"/>
      <x:c r="E1549" s="27"/>
      <x:c r="F1549" s="27"/>
      <x:c r="G1549" s="27"/>
      <x:c r="H1549" s="27"/>
      <x:c r="I1549" s="27"/>
      <x:c r="J1549" s="27"/>
    </x:row>
    <x:row r="1550">
      <x:c r="A1550" s="26"/>
      <x:c r="B1550" s="27"/>
      <x:c r="C1550" s="27"/>
      <x:c r="D1550" s="27"/>
      <x:c r="E1550" s="27"/>
      <x:c r="F1550" s="27"/>
      <x:c r="G1550" s="27"/>
      <x:c r="H1550" s="27"/>
      <x:c r="I1550" s="27"/>
      <x:c r="J1550" s="27"/>
    </x:row>
    <x:row r="1551">
      <x:c r="A1551" s="26"/>
      <x:c r="B1551" s="27"/>
      <x:c r="C1551" s="27"/>
      <x:c r="D1551" s="27"/>
      <x:c r="E1551" s="27"/>
      <x:c r="F1551" s="27"/>
      <x:c r="G1551" s="27"/>
      <x:c r="H1551" s="27"/>
      <x:c r="I1551" s="27"/>
      <x:c r="J1551" s="27"/>
    </x:row>
    <x:row r="1552">
      <x:c r="A1552" s="26"/>
      <x:c r="B1552" s="27"/>
      <x:c r="C1552" s="27"/>
      <x:c r="D1552" s="27"/>
      <x:c r="E1552" s="27"/>
      <x:c r="F1552" s="27"/>
      <x:c r="G1552" s="27"/>
      <x:c r="H1552" s="27"/>
      <x:c r="I1552" s="27"/>
      <x:c r="J1552" s="27"/>
    </x:row>
    <x:row r="1553">
      <x:c r="A1553" s="26"/>
      <x:c r="B1553" s="27"/>
      <x:c r="C1553" s="27"/>
      <x:c r="D1553" s="27"/>
      <x:c r="E1553" s="27"/>
      <x:c r="F1553" s="27"/>
      <x:c r="G1553" s="27"/>
      <x:c r="H1553" s="27"/>
      <x:c r="I1553" s="27"/>
      <x:c r="J1553" s="27"/>
    </x:row>
    <x:row r="1554">
      <x:c r="A1554" s="26"/>
      <x:c r="B1554" s="27"/>
      <x:c r="C1554" s="27"/>
      <x:c r="D1554" s="27"/>
      <x:c r="E1554" s="27"/>
      <x:c r="F1554" s="27"/>
      <x:c r="G1554" s="27"/>
      <x:c r="H1554" s="27"/>
      <x:c r="I1554" s="27"/>
      <x:c r="J1554" s="27"/>
    </x:row>
    <x:row r="1555">
      <x:c r="A1555" s="26"/>
      <x:c r="B1555" s="27"/>
      <x:c r="C1555" s="27"/>
      <x:c r="D1555" s="27"/>
      <x:c r="E1555" s="27"/>
      <x:c r="F1555" s="27"/>
      <x:c r="G1555" s="27"/>
      <x:c r="H1555" s="27"/>
      <x:c r="I1555" s="27"/>
      <x:c r="J1555" s="27"/>
    </x:row>
    <x:row r="1556">
      <x:c r="A1556" s="26"/>
      <x:c r="B1556" s="27"/>
      <x:c r="C1556" s="27"/>
      <x:c r="D1556" s="27"/>
      <x:c r="E1556" s="27"/>
      <x:c r="F1556" s="27"/>
      <x:c r="G1556" s="27"/>
      <x:c r="H1556" s="27"/>
      <x:c r="I1556" s="27"/>
      <x:c r="J1556" s="27"/>
    </x:row>
    <x:row r="1557">
      <x:c r="A1557" s="26"/>
      <x:c r="B1557" s="27"/>
      <x:c r="C1557" s="27"/>
      <x:c r="D1557" s="27"/>
      <x:c r="E1557" s="27"/>
      <x:c r="F1557" s="27"/>
      <x:c r="G1557" s="27"/>
      <x:c r="H1557" s="27"/>
      <x:c r="I1557" s="27"/>
      <x:c r="J1557" s="27"/>
    </x:row>
    <x:row r="1558">
      <x:c r="A1558" s="26"/>
      <x:c r="B1558" s="27"/>
      <x:c r="C1558" s="27"/>
      <x:c r="D1558" s="27"/>
      <x:c r="E1558" s="27"/>
      <x:c r="F1558" s="27"/>
      <x:c r="G1558" s="27"/>
      <x:c r="H1558" s="27"/>
      <x:c r="I1558" s="27"/>
      <x:c r="J1558" s="27"/>
    </x:row>
    <x:row r="1559">
      <x:c r="A1559" s="26"/>
      <x:c r="B1559" s="27"/>
      <x:c r="C1559" s="27"/>
      <x:c r="D1559" s="27"/>
      <x:c r="E1559" s="27"/>
      <x:c r="F1559" s="27"/>
      <x:c r="G1559" s="27"/>
      <x:c r="H1559" s="27"/>
      <x:c r="I1559" s="27"/>
      <x:c r="J1559" s="27"/>
    </x:row>
    <x:row r="1560">
      <x:c r="A1560" s="26"/>
      <x:c r="B1560" s="27"/>
      <x:c r="C1560" s="27"/>
      <x:c r="D1560" s="27"/>
      <x:c r="E1560" s="27"/>
      <x:c r="F1560" s="27"/>
      <x:c r="G1560" s="27"/>
      <x:c r="H1560" s="27"/>
      <x:c r="I1560" s="27"/>
      <x:c r="J1560" s="27"/>
    </x:row>
    <x:row r="1561">
      <x:c r="A1561" s="26"/>
      <x:c r="B1561" s="27"/>
      <x:c r="C1561" s="27"/>
      <x:c r="D1561" s="27"/>
      <x:c r="E1561" s="27"/>
      <x:c r="F1561" s="27"/>
      <x:c r="G1561" s="27"/>
      <x:c r="H1561" s="27"/>
      <x:c r="I1561" s="27"/>
      <x:c r="J1561" s="27"/>
    </x:row>
    <x:row r="1562">
      <x:c r="A1562" s="26"/>
      <x:c r="B1562" s="27"/>
      <x:c r="C1562" s="27"/>
      <x:c r="D1562" s="27"/>
      <x:c r="E1562" s="27"/>
      <x:c r="F1562" s="27"/>
      <x:c r="G1562" s="27"/>
      <x:c r="H1562" s="27"/>
      <x:c r="I1562" s="27"/>
      <x:c r="J1562" s="27"/>
    </x:row>
    <x:row r="1563">
      <x:c r="A1563" s="26"/>
      <x:c r="B1563" s="27"/>
      <x:c r="C1563" s="27"/>
      <x:c r="D1563" s="27"/>
      <x:c r="E1563" s="27"/>
      <x:c r="F1563" s="27"/>
      <x:c r="G1563" s="27"/>
      <x:c r="H1563" s="27"/>
      <x:c r="I1563" s="27"/>
      <x:c r="J1563" s="27"/>
    </x:row>
    <x:row r="1564">
      <x:c r="A1564" s="26"/>
      <x:c r="B1564" s="27"/>
      <x:c r="C1564" s="27"/>
      <x:c r="D1564" s="27"/>
      <x:c r="E1564" s="27"/>
      <x:c r="F1564" s="27"/>
      <x:c r="G1564" s="27"/>
      <x:c r="H1564" s="27"/>
      <x:c r="I1564" s="27"/>
      <x:c r="J1564" s="27"/>
    </x:row>
    <x:row r="1565">
      <x:c r="A1565" s="26"/>
      <x:c r="B1565" s="27"/>
      <x:c r="C1565" s="27"/>
      <x:c r="D1565" s="27"/>
      <x:c r="E1565" s="27"/>
      <x:c r="F1565" s="27"/>
      <x:c r="G1565" s="27"/>
      <x:c r="H1565" s="27"/>
      <x:c r="I1565" s="27"/>
      <x:c r="J1565" s="27"/>
    </x:row>
    <x:row r="1566">
      <x:c r="A1566" s="26"/>
      <x:c r="B1566" s="27"/>
      <x:c r="C1566" s="27"/>
      <x:c r="D1566" s="27"/>
      <x:c r="E1566" s="27"/>
      <x:c r="F1566" s="27"/>
      <x:c r="G1566" s="27"/>
      <x:c r="H1566" s="27"/>
      <x:c r="I1566" s="27"/>
      <x:c r="J1566" s="27"/>
    </x:row>
    <x:row r="1567">
      <x:c r="A1567" s="26"/>
      <x:c r="B1567" s="27"/>
      <x:c r="C1567" s="27"/>
      <x:c r="D1567" s="27"/>
      <x:c r="E1567" s="27"/>
      <x:c r="F1567" s="27"/>
      <x:c r="G1567" s="27"/>
      <x:c r="H1567" s="27"/>
      <x:c r="I1567" s="27"/>
      <x:c r="J1567" s="27"/>
    </x:row>
    <x:row r="1568">
      <x:c r="A1568" s="26"/>
      <x:c r="B1568" s="27"/>
      <x:c r="C1568" s="27"/>
      <x:c r="D1568" s="27"/>
      <x:c r="E1568" s="27"/>
      <x:c r="F1568" s="27"/>
      <x:c r="G1568" s="27"/>
      <x:c r="H1568" s="27"/>
      <x:c r="I1568" s="27"/>
      <x:c r="J1568" s="27"/>
    </x:row>
    <x:row r="1569">
      <x:c r="A1569" s="26"/>
      <x:c r="B1569" s="27"/>
      <x:c r="C1569" s="27"/>
      <x:c r="D1569" s="27"/>
      <x:c r="E1569" s="27"/>
      <x:c r="F1569" s="27"/>
      <x:c r="G1569" s="27"/>
      <x:c r="H1569" s="27"/>
      <x:c r="I1569" s="27"/>
      <x:c r="J1569" s="27"/>
    </x:row>
    <x:row r="1570">
      <x:c r="A1570" s="26"/>
      <x:c r="B1570" s="27"/>
      <x:c r="C1570" s="27"/>
      <x:c r="D1570" s="27"/>
      <x:c r="E1570" s="27"/>
      <x:c r="F1570" s="27"/>
      <x:c r="G1570" s="27"/>
      <x:c r="H1570" s="27"/>
      <x:c r="I1570" s="27"/>
      <x:c r="J1570" s="27"/>
    </x:row>
    <x:row r="1571">
      <x:c r="A1571" s="26"/>
      <x:c r="B1571" s="27"/>
      <x:c r="C1571" s="27"/>
      <x:c r="D1571" s="27"/>
      <x:c r="E1571" s="27"/>
      <x:c r="F1571" s="27"/>
      <x:c r="G1571" s="27"/>
      <x:c r="H1571" s="27"/>
      <x:c r="I1571" s="27"/>
      <x:c r="J1571" s="27"/>
    </x:row>
    <x:row r="1572">
      <x:c r="A1572" s="26"/>
      <x:c r="B1572" s="27"/>
      <x:c r="C1572" s="27"/>
      <x:c r="D1572" s="27"/>
      <x:c r="E1572" s="27"/>
      <x:c r="F1572" s="27"/>
      <x:c r="G1572" s="27"/>
      <x:c r="H1572" s="27"/>
      <x:c r="I1572" s="27"/>
      <x:c r="J1572" s="27"/>
    </x:row>
    <x:row r="1573">
      <x:c r="A1573" s="26"/>
      <x:c r="B1573" s="27"/>
      <x:c r="C1573" s="27"/>
      <x:c r="D1573" s="27"/>
      <x:c r="E1573" s="27"/>
      <x:c r="F1573" s="27"/>
      <x:c r="G1573" s="27"/>
      <x:c r="H1573" s="27"/>
      <x:c r="I1573" s="27"/>
      <x:c r="J1573" s="27"/>
    </x:row>
    <x:row r="1574">
      <x:c r="A1574" s="26"/>
      <x:c r="B1574" s="27"/>
      <x:c r="C1574" s="27"/>
      <x:c r="D1574" s="27"/>
      <x:c r="E1574" s="27"/>
      <x:c r="F1574" s="27"/>
      <x:c r="G1574" s="27"/>
      <x:c r="H1574" s="27"/>
      <x:c r="I1574" s="27"/>
      <x:c r="J1574" s="27"/>
    </x:row>
    <x:row r="1575">
      <x:c r="A1575" s="26"/>
      <x:c r="B1575" s="27"/>
      <x:c r="C1575" s="27"/>
      <x:c r="D1575" s="27"/>
      <x:c r="E1575" s="27"/>
      <x:c r="F1575" s="27"/>
      <x:c r="G1575" s="27"/>
      <x:c r="H1575" s="27"/>
      <x:c r="I1575" s="27"/>
      <x:c r="J1575" s="27"/>
    </x:row>
    <x:row r="1576">
      <x:c r="A1576" s="26"/>
      <x:c r="B1576" s="27"/>
      <x:c r="C1576" s="27"/>
      <x:c r="D1576" s="27"/>
      <x:c r="E1576" s="27"/>
      <x:c r="F1576" s="27"/>
      <x:c r="G1576" s="27"/>
      <x:c r="H1576" s="27"/>
      <x:c r="I1576" s="27"/>
      <x:c r="J1576" s="27"/>
    </x:row>
    <x:row r="1577">
      <x:c r="A1577" s="26"/>
      <x:c r="B1577" s="27"/>
      <x:c r="C1577" s="27"/>
      <x:c r="D1577" s="27"/>
      <x:c r="E1577" s="27"/>
      <x:c r="F1577" s="27"/>
      <x:c r="G1577" s="27"/>
      <x:c r="H1577" s="27"/>
      <x:c r="I1577" s="27"/>
      <x:c r="J1577" s="27"/>
    </x:row>
    <x:row r="1578">
      <x:c r="A1578" s="26"/>
      <x:c r="B1578" s="27"/>
      <x:c r="C1578" s="27"/>
      <x:c r="D1578" s="27"/>
      <x:c r="E1578" s="27"/>
      <x:c r="F1578" s="27"/>
      <x:c r="G1578" s="27"/>
      <x:c r="H1578" s="27"/>
      <x:c r="I1578" s="27"/>
      <x:c r="J1578" s="27"/>
    </x:row>
    <x:row r="1579">
      <x:c r="A1579" s="26"/>
      <x:c r="B1579" s="27"/>
      <x:c r="C1579" s="27"/>
      <x:c r="D1579" s="27"/>
      <x:c r="E1579" s="27"/>
      <x:c r="F1579" s="27"/>
      <x:c r="G1579" s="27"/>
      <x:c r="H1579" s="27"/>
      <x:c r="I1579" s="27"/>
      <x:c r="J1579" s="27"/>
    </x:row>
    <x:row r="1580">
      <x:c r="A1580" s="26"/>
      <x:c r="B1580" s="27"/>
      <x:c r="C1580" s="27"/>
      <x:c r="D1580" s="27"/>
      <x:c r="E1580" s="27"/>
      <x:c r="F1580" s="27"/>
      <x:c r="G1580" s="27"/>
      <x:c r="H1580" s="27"/>
      <x:c r="I1580" s="27"/>
      <x:c r="J1580" s="27"/>
    </x:row>
    <x:row r="1581">
      <x:c r="A1581" s="26"/>
      <x:c r="B1581" s="27"/>
      <x:c r="C1581" s="27"/>
      <x:c r="D1581" s="27"/>
      <x:c r="E1581" s="27"/>
      <x:c r="F1581" s="27"/>
      <x:c r="G1581" s="27"/>
      <x:c r="H1581" s="27"/>
      <x:c r="I1581" s="27"/>
      <x:c r="J1581" s="27"/>
    </x:row>
    <x:row r="1582">
      <x:c r="A1582" s="26"/>
      <x:c r="B1582" s="27"/>
      <x:c r="C1582" s="27"/>
      <x:c r="D1582" s="27"/>
      <x:c r="E1582" s="27"/>
      <x:c r="F1582" s="27"/>
      <x:c r="G1582" s="27"/>
      <x:c r="H1582" s="27"/>
      <x:c r="I1582" s="27"/>
      <x:c r="J1582" s="27"/>
    </x:row>
    <x:row r="1583">
      <x:c r="A1583" s="26"/>
      <x:c r="B1583" s="27"/>
      <x:c r="C1583" s="27"/>
      <x:c r="D1583" s="27"/>
      <x:c r="E1583" s="27"/>
      <x:c r="F1583" s="27"/>
      <x:c r="G1583" s="27"/>
      <x:c r="H1583" s="27"/>
      <x:c r="I1583" s="27"/>
      <x:c r="J1583" s="27"/>
    </x:row>
    <x:row r="1584">
      <x:c r="A1584" s="26"/>
      <x:c r="B1584" s="27"/>
      <x:c r="C1584" s="27"/>
      <x:c r="D1584" s="27"/>
      <x:c r="E1584" s="27"/>
      <x:c r="F1584" s="27"/>
      <x:c r="G1584" s="27"/>
      <x:c r="H1584" s="27"/>
      <x:c r="I1584" s="27"/>
      <x:c r="J1584" s="27"/>
    </x:row>
    <x:row r="1585">
      <x:c r="A1585" s="26"/>
      <x:c r="B1585" s="27"/>
      <x:c r="C1585" s="27"/>
      <x:c r="D1585" s="27"/>
      <x:c r="E1585" s="27"/>
      <x:c r="F1585" s="27"/>
      <x:c r="G1585" s="27"/>
      <x:c r="H1585" s="27"/>
      <x:c r="I1585" s="27"/>
      <x:c r="J1585" s="27"/>
    </x:row>
    <x:row r="1586">
      <x:c r="A1586" s="26"/>
      <x:c r="B1586" s="27"/>
      <x:c r="C1586" s="27"/>
      <x:c r="D1586" s="27"/>
      <x:c r="E1586" s="27"/>
      <x:c r="F1586" s="27"/>
      <x:c r="G1586" s="27"/>
      <x:c r="H1586" s="27"/>
      <x:c r="I1586" s="27"/>
      <x:c r="J1586" s="27"/>
    </x:row>
    <x:row r="1587">
      <x:c r="A1587" s="26"/>
      <x:c r="B1587" s="27"/>
      <x:c r="C1587" s="27"/>
      <x:c r="D1587" s="27"/>
      <x:c r="E1587" s="27"/>
      <x:c r="F1587" s="27"/>
      <x:c r="G1587" s="27"/>
      <x:c r="H1587" s="27"/>
      <x:c r="I1587" s="27"/>
      <x:c r="J1587" s="27"/>
    </x:row>
    <x:row r="1588">
      <x:c r="A1588" s="26"/>
      <x:c r="B1588" s="27"/>
      <x:c r="C1588" s="27"/>
      <x:c r="D1588" s="27"/>
      <x:c r="E1588" s="27"/>
      <x:c r="F1588" s="27"/>
      <x:c r="G1588" s="27"/>
      <x:c r="H1588" s="27"/>
      <x:c r="I1588" s="27"/>
      <x:c r="J1588" s="27"/>
    </x:row>
    <x:row r="1589">
      <x:c r="A1589" s="26"/>
      <x:c r="B1589" s="27"/>
      <x:c r="C1589" s="27"/>
      <x:c r="D1589" s="27"/>
      <x:c r="E1589" s="27"/>
      <x:c r="F1589" s="27"/>
      <x:c r="G1589" s="27"/>
      <x:c r="H1589" s="27"/>
      <x:c r="I1589" s="27"/>
      <x:c r="J1589" s="27"/>
    </x:row>
    <x:row r="1590">
      <x:c r="A1590" s="26"/>
      <x:c r="B1590" s="27"/>
      <x:c r="C1590" s="27"/>
      <x:c r="D1590" s="27"/>
      <x:c r="E1590" s="27"/>
      <x:c r="F1590" s="27"/>
      <x:c r="G1590" s="27"/>
      <x:c r="H1590" s="27"/>
      <x:c r="I1590" s="27"/>
      <x:c r="J1590" s="27"/>
    </x:row>
    <x:row r="1591">
      <x:c r="A1591" s="26"/>
      <x:c r="B1591" s="27"/>
      <x:c r="C1591" s="27"/>
      <x:c r="D1591" s="27"/>
      <x:c r="E1591" s="27"/>
      <x:c r="F1591" s="27"/>
      <x:c r="G1591" s="27"/>
      <x:c r="H1591" s="27"/>
      <x:c r="I1591" s="27"/>
      <x:c r="J1591" s="27"/>
    </x:row>
    <x:row r="1592">
      <x:c r="A1592" s="26"/>
      <x:c r="B1592" s="27"/>
      <x:c r="C1592" s="27"/>
      <x:c r="D1592" s="27"/>
      <x:c r="E1592" s="27"/>
      <x:c r="F1592" s="27"/>
      <x:c r="G1592" s="27"/>
      <x:c r="H1592" s="27"/>
      <x:c r="I1592" s="27"/>
      <x:c r="J1592" s="27"/>
    </x:row>
    <x:row r="1593">
      <x:c r="A1593" s="26"/>
      <x:c r="B1593" s="27"/>
      <x:c r="C1593" s="27"/>
      <x:c r="D1593" s="27"/>
      <x:c r="E1593" s="27"/>
      <x:c r="F1593" s="27"/>
      <x:c r="G1593" s="27"/>
      <x:c r="H1593" s="27"/>
      <x:c r="I1593" s="27"/>
      <x:c r="J1593" s="27"/>
    </x:row>
    <x:row r="1594">
      <x:c r="A1594" s="26"/>
      <x:c r="B1594" s="27"/>
      <x:c r="C1594" s="27"/>
      <x:c r="D1594" s="27"/>
      <x:c r="E1594" s="27"/>
      <x:c r="F1594" s="27"/>
      <x:c r="G1594" s="27"/>
      <x:c r="H1594" s="27"/>
      <x:c r="I1594" s="27"/>
      <x:c r="J1594" s="27"/>
    </x:row>
    <x:row r="1595">
      <x:c r="A1595" s="26"/>
      <x:c r="B1595" s="27"/>
      <x:c r="C1595" s="27"/>
      <x:c r="D1595" s="27"/>
      <x:c r="E1595" s="27"/>
      <x:c r="F1595" s="27"/>
      <x:c r="G1595" s="27"/>
      <x:c r="H1595" s="27"/>
      <x:c r="I1595" s="27"/>
      <x:c r="J1595" s="27"/>
    </x:row>
    <x:row r="1596">
      <x:c r="A1596" s="26"/>
      <x:c r="B1596" s="27"/>
      <x:c r="C1596" s="27"/>
      <x:c r="D1596" s="27"/>
      <x:c r="E1596" s="27"/>
      <x:c r="F1596" s="27"/>
      <x:c r="G1596" s="27"/>
      <x:c r="H1596" s="27"/>
      <x:c r="I1596" s="27"/>
      <x:c r="J1596" s="27"/>
    </x:row>
    <x:row r="1597">
      <x:c r="A1597" s="26"/>
      <x:c r="B1597" s="27"/>
      <x:c r="C1597" s="27"/>
      <x:c r="D1597" s="27"/>
      <x:c r="E1597" s="27"/>
      <x:c r="F1597" s="27"/>
      <x:c r="G1597" s="27"/>
      <x:c r="H1597" s="27"/>
      <x:c r="I1597" s="27"/>
      <x:c r="J1597" s="27"/>
    </x:row>
    <x:row r="1598">
      <x:c r="A1598" s="26"/>
      <x:c r="B1598" s="27"/>
      <x:c r="C1598" s="27"/>
      <x:c r="D1598" s="27"/>
      <x:c r="E1598" s="27"/>
      <x:c r="F1598" s="27"/>
      <x:c r="G1598" s="27"/>
      <x:c r="H1598" s="27"/>
      <x:c r="I1598" s="27"/>
      <x:c r="J1598" s="27"/>
    </x:row>
    <x:row r="1599">
      <x:c r="A1599" s="26"/>
      <x:c r="B1599" s="27"/>
      <x:c r="C1599" s="27"/>
      <x:c r="D1599" s="27"/>
      <x:c r="E1599" s="27"/>
      <x:c r="F1599" s="27"/>
      <x:c r="G1599" s="27"/>
      <x:c r="H1599" s="27"/>
      <x:c r="I1599" s="27"/>
      <x:c r="J1599" s="27"/>
    </x:row>
    <x:row r="1600">
      <x:c r="A1600" s="26"/>
      <x:c r="B1600" s="27"/>
      <x:c r="C1600" s="27"/>
      <x:c r="D1600" s="27"/>
      <x:c r="E1600" s="27"/>
      <x:c r="F1600" s="27"/>
      <x:c r="G1600" s="27"/>
      <x:c r="H1600" s="27"/>
      <x:c r="I1600" s="27"/>
      <x:c r="J1600" s="27"/>
    </x:row>
    <x:row r="1601">
      <x:c r="A1601" s="26"/>
      <x:c r="B1601" s="27"/>
      <x:c r="C1601" s="27"/>
      <x:c r="D1601" s="27"/>
      <x:c r="E1601" s="27"/>
      <x:c r="F1601" s="27"/>
      <x:c r="G1601" s="27"/>
      <x:c r="H1601" s="27"/>
      <x:c r="I1601" s="27"/>
      <x:c r="J1601" s="27"/>
    </x:row>
    <x:row r="1602">
      <x:c r="A1602" s="26"/>
      <x:c r="B1602" s="27"/>
      <x:c r="C1602" s="27"/>
      <x:c r="D1602" s="27"/>
      <x:c r="E1602" s="27"/>
      <x:c r="F1602" s="27"/>
      <x:c r="G1602" s="27"/>
      <x:c r="H1602" s="27"/>
      <x:c r="I1602" s="27"/>
      <x:c r="J1602" s="27"/>
    </x:row>
    <x:row r="1603">
      <x:c r="A1603" s="26"/>
      <x:c r="B1603" s="27"/>
      <x:c r="C1603" s="27"/>
      <x:c r="D1603" s="27"/>
      <x:c r="E1603" s="27"/>
      <x:c r="F1603" s="27"/>
      <x:c r="G1603" s="27"/>
      <x:c r="H1603" s="27"/>
      <x:c r="I1603" s="27"/>
      <x:c r="J1603" s="27"/>
    </x:row>
    <x:row r="1604">
      <x:c r="A1604" s="26"/>
      <x:c r="B1604" s="27"/>
      <x:c r="C1604" s="27"/>
      <x:c r="D1604" s="27"/>
      <x:c r="E1604" s="27"/>
      <x:c r="F1604" s="27"/>
      <x:c r="G1604" s="27"/>
      <x:c r="H1604" s="27"/>
      <x:c r="I1604" s="27"/>
      <x:c r="J1604" s="27"/>
    </x:row>
    <x:row r="1605">
      <x:c r="A1605" s="26"/>
      <x:c r="B1605" s="27"/>
      <x:c r="C1605" s="27"/>
      <x:c r="D1605" s="27"/>
      <x:c r="E1605" s="27"/>
      <x:c r="F1605" s="27"/>
      <x:c r="G1605" s="27"/>
      <x:c r="H1605" s="27"/>
      <x:c r="I1605" s="27"/>
      <x:c r="J1605" s="27"/>
    </x:row>
    <x:row r="1606">
      <x:c r="A1606" s="26"/>
      <x:c r="B1606" s="27"/>
      <x:c r="C1606" s="27"/>
      <x:c r="D1606" s="27"/>
      <x:c r="E1606" s="27"/>
      <x:c r="F1606" s="27"/>
      <x:c r="G1606" s="27"/>
      <x:c r="H1606" s="27"/>
      <x:c r="I1606" s="27"/>
      <x:c r="J1606" s="27"/>
    </x:row>
    <x:row r="1607">
      <x:c r="A1607" s="26"/>
      <x:c r="B1607" s="27"/>
      <x:c r="C1607" s="27"/>
      <x:c r="D1607" s="27"/>
      <x:c r="E1607" s="27"/>
      <x:c r="F1607" s="27"/>
      <x:c r="G1607" s="27"/>
      <x:c r="H1607" s="27"/>
      <x:c r="I1607" s="27"/>
      <x:c r="J1607" s="27"/>
    </x:row>
    <x:row r="1608">
      <x:c r="A1608" s="26"/>
      <x:c r="B1608" s="27"/>
      <x:c r="C1608" s="27"/>
      <x:c r="D1608" s="27"/>
      <x:c r="E1608" s="27"/>
      <x:c r="F1608" s="27"/>
      <x:c r="G1608" s="27"/>
      <x:c r="H1608" s="27"/>
      <x:c r="I1608" s="27"/>
      <x:c r="J1608" s="27"/>
    </x:row>
    <x:row r="1609">
      <x:c r="A1609" s="26"/>
      <x:c r="B1609" s="27"/>
      <x:c r="C1609" s="27"/>
      <x:c r="D1609" s="27"/>
      <x:c r="E1609" s="27"/>
      <x:c r="F1609" s="27"/>
      <x:c r="G1609" s="27"/>
      <x:c r="H1609" s="27"/>
      <x:c r="I1609" s="27"/>
      <x:c r="J1609" s="27"/>
    </x:row>
    <x:row r="1610">
      <x:c r="A1610" s="26"/>
      <x:c r="B1610" s="27"/>
      <x:c r="C1610" s="27"/>
      <x:c r="D1610" s="27"/>
      <x:c r="E1610" s="27"/>
      <x:c r="F1610" s="27"/>
      <x:c r="G1610" s="27"/>
      <x:c r="H1610" s="27"/>
      <x:c r="I1610" s="27"/>
      <x:c r="J1610" s="27"/>
    </x:row>
    <x:row r="1611">
      <x:c r="A1611" s="26"/>
      <x:c r="B1611" s="27"/>
      <x:c r="C1611" s="27"/>
      <x:c r="D1611" s="27"/>
      <x:c r="E1611" s="27"/>
      <x:c r="F1611" s="27"/>
      <x:c r="G1611" s="27"/>
      <x:c r="H1611" s="27"/>
      <x:c r="I1611" s="27"/>
      <x:c r="J1611" s="27"/>
    </x:row>
    <x:row r="1612">
      <x:c r="A1612" s="26"/>
      <x:c r="B1612" s="27"/>
      <x:c r="C1612" s="27"/>
      <x:c r="D1612" s="27"/>
      <x:c r="E1612" s="27"/>
      <x:c r="F1612" s="27"/>
      <x:c r="G1612" s="27"/>
      <x:c r="H1612" s="27"/>
      <x:c r="I1612" s="27"/>
      <x:c r="J1612" s="27"/>
    </x:row>
    <x:row r="1613">
      <x:c r="A1613" s="26"/>
      <x:c r="B1613" s="27"/>
      <x:c r="C1613" s="27"/>
      <x:c r="D1613" s="27"/>
      <x:c r="E1613" s="27"/>
      <x:c r="F1613" s="27"/>
      <x:c r="G1613" s="27"/>
      <x:c r="H1613" s="27"/>
      <x:c r="I1613" s="27"/>
      <x:c r="J1613" s="27"/>
    </x:row>
    <x:row r="1614">
      <x:c r="A1614" s="26"/>
      <x:c r="B1614" s="27"/>
      <x:c r="C1614" s="27"/>
      <x:c r="D1614" s="27"/>
      <x:c r="E1614" s="27"/>
      <x:c r="F1614" s="27"/>
      <x:c r="G1614" s="27"/>
      <x:c r="H1614" s="27"/>
      <x:c r="I1614" s="27"/>
      <x:c r="J1614" s="27"/>
    </x:row>
    <x:row r="1615">
      <x:c r="A1615" s="26"/>
      <x:c r="B1615" s="27"/>
      <x:c r="C1615" s="27"/>
      <x:c r="D1615" s="27"/>
      <x:c r="E1615" s="27"/>
      <x:c r="F1615" s="27"/>
      <x:c r="G1615" s="27"/>
      <x:c r="H1615" s="27"/>
      <x:c r="I1615" s="27"/>
      <x:c r="J1615" s="27"/>
    </x:row>
    <x:row r="1616">
      <x:c r="A1616" s="26"/>
      <x:c r="B1616" s="27"/>
      <x:c r="C1616" s="27"/>
      <x:c r="D1616" s="27"/>
      <x:c r="E1616" s="27"/>
      <x:c r="F1616" s="27"/>
      <x:c r="G1616" s="27"/>
      <x:c r="H1616" s="27"/>
      <x:c r="I1616" s="27"/>
      <x:c r="J1616" s="27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customWidth="1"/>
    <x:col min="2" max="2" width="14" customWidth="1"/>
    <x:col min="3" max="4" width="15" customWidth="1"/>
    <x:col min="5" max="5" width="13" customWidth="1"/>
    <x:col min="6" max="6" width="46" customWidth="1"/>
  </x:cols>
  <x:sheetData>
    <x:row r="1" ht="19">
      <x:c r="A1" s="51" t="s">
        <x:v>55</x:v>
      </x:c>
      <x:c r="B1" s="51"/>
      <x:c r="C1" s="51"/>
      <x:c r="D1" s="51"/>
      <x:c r="E1" s="51"/>
      <x:c r="F1" s="51"/>
    </x:row>
    <x:row r="3">
      <x:c r="A3" s="14" t="s">
        <x:v>56</x:v>
      </x:c>
      <x:c r="B3" s="15" t="s">
        <x:v>39</x:v>
      </x:c>
      <x:c r="C3" s="15" t="s">
        <x:v>44</x:v>
      </x:c>
      <x:c r="D3" s="15" t="s">
        <x:v>17</x:v>
      </x:c>
      <x:c r="E3" s="15" t="s">
        <x:v>57</x:v>
      </x:c>
      <x:c r="F3" s="16" t="s">
        <x:v>58</x:v>
      </x:c>
    </x:row>
    <x:row r="4">
      <x:c r="A4" s="17" t="e">
        <x:f>IF(INDEX(대장!$A$1:$A$501,ROW()-2)="","",ROW()-2)</x:f>
        <x:v>#NAME?</x:v>
      </x:c>
      <x:c r="B4" s="18" t="e">
        <x:f>IF($A4="","",INDEX(대장!$A$1:$A$501,$A4))</x:f>
        <x:v>#NAME?</x:v>
      </x:c>
      <x:c r="C4" s="45" t="e">
        <x:f>IFERROR(IF($A4="","",INDEX(대장!$F$1:$F$501,$A4)),"")</x:f>
        <x:v>#NAME?</x:v>
      </x:c>
      <x:c r="D4" s="45" t="e">
        <x:f>IFERROR(IF($A4="","",INDEX(대장!$G$1:$G$501,$A4)),"")</x:f>
        <x:v>#NAME?</x:v>
      </x:c>
      <x:c r="E4" s="18" t="e">
        <x:f>IF($A4="","",IF(NOT(ISNUMBER(INDEX(대장!$F$1:$F$501,$A4))),"확인 필요",IF(AND(INDEX(대장!$G$1:$G$501,$A4)&lt;&gt;"",NOT(ISNUMBER(INDEX(대장!$G$1:$G$501,$A4)))),"확인 필요",IF(AND(ISNUMBER(INDEX(대장!$G$1:$G$501,$A4)),INDEX(대장!$G$1:$G$501,$A4)&lt;INDEX(대장!$F$1:$F$501,$A4)),"확인 필요",IF(INDEX(대장!$L$1:$L$501,$A4)&lt;&gt;"","메모 있음","정상")))))</x:f>
        <x:v>#NAME?</x:v>
      </x:c>
      <x:c r="F4" s="19" t="e">
        <x:f>IF($A4="","",IF($E4="확인 필요","시작일·종료일과 기간 순서를 확인해 주세요.",IF($E4="메모 있음",IFERROR(INDEX(대장!$L$1:$L$501,$A4),""),"")))</x:f>
        <x:v>#NAME?</x:v>
      </x:c>
    </x:row>
    <x:row r="5">
      <x:c r="A5" s="17" t="e">
        <x:f>IF(INDEX(대장!$A$1:$A$501,ROW()-2)="","",ROW()-2)</x:f>
        <x:v>#NAME?</x:v>
      </x:c>
      <x:c r="B5" s="18" t="e">
        <x:f>IF($A5="","",INDEX(대장!$A$1:$A$501,$A5))</x:f>
        <x:v>#NAME?</x:v>
      </x:c>
      <x:c r="C5" s="45" t="e">
        <x:f>IFERROR(IF($A5="","",INDEX(대장!$F$1:$F$501,$A5)),"")</x:f>
        <x:v>#NAME?</x:v>
      </x:c>
      <x:c r="D5" s="45" t="e">
        <x:f>IFERROR(IF($A5="","",INDEX(대장!$G$1:$G$501,$A5)),"")</x:f>
        <x:v>#NAME?</x:v>
      </x:c>
      <x:c r="E5" s="18" t="e">
        <x:f>IF($A5="","",IF(NOT(ISNUMBER(INDEX(대장!$F$1:$F$501,$A5))),"확인 필요",IF(AND(INDEX(대장!$G$1:$G$501,$A5)&lt;&gt;"",NOT(ISNUMBER(INDEX(대장!$G$1:$G$501,$A5)))),"확인 필요",IF(AND(ISNUMBER(INDEX(대장!$G$1:$G$501,$A5)),INDEX(대장!$G$1:$G$501,$A5)&lt;INDEX(대장!$F$1:$F$501,$A5)),"확인 필요",IF(INDEX(대장!$L$1:$L$501,$A5)&lt;&gt;"","메모 있음","정상")))))</x:f>
        <x:v>#NAME?</x:v>
      </x:c>
      <x:c r="F5" s="19" t="e">
        <x:f>IF($A5="","",IF($E5="확인 필요","시작일·종료일과 기간 순서를 확인해 주세요.",IF($E5="메모 있음",IFERROR(INDEX(대장!$L$1:$L$501,$A5),""),"")))</x:f>
        <x:v>#NAME?</x:v>
      </x:c>
    </x:row>
    <x:row r="6">
      <x:c r="A6" s="17" t="e">
        <x:f>IF(INDEX(대장!$A$1:$A$501,ROW()-2)="","",ROW()-2)</x:f>
        <x:v>#NAME?</x:v>
      </x:c>
      <x:c r="B6" s="18" t="e">
        <x:f>IF($A6="","",INDEX(대장!$A$1:$A$501,$A6))</x:f>
        <x:v>#NAME?</x:v>
      </x:c>
      <x:c r="C6" s="45" t="e">
        <x:f>IFERROR(IF($A6="","",INDEX(대장!$F$1:$F$501,$A6)),"")</x:f>
        <x:v>#NAME?</x:v>
      </x:c>
      <x:c r="D6" s="45" t="e">
        <x:f>IFERROR(IF($A6="","",INDEX(대장!$G$1:$G$501,$A6)),"")</x:f>
        <x:v>#NAME?</x:v>
      </x:c>
      <x:c r="E6" s="18" t="e">
        <x:f>IF($A6="","",IF(NOT(ISNUMBER(INDEX(대장!$F$1:$F$501,$A6))),"확인 필요",IF(AND(INDEX(대장!$G$1:$G$501,$A6)&lt;&gt;"",NOT(ISNUMBER(INDEX(대장!$G$1:$G$501,$A6)))),"확인 필요",IF(AND(ISNUMBER(INDEX(대장!$G$1:$G$501,$A6)),INDEX(대장!$G$1:$G$501,$A6)&lt;INDEX(대장!$F$1:$F$501,$A6)),"확인 필요",IF(INDEX(대장!$L$1:$L$501,$A6)&lt;&gt;"","메모 있음","정상")))))</x:f>
        <x:v>#NAME?</x:v>
      </x:c>
      <x:c r="F6" s="19" t="e">
        <x:f>IF($A6="","",IF($E6="확인 필요","시작일·종료일과 기간 순서를 확인해 주세요.",IF($E6="메모 있음",IFERROR(INDEX(대장!$L$1:$L$501,$A6),""),"")))</x:f>
        <x:v>#NAME?</x:v>
      </x:c>
    </x:row>
    <x:row r="7">
      <x:c r="A7" s="17" t="e">
        <x:f>IF(INDEX(대장!$A$1:$A$501,ROW()-2)="","",ROW()-2)</x:f>
        <x:v>#NAME?</x:v>
      </x:c>
      <x:c r="B7" s="18" t="e">
        <x:f>IF($A7="","",INDEX(대장!$A$1:$A$501,$A7))</x:f>
        <x:v>#NAME?</x:v>
      </x:c>
      <x:c r="C7" s="45" t="e">
        <x:f>IFERROR(IF($A7="","",INDEX(대장!$F$1:$F$501,$A7)),"")</x:f>
        <x:v>#NAME?</x:v>
      </x:c>
      <x:c r="D7" s="45" t="e">
        <x:f>IFERROR(IF($A7="","",INDEX(대장!$G$1:$G$501,$A7)),"")</x:f>
        <x:v>#NAME?</x:v>
      </x:c>
      <x:c r="E7" s="18" t="e">
        <x:f>IF($A7="","",IF(NOT(ISNUMBER(INDEX(대장!$F$1:$F$501,$A7))),"확인 필요",IF(AND(INDEX(대장!$G$1:$G$501,$A7)&lt;&gt;"",NOT(ISNUMBER(INDEX(대장!$G$1:$G$501,$A7)))),"확인 필요",IF(AND(ISNUMBER(INDEX(대장!$G$1:$G$501,$A7)),INDEX(대장!$G$1:$G$501,$A7)&lt;INDEX(대장!$F$1:$F$501,$A7)),"확인 필요",IF(INDEX(대장!$L$1:$L$501,$A7)&lt;&gt;"","메모 있음","정상")))))</x:f>
        <x:v>#NAME?</x:v>
      </x:c>
      <x:c r="F7" s="19" t="e">
        <x:f>IF($A7="","",IF($E7="확인 필요","시작일·종료일과 기간 순서를 확인해 주세요.",IF($E7="메모 있음",IFERROR(INDEX(대장!$L$1:$L$501,$A7),""),"")))</x:f>
        <x:v>#NAME?</x:v>
      </x:c>
    </x:row>
    <x:row r="8">
      <x:c r="A8" s="17" t="e">
        <x:f>IF(INDEX(대장!$A$1:$A$501,ROW()-2)="","",ROW()-2)</x:f>
        <x:v>#NAME?</x:v>
      </x:c>
      <x:c r="B8" s="18" t="e">
        <x:f>IF($A8="","",INDEX(대장!$A$1:$A$501,$A8))</x:f>
        <x:v>#NAME?</x:v>
      </x:c>
      <x:c r="C8" s="45" t="e">
        <x:f>IFERROR(IF($A8="","",INDEX(대장!$F$1:$F$501,$A8)),"")</x:f>
        <x:v>#NAME?</x:v>
      </x:c>
      <x:c r="D8" s="45" t="e">
        <x:f>IFERROR(IF($A8="","",INDEX(대장!$G$1:$G$501,$A8)),"")</x:f>
        <x:v>#NAME?</x:v>
      </x:c>
      <x:c r="E8" s="18" t="e">
        <x:f>IF($A8="","",IF(NOT(ISNUMBER(INDEX(대장!$F$1:$F$501,$A8))),"확인 필요",IF(AND(INDEX(대장!$G$1:$G$501,$A8)&lt;&gt;"",NOT(ISNUMBER(INDEX(대장!$G$1:$G$501,$A8)))),"확인 필요",IF(AND(ISNUMBER(INDEX(대장!$G$1:$G$501,$A8)),INDEX(대장!$G$1:$G$501,$A8)&lt;INDEX(대장!$F$1:$F$501,$A8)),"확인 필요",IF(INDEX(대장!$L$1:$L$501,$A8)&lt;&gt;"","메모 있음","정상")))))</x:f>
        <x:v>#NAME?</x:v>
      </x:c>
      <x:c r="F8" s="19" t="e">
        <x:f>IF($A8="","",IF($E8="확인 필요","시작일·종료일과 기간 순서를 확인해 주세요.",IF($E8="메모 있음",IFERROR(INDEX(대장!$L$1:$L$501,$A8),""),"")))</x:f>
        <x:v>#NAME?</x:v>
      </x:c>
    </x:row>
    <x:row r="9">
      <x:c r="A9" s="17" t="e">
        <x:f>IF(INDEX(대장!$A$1:$A$501,ROW()-2)="","",ROW()-2)</x:f>
        <x:v>#NAME?</x:v>
      </x:c>
      <x:c r="B9" s="18" t="e">
        <x:f>IF($A9="","",INDEX(대장!$A$1:$A$501,$A9))</x:f>
        <x:v>#NAME?</x:v>
      </x:c>
      <x:c r="C9" s="45" t="e">
        <x:f>IFERROR(IF($A9="","",INDEX(대장!$F$1:$F$501,$A9)),"")</x:f>
        <x:v>#NAME?</x:v>
      </x:c>
      <x:c r="D9" s="45" t="e">
        <x:f>IFERROR(IF($A9="","",INDEX(대장!$G$1:$G$501,$A9)),"")</x:f>
        <x:v>#NAME?</x:v>
      </x:c>
      <x:c r="E9" s="18" t="e">
        <x:f>IF($A9="","",IF(NOT(ISNUMBER(INDEX(대장!$F$1:$F$501,$A9))),"확인 필요",IF(AND(INDEX(대장!$G$1:$G$501,$A9)&lt;&gt;"",NOT(ISNUMBER(INDEX(대장!$G$1:$G$501,$A9)))),"확인 필요",IF(AND(ISNUMBER(INDEX(대장!$G$1:$G$501,$A9)),INDEX(대장!$G$1:$G$501,$A9)&lt;INDEX(대장!$F$1:$F$501,$A9)),"확인 필요",IF(INDEX(대장!$L$1:$L$501,$A9)&lt;&gt;"","메모 있음","정상")))))</x:f>
        <x:v>#NAME?</x:v>
      </x:c>
      <x:c r="F9" s="19" t="e">
        <x:f>IF($A9="","",IF($E9="확인 필요","시작일·종료일과 기간 순서를 확인해 주세요.",IF($E9="메모 있음",IFERROR(INDEX(대장!$L$1:$L$501,$A9),""),"")))</x:f>
        <x:v>#NAME?</x:v>
      </x:c>
    </x:row>
    <x:row r="10">
      <x:c r="A10" s="17" t="e">
        <x:f>IF(INDEX(대장!$A$1:$A$501,ROW()-2)="","",ROW()-2)</x:f>
        <x:v>#NAME?</x:v>
      </x:c>
      <x:c r="B10" s="18" t="e">
        <x:f>IF($A10="","",INDEX(대장!$A$1:$A$501,$A10))</x:f>
        <x:v>#NAME?</x:v>
      </x:c>
      <x:c r="C10" s="45" t="e">
        <x:f>IFERROR(IF($A10="","",INDEX(대장!$F$1:$F$501,$A10)),"")</x:f>
        <x:v>#NAME?</x:v>
      </x:c>
      <x:c r="D10" s="45" t="e">
        <x:f>IFERROR(IF($A10="","",INDEX(대장!$G$1:$G$501,$A10)),"")</x:f>
        <x:v>#NAME?</x:v>
      </x:c>
      <x:c r="E10" s="18" t="e">
        <x:f>IF($A10="","",IF(NOT(ISNUMBER(INDEX(대장!$F$1:$F$501,$A10))),"확인 필요",IF(AND(INDEX(대장!$G$1:$G$501,$A10)&lt;&gt;"",NOT(ISNUMBER(INDEX(대장!$G$1:$G$501,$A10)))),"확인 필요",IF(AND(ISNUMBER(INDEX(대장!$G$1:$G$501,$A10)),INDEX(대장!$G$1:$G$501,$A10)&lt;INDEX(대장!$F$1:$F$501,$A10)),"확인 필요",IF(INDEX(대장!$L$1:$L$501,$A10)&lt;&gt;"","메모 있음","정상")))))</x:f>
        <x:v>#NAME?</x:v>
      </x:c>
      <x:c r="F10" s="19" t="e">
        <x:f>IF($A10="","",IF($E10="확인 필요","시작일·종료일과 기간 순서를 확인해 주세요.",IF($E10="메모 있음",IFERROR(INDEX(대장!$L$1:$L$501,$A10),""),"")))</x:f>
        <x:v>#NAME?</x:v>
      </x:c>
    </x:row>
    <x:row r="11">
      <x:c r="A11" s="17" t="e">
        <x:f>IF(INDEX(대장!$A$1:$A$501,ROW()-2)="","",ROW()-2)</x:f>
        <x:v>#NAME?</x:v>
      </x:c>
      <x:c r="B11" s="18" t="e">
        <x:f>IF($A11="","",INDEX(대장!$A$1:$A$501,$A11))</x:f>
        <x:v>#NAME?</x:v>
      </x:c>
      <x:c r="C11" s="45" t="e">
        <x:f>IFERROR(IF($A11="","",INDEX(대장!$F$1:$F$501,$A11)),"")</x:f>
        <x:v>#NAME?</x:v>
      </x:c>
      <x:c r="D11" s="45" t="e">
        <x:f>IFERROR(IF($A11="","",INDEX(대장!$G$1:$G$501,$A11)),"")</x:f>
        <x:v>#NAME?</x:v>
      </x:c>
      <x:c r="E11" s="18" t="e">
        <x:f>IF($A11="","",IF(NOT(ISNUMBER(INDEX(대장!$F$1:$F$501,$A11))),"확인 필요",IF(AND(INDEX(대장!$G$1:$G$501,$A11)&lt;&gt;"",NOT(ISNUMBER(INDEX(대장!$G$1:$G$501,$A11)))),"확인 필요",IF(AND(ISNUMBER(INDEX(대장!$G$1:$G$501,$A11)),INDEX(대장!$G$1:$G$501,$A11)&lt;INDEX(대장!$F$1:$F$501,$A11)),"확인 필요",IF(INDEX(대장!$L$1:$L$501,$A11)&lt;&gt;"","메모 있음","정상")))))</x:f>
        <x:v>#NAME?</x:v>
      </x:c>
      <x:c r="F11" s="19" t="e">
        <x:f>IF($A11="","",IF($E11="확인 필요","시작일·종료일과 기간 순서를 확인해 주세요.",IF($E11="메모 있음",IFERROR(INDEX(대장!$L$1:$L$501,$A11),""),"")))</x:f>
        <x:v>#NAME?</x:v>
      </x:c>
    </x:row>
    <x:row r="12">
      <x:c r="A12" s="17" t="e">
        <x:f>IF(INDEX(대장!$A$1:$A$501,ROW()-2)="","",ROW()-2)</x:f>
        <x:v>#NAME?</x:v>
      </x:c>
      <x:c r="B12" s="18" t="e">
        <x:f>IF($A12="","",INDEX(대장!$A$1:$A$501,$A12))</x:f>
        <x:v>#NAME?</x:v>
      </x:c>
      <x:c r="C12" s="45" t="e">
        <x:f>IFERROR(IF($A12="","",INDEX(대장!$F$1:$F$501,$A12)),"")</x:f>
        <x:v>#NAME?</x:v>
      </x:c>
      <x:c r="D12" s="45" t="e">
        <x:f>IFERROR(IF($A12="","",INDEX(대장!$G$1:$G$501,$A12)),"")</x:f>
        <x:v>#NAME?</x:v>
      </x:c>
      <x:c r="E12" s="18" t="e">
        <x:f>IF($A12="","",IF(NOT(ISNUMBER(INDEX(대장!$F$1:$F$501,$A12))),"확인 필요",IF(AND(INDEX(대장!$G$1:$G$501,$A12)&lt;&gt;"",NOT(ISNUMBER(INDEX(대장!$G$1:$G$501,$A12)))),"확인 필요",IF(AND(ISNUMBER(INDEX(대장!$G$1:$G$501,$A12)),INDEX(대장!$G$1:$G$501,$A12)&lt;INDEX(대장!$F$1:$F$501,$A12)),"확인 필요",IF(INDEX(대장!$L$1:$L$501,$A12)&lt;&gt;"","메모 있음","정상")))))</x:f>
        <x:v>#NAME?</x:v>
      </x:c>
      <x:c r="F12" s="19" t="e">
        <x:f>IF($A12="","",IF($E12="확인 필요","시작일·종료일과 기간 순서를 확인해 주세요.",IF($E12="메모 있음",IFERROR(INDEX(대장!$L$1:$L$501,$A12),""),"")))</x:f>
        <x:v>#NAME?</x:v>
      </x:c>
    </x:row>
    <x:row r="13">
      <x:c r="A13" s="17" t="e">
        <x:f>IF(INDEX(대장!$A$1:$A$501,ROW()-2)="","",ROW()-2)</x:f>
        <x:v>#NAME?</x:v>
      </x:c>
      <x:c r="B13" s="18" t="e">
        <x:f>IF($A13="","",INDEX(대장!$A$1:$A$501,$A13))</x:f>
        <x:v>#NAME?</x:v>
      </x:c>
      <x:c r="C13" s="45" t="e">
        <x:f>IFERROR(IF($A13="","",INDEX(대장!$F$1:$F$501,$A13)),"")</x:f>
        <x:v>#NAME?</x:v>
      </x:c>
      <x:c r="D13" s="45" t="e">
        <x:f>IFERROR(IF($A13="","",INDEX(대장!$G$1:$G$501,$A13)),"")</x:f>
        <x:v>#NAME?</x:v>
      </x:c>
      <x:c r="E13" s="18" t="e">
        <x:f>IF($A13="","",IF(NOT(ISNUMBER(INDEX(대장!$F$1:$F$501,$A13))),"확인 필요",IF(AND(INDEX(대장!$G$1:$G$501,$A13)&lt;&gt;"",NOT(ISNUMBER(INDEX(대장!$G$1:$G$501,$A13)))),"확인 필요",IF(AND(ISNUMBER(INDEX(대장!$G$1:$G$501,$A13)),INDEX(대장!$G$1:$G$501,$A13)&lt;INDEX(대장!$F$1:$F$501,$A13)),"확인 필요",IF(INDEX(대장!$L$1:$L$501,$A13)&lt;&gt;"","메모 있음","정상")))))</x:f>
        <x:v>#NAME?</x:v>
      </x:c>
      <x:c r="F13" s="19" t="e">
        <x:f>IF($A13="","",IF($E13="확인 필요","시작일·종료일과 기간 순서를 확인해 주세요.",IF($E13="메모 있음",IFERROR(INDEX(대장!$L$1:$L$501,$A13),""),"")))</x:f>
        <x:v>#NAME?</x:v>
      </x:c>
    </x:row>
    <x:row r="14">
      <x:c r="A14" s="17" t="e">
        <x:f>IF(INDEX(대장!$A$1:$A$501,ROW()-2)="","",ROW()-2)</x:f>
        <x:v>#NAME?</x:v>
      </x:c>
      <x:c r="B14" s="18" t="e">
        <x:f>IF($A14="","",INDEX(대장!$A$1:$A$501,$A14))</x:f>
        <x:v>#NAME?</x:v>
      </x:c>
      <x:c r="C14" s="45" t="e">
        <x:f>IFERROR(IF($A14="","",INDEX(대장!$F$1:$F$501,$A14)),"")</x:f>
        <x:v>#NAME?</x:v>
      </x:c>
      <x:c r="D14" s="45" t="e">
        <x:f>IFERROR(IF($A14="","",INDEX(대장!$G$1:$G$501,$A14)),"")</x:f>
        <x:v>#NAME?</x:v>
      </x:c>
      <x:c r="E14" s="18" t="e">
        <x:f>IF($A14="","",IF(NOT(ISNUMBER(INDEX(대장!$F$1:$F$501,$A14))),"확인 필요",IF(AND(INDEX(대장!$G$1:$G$501,$A14)&lt;&gt;"",NOT(ISNUMBER(INDEX(대장!$G$1:$G$501,$A14)))),"확인 필요",IF(AND(ISNUMBER(INDEX(대장!$G$1:$G$501,$A14)),INDEX(대장!$G$1:$G$501,$A14)&lt;INDEX(대장!$F$1:$F$501,$A14)),"확인 필요",IF(INDEX(대장!$L$1:$L$501,$A14)&lt;&gt;"","메모 있음","정상")))))</x:f>
        <x:v>#NAME?</x:v>
      </x:c>
      <x:c r="F14" s="19" t="e">
        <x:f>IF($A14="","",IF($E14="확인 필요","시작일·종료일과 기간 순서를 확인해 주세요.",IF($E14="메모 있음",IFERROR(INDEX(대장!$L$1:$L$501,$A14),""),"")))</x:f>
        <x:v>#NAME?</x:v>
      </x:c>
    </x:row>
    <x:row r="15">
      <x:c r="A15" s="17" t="e">
        <x:f>IF(INDEX(대장!$A$1:$A$501,ROW()-2)="","",ROW()-2)</x:f>
        <x:v>#NAME?</x:v>
      </x:c>
      <x:c r="B15" s="18" t="e">
        <x:f>IF($A15="","",INDEX(대장!$A$1:$A$501,$A15))</x:f>
        <x:v>#NAME?</x:v>
      </x:c>
      <x:c r="C15" s="45" t="e">
        <x:f>IFERROR(IF($A15="","",INDEX(대장!$F$1:$F$501,$A15)),"")</x:f>
        <x:v>#NAME?</x:v>
      </x:c>
      <x:c r="D15" s="45" t="e">
        <x:f>IFERROR(IF($A15="","",INDEX(대장!$G$1:$G$501,$A15)),"")</x:f>
        <x:v>#NAME?</x:v>
      </x:c>
      <x:c r="E15" s="18" t="e">
        <x:f>IF($A15="","",IF(NOT(ISNUMBER(INDEX(대장!$F$1:$F$501,$A15))),"확인 필요",IF(AND(INDEX(대장!$G$1:$G$501,$A15)&lt;&gt;"",NOT(ISNUMBER(INDEX(대장!$G$1:$G$501,$A15)))),"확인 필요",IF(AND(ISNUMBER(INDEX(대장!$G$1:$G$501,$A15)),INDEX(대장!$G$1:$G$501,$A15)&lt;INDEX(대장!$F$1:$F$501,$A15)),"확인 필요",IF(INDEX(대장!$L$1:$L$501,$A15)&lt;&gt;"","메모 있음","정상")))))</x:f>
        <x:v>#NAME?</x:v>
      </x:c>
      <x:c r="F15" s="19" t="e">
        <x:f>IF($A15="","",IF($E15="확인 필요","시작일·종료일과 기간 순서를 확인해 주세요.",IF($E15="메모 있음",IFERROR(INDEX(대장!$L$1:$L$501,$A15),""),"")))</x:f>
        <x:v>#NAME?</x:v>
      </x:c>
    </x:row>
    <x:row r="16">
      <x:c r="A16" s="17" t="e">
        <x:f>IF(INDEX(대장!$A$1:$A$501,ROW()-2)="","",ROW()-2)</x:f>
        <x:v>#NAME?</x:v>
      </x:c>
      <x:c r="B16" s="18" t="e">
        <x:f>IF($A16="","",INDEX(대장!$A$1:$A$501,$A16))</x:f>
        <x:v>#NAME?</x:v>
      </x:c>
      <x:c r="C16" s="45" t="e">
        <x:f>IFERROR(IF($A16="","",INDEX(대장!$F$1:$F$501,$A16)),"")</x:f>
        <x:v>#NAME?</x:v>
      </x:c>
      <x:c r="D16" s="45" t="e">
        <x:f>IFERROR(IF($A16="","",INDEX(대장!$G$1:$G$501,$A16)),"")</x:f>
        <x:v>#NAME?</x:v>
      </x:c>
      <x:c r="E16" s="18" t="e">
        <x:f>IF($A16="","",IF(NOT(ISNUMBER(INDEX(대장!$F$1:$F$501,$A16))),"확인 필요",IF(AND(INDEX(대장!$G$1:$G$501,$A16)&lt;&gt;"",NOT(ISNUMBER(INDEX(대장!$G$1:$G$501,$A16)))),"확인 필요",IF(AND(ISNUMBER(INDEX(대장!$G$1:$G$501,$A16)),INDEX(대장!$G$1:$G$501,$A16)&lt;INDEX(대장!$F$1:$F$501,$A16)),"확인 필요",IF(INDEX(대장!$L$1:$L$501,$A16)&lt;&gt;"","메모 있음","정상")))))</x:f>
        <x:v>#NAME?</x:v>
      </x:c>
      <x:c r="F16" s="19" t="e">
        <x:f>IF($A16="","",IF($E16="확인 필요","시작일·종료일과 기간 순서를 확인해 주세요.",IF($E16="메모 있음",IFERROR(INDEX(대장!$L$1:$L$501,$A16),""),"")))</x:f>
        <x:v>#NAME?</x:v>
      </x:c>
    </x:row>
    <x:row r="17">
      <x:c r="A17" s="17" t="e">
        <x:f>IF(INDEX(대장!$A$1:$A$501,ROW()-2)="","",ROW()-2)</x:f>
        <x:v>#NAME?</x:v>
      </x:c>
      <x:c r="B17" s="18" t="e">
        <x:f>IF($A17="","",INDEX(대장!$A$1:$A$501,$A17))</x:f>
        <x:v>#NAME?</x:v>
      </x:c>
      <x:c r="C17" s="45" t="e">
        <x:f>IFERROR(IF($A17="","",INDEX(대장!$F$1:$F$501,$A17)),"")</x:f>
        <x:v>#NAME?</x:v>
      </x:c>
      <x:c r="D17" s="45" t="e">
        <x:f>IFERROR(IF($A17="","",INDEX(대장!$G$1:$G$501,$A17)),"")</x:f>
        <x:v>#NAME?</x:v>
      </x:c>
      <x:c r="E17" s="18" t="e">
        <x:f>IF($A17="","",IF(NOT(ISNUMBER(INDEX(대장!$F$1:$F$501,$A17))),"확인 필요",IF(AND(INDEX(대장!$G$1:$G$501,$A17)&lt;&gt;"",NOT(ISNUMBER(INDEX(대장!$G$1:$G$501,$A17)))),"확인 필요",IF(AND(ISNUMBER(INDEX(대장!$G$1:$G$501,$A17)),INDEX(대장!$G$1:$G$501,$A17)&lt;INDEX(대장!$F$1:$F$501,$A17)),"확인 필요",IF(INDEX(대장!$L$1:$L$501,$A17)&lt;&gt;"","메모 있음","정상")))))</x:f>
        <x:v>#NAME?</x:v>
      </x:c>
      <x:c r="F17" s="19" t="e">
        <x:f>IF($A17="","",IF($E17="확인 필요","시작일·종료일과 기간 순서를 확인해 주세요.",IF($E17="메모 있음",IFERROR(INDEX(대장!$L$1:$L$501,$A17),""),"")))</x:f>
        <x:v>#NAME?</x:v>
      </x:c>
    </x:row>
    <x:row r="18">
      <x:c r="A18" s="17" t="e">
        <x:f>IF(INDEX(대장!$A$1:$A$501,ROW()-2)="","",ROW()-2)</x:f>
        <x:v>#NAME?</x:v>
      </x:c>
      <x:c r="B18" s="18" t="e">
        <x:f>IF($A18="","",INDEX(대장!$A$1:$A$501,$A18))</x:f>
        <x:v>#NAME?</x:v>
      </x:c>
      <x:c r="C18" s="45" t="e">
        <x:f>IFERROR(IF($A18="","",INDEX(대장!$F$1:$F$501,$A18)),"")</x:f>
        <x:v>#NAME?</x:v>
      </x:c>
      <x:c r="D18" s="45" t="e">
        <x:f>IFERROR(IF($A18="","",INDEX(대장!$G$1:$G$501,$A18)),"")</x:f>
        <x:v>#NAME?</x:v>
      </x:c>
      <x:c r="E18" s="18" t="e">
        <x:f>IF($A18="","",IF(NOT(ISNUMBER(INDEX(대장!$F$1:$F$501,$A18))),"확인 필요",IF(AND(INDEX(대장!$G$1:$G$501,$A18)&lt;&gt;"",NOT(ISNUMBER(INDEX(대장!$G$1:$G$501,$A18)))),"확인 필요",IF(AND(ISNUMBER(INDEX(대장!$G$1:$G$501,$A18)),INDEX(대장!$G$1:$G$501,$A18)&lt;INDEX(대장!$F$1:$F$501,$A18)),"확인 필요",IF(INDEX(대장!$L$1:$L$501,$A18)&lt;&gt;"","메모 있음","정상")))))</x:f>
        <x:v>#NAME?</x:v>
      </x:c>
      <x:c r="F18" s="19" t="e">
        <x:f>IF($A18="","",IF($E18="확인 필요","시작일·종료일과 기간 순서를 확인해 주세요.",IF($E18="메모 있음",IFERROR(INDEX(대장!$L$1:$L$501,$A18),""),"")))</x:f>
        <x:v>#NAME?</x:v>
      </x:c>
    </x:row>
    <x:row r="19">
      <x:c r="A19" s="17" t="e">
        <x:f>IF(INDEX(대장!$A$1:$A$501,ROW()-2)="","",ROW()-2)</x:f>
        <x:v>#NAME?</x:v>
      </x:c>
      <x:c r="B19" s="18" t="e">
        <x:f>IF($A19="","",INDEX(대장!$A$1:$A$501,$A19))</x:f>
        <x:v>#NAME?</x:v>
      </x:c>
      <x:c r="C19" s="45" t="e">
        <x:f>IFERROR(IF($A19="","",INDEX(대장!$F$1:$F$501,$A19)),"")</x:f>
        <x:v>#NAME?</x:v>
      </x:c>
      <x:c r="D19" s="45" t="e">
        <x:f>IFERROR(IF($A19="","",INDEX(대장!$G$1:$G$501,$A19)),"")</x:f>
        <x:v>#NAME?</x:v>
      </x:c>
      <x:c r="E19" s="18" t="e">
        <x:f>IF($A19="","",IF(NOT(ISNUMBER(INDEX(대장!$F$1:$F$501,$A19))),"확인 필요",IF(AND(INDEX(대장!$G$1:$G$501,$A19)&lt;&gt;"",NOT(ISNUMBER(INDEX(대장!$G$1:$G$501,$A19)))),"확인 필요",IF(AND(ISNUMBER(INDEX(대장!$G$1:$G$501,$A19)),INDEX(대장!$G$1:$G$501,$A19)&lt;INDEX(대장!$F$1:$F$501,$A19)),"확인 필요",IF(INDEX(대장!$L$1:$L$501,$A19)&lt;&gt;"","메모 있음","정상")))))</x:f>
        <x:v>#NAME?</x:v>
      </x:c>
      <x:c r="F19" s="19" t="e">
        <x:f>IF($A19="","",IF($E19="확인 필요","시작일·종료일과 기간 순서를 확인해 주세요.",IF($E19="메모 있음",IFERROR(INDEX(대장!$L$1:$L$501,$A19),""),"")))</x:f>
        <x:v>#NAME?</x:v>
      </x:c>
    </x:row>
    <x:row r="20">
      <x:c r="A20" s="17" t="e">
        <x:f>IF(INDEX(대장!$A$1:$A$501,ROW()-2)="","",ROW()-2)</x:f>
        <x:v>#NAME?</x:v>
      </x:c>
      <x:c r="B20" s="18" t="e">
        <x:f>IF($A20="","",INDEX(대장!$A$1:$A$501,$A20))</x:f>
        <x:v>#NAME?</x:v>
      </x:c>
      <x:c r="C20" s="45" t="e">
        <x:f>IFERROR(IF($A20="","",INDEX(대장!$F$1:$F$501,$A20)),"")</x:f>
        <x:v>#NAME?</x:v>
      </x:c>
      <x:c r="D20" s="45" t="e">
        <x:f>IFERROR(IF($A20="","",INDEX(대장!$G$1:$G$501,$A20)),"")</x:f>
        <x:v>#NAME?</x:v>
      </x:c>
      <x:c r="E20" s="18" t="e">
        <x:f>IF($A20="","",IF(NOT(ISNUMBER(INDEX(대장!$F$1:$F$501,$A20))),"확인 필요",IF(AND(INDEX(대장!$G$1:$G$501,$A20)&lt;&gt;"",NOT(ISNUMBER(INDEX(대장!$G$1:$G$501,$A20)))),"확인 필요",IF(AND(ISNUMBER(INDEX(대장!$G$1:$G$501,$A20)),INDEX(대장!$G$1:$G$501,$A20)&lt;INDEX(대장!$F$1:$F$501,$A20)),"확인 필요",IF(INDEX(대장!$L$1:$L$501,$A20)&lt;&gt;"","메모 있음","정상")))))</x:f>
        <x:v>#NAME?</x:v>
      </x:c>
      <x:c r="F20" s="19" t="e">
        <x:f>IF($A20="","",IF($E20="확인 필요","시작일·종료일과 기간 순서를 확인해 주세요.",IF($E20="메모 있음",IFERROR(INDEX(대장!$L$1:$L$501,$A20),""),"")))</x:f>
        <x:v>#NAME?</x:v>
      </x:c>
    </x:row>
    <x:row r="21">
      <x:c r="A21" s="17" t="e">
        <x:f>IF(INDEX(대장!$A$1:$A$501,ROW()-2)="","",ROW()-2)</x:f>
        <x:v>#NAME?</x:v>
      </x:c>
      <x:c r="B21" s="18" t="e">
        <x:f>IF($A21="","",INDEX(대장!$A$1:$A$501,$A21))</x:f>
        <x:v>#NAME?</x:v>
      </x:c>
      <x:c r="C21" s="45" t="e">
        <x:f>IFERROR(IF($A21="","",INDEX(대장!$F$1:$F$501,$A21)),"")</x:f>
        <x:v>#NAME?</x:v>
      </x:c>
      <x:c r="D21" s="45" t="e">
        <x:f>IFERROR(IF($A21="","",INDEX(대장!$G$1:$G$501,$A21)),"")</x:f>
        <x:v>#NAME?</x:v>
      </x:c>
      <x:c r="E21" s="18" t="e">
        <x:f>IF($A21="","",IF(NOT(ISNUMBER(INDEX(대장!$F$1:$F$501,$A21))),"확인 필요",IF(AND(INDEX(대장!$G$1:$G$501,$A21)&lt;&gt;"",NOT(ISNUMBER(INDEX(대장!$G$1:$G$501,$A21)))),"확인 필요",IF(AND(ISNUMBER(INDEX(대장!$G$1:$G$501,$A21)),INDEX(대장!$G$1:$G$501,$A21)&lt;INDEX(대장!$F$1:$F$501,$A21)),"확인 필요",IF(INDEX(대장!$L$1:$L$501,$A21)&lt;&gt;"","메모 있음","정상")))))</x:f>
        <x:v>#NAME?</x:v>
      </x:c>
      <x:c r="F21" s="19" t="e">
        <x:f>IF($A21="","",IF($E21="확인 필요","시작일·종료일과 기간 순서를 확인해 주세요.",IF($E21="메모 있음",IFERROR(INDEX(대장!$L$1:$L$501,$A21),""),"")))</x:f>
        <x:v>#NAME?</x:v>
      </x:c>
    </x:row>
    <x:row r="22">
      <x:c r="A22" s="17" t="e">
        <x:f>IF(INDEX(대장!$A$1:$A$501,ROW()-2)="","",ROW()-2)</x:f>
        <x:v>#NAME?</x:v>
      </x:c>
      <x:c r="B22" s="18" t="e">
        <x:f>IF($A22="","",INDEX(대장!$A$1:$A$501,$A22))</x:f>
        <x:v>#NAME?</x:v>
      </x:c>
      <x:c r="C22" s="45" t="e">
        <x:f>IFERROR(IF($A22="","",INDEX(대장!$F$1:$F$501,$A22)),"")</x:f>
        <x:v>#NAME?</x:v>
      </x:c>
      <x:c r="D22" s="45" t="e">
        <x:f>IFERROR(IF($A22="","",INDEX(대장!$G$1:$G$501,$A22)),"")</x:f>
        <x:v>#NAME?</x:v>
      </x:c>
      <x:c r="E22" s="18" t="e">
        <x:f>IF($A22="","",IF(NOT(ISNUMBER(INDEX(대장!$F$1:$F$501,$A22))),"확인 필요",IF(AND(INDEX(대장!$G$1:$G$501,$A22)&lt;&gt;"",NOT(ISNUMBER(INDEX(대장!$G$1:$G$501,$A22)))),"확인 필요",IF(AND(ISNUMBER(INDEX(대장!$G$1:$G$501,$A22)),INDEX(대장!$G$1:$G$501,$A22)&lt;INDEX(대장!$F$1:$F$501,$A22)),"확인 필요",IF(INDEX(대장!$L$1:$L$501,$A22)&lt;&gt;"","메모 있음","정상")))))</x:f>
        <x:v>#NAME?</x:v>
      </x:c>
      <x:c r="F22" s="19" t="e">
        <x:f>IF($A22="","",IF($E22="확인 필요","시작일·종료일과 기간 순서를 확인해 주세요.",IF($E22="메모 있음",IFERROR(INDEX(대장!$L$1:$L$501,$A22),""),"")))</x:f>
        <x:v>#NAME?</x:v>
      </x:c>
    </x:row>
    <x:row r="23">
      <x:c r="A23" s="17" t="e">
        <x:f>IF(INDEX(대장!$A$1:$A$501,ROW()-2)="","",ROW()-2)</x:f>
        <x:v>#NAME?</x:v>
      </x:c>
      <x:c r="B23" s="18" t="e">
        <x:f>IF($A23="","",INDEX(대장!$A$1:$A$501,$A23))</x:f>
        <x:v>#NAME?</x:v>
      </x:c>
      <x:c r="C23" s="45" t="e">
        <x:f>IFERROR(IF($A23="","",INDEX(대장!$F$1:$F$501,$A23)),"")</x:f>
        <x:v>#NAME?</x:v>
      </x:c>
      <x:c r="D23" s="45" t="e">
        <x:f>IFERROR(IF($A23="","",INDEX(대장!$G$1:$G$501,$A23)),"")</x:f>
        <x:v>#NAME?</x:v>
      </x:c>
      <x:c r="E23" s="18" t="e">
        <x:f>IF($A23="","",IF(NOT(ISNUMBER(INDEX(대장!$F$1:$F$501,$A23))),"확인 필요",IF(AND(INDEX(대장!$G$1:$G$501,$A23)&lt;&gt;"",NOT(ISNUMBER(INDEX(대장!$G$1:$G$501,$A23)))),"확인 필요",IF(AND(ISNUMBER(INDEX(대장!$G$1:$G$501,$A23)),INDEX(대장!$G$1:$G$501,$A23)&lt;INDEX(대장!$F$1:$F$501,$A23)),"확인 필요",IF(INDEX(대장!$L$1:$L$501,$A23)&lt;&gt;"","메모 있음","정상")))))</x:f>
        <x:v>#NAME?</x:v>
      </x:c>
      <x:c r="F23" s="19" t="e">
        <x:f>IF($A23="","",IF($E23="확인 필요","시작일·종료일과 기간 순서를 확인해 주세요.",IF($E23="메모 있음",IFERROR(INDEX(대장!$L$1:$L$501,$A23),""),"")))</x:f>
        <x:v>#NAME?</x:v>
      </x:c>
    </x:row>
    <x:row r="24">
      <x:c r="A24" s="17" t="e">
        <x:f>IF(INDEX(대장!$A$1:$A$501,ROW()-2)="","",ROW()-2)</x:f>
        <x:v>#NAME?</x:v>
      </x:c>
      <x:c r="B24" s="18" t="e">
        <x:f>IF($A24="","",INDEX(대장!$A$1:$A$501,$A24))</x:f>
        <x:v>#NAME?</x:v>
      </x:c>
      <x:c r="C24" s="45" t="e">
        <x:f>IFERROR(IF($A24="","",INDEX(대장!$F$1:$F$501,$A24)),"")</x:f>
        <x:v>#NAME?</x:v>
      </x:c>
      <x:c r="D24" s="45" t="e">
        <x:f>IFERROR(IF($A24="","",INDEX(대장!$G$1:$G$501,$A24)),"")</x:f>
        <x:v>#NAME?</x:v>
      </x:c>
      <x:c r="E24" s="18" t="e">
        <x:f>IF($A24="","",IF(NOT(ISNUMBER(INDEX(대장!$F$1:$F$501,$A24))),"확인 필요",IF(AND(INDEX(대장!$G$1:$G$501,$A24)&lt;&gt;"",NOT(ISNUMBER(INDEX(대장!$G$1:$G$501,$A24)))),"확인 필요",IF(AND(ISNUMBER(INDEX(대장!$G$1:$G$501,$A24)),INDEX(대장!$G$1:$G$501,$A24)&lt;INDEX(대장!$F$1:$F$501,$A24)),"확인 필요",IF(INDEX(대장!$L$1:$L$501,$A24)&lt;&gt;"","메모 있음","정상")))))</x:f>
        <x:v>#NAME?</x:v>
      </x:c>
      <x:c r="F24" s="19" t="e">
        <x:f>IF($A24="","",IF($E24="확인 필요","시작일·종료일과 기간 순서를 확인해 주세요.",IF($E24="메모 있음",IFERROR(INDEX(대장!$L$1:$L$501,$A24),""),"")))</x:f>
        <x:v>#NAME?</x:v>
      </x:c>
    </x:row>
    <x:row r="25">
      <x:c r="A25" s="17" t="e">
        <x:f>IF(INDEX(대장!$A$1:$A$501,ROW()-2)="","",ROW()-2)</x:f>
        <x:v>#NAME?</x:v>
      </x:c>
      <x:c r="B25" s="18" t="e">
        <x:f>IF($A25="","",INDEX(대장!$A$1:$A$501,$A25))</x:f>
        <x:v>#NAME?</x:v>
      </x:c>
      <x:c r="C25" s="45" t="e">
        <x:f>IFERROR(IF($A25="","",INDEX(대장!$F$1:$F$501,$A25)),"")</x:f>
        <x:v>#NAME?</x:v>
      </x:c>
      <x:c r="D25" s="45" t="e">
        <x:f>IFERROR(IF($A25="","",INDEX(대장!$G$1:$G$501,$A25)),"")</x:f>
        <x:v>#NAME?</x:v>
      </x:c>
      <x:c r="E25" s="18" t="e">
        <x:f>IF($A25="","",IF(NOT(ISNUMBER(INDEX(대장!$F$1:$F$501,$A25))),"확인 필요",IF(AND(INDEX(대장!$G$1:$G$501,$A25)&lt;&gt;"",NOT(ISNUMBER(INDEX(대장!$G$1:$G$501,$A25)))),"확인 필요",IF(AND(ISNUMBER(INDEX(대장!$G$1:$G$501,$A25)),INDEX(대장!$G$1:$G$501,$A25)&lt;INDEX(대장!$F$1:$F$501,$A25)),"확인 필요",IF(INDEX(대장!$L$1:$L$501,$A25)&lt;&gt;"","메모 있음","정상")))))</x:f>
        <x:v>#NAME?</x:v>
      </x:c>
      <x:c r="F25" s="19" t="e">
        <x:f>IF($A25="","",IF($E25="확인 필요","시작일·종료일과 기간 순서를 확인해 주세요.",IF($E25="메모 있음",IFERROR(INDEX(대장!$L$1:$L$501,$A25),""),"")))</x:f>
        <x:v>#NAME?</x:v>
      </x:c>
    </x:row>
    <x:row r="26">
      <x:c r="A26" s="17" t="e">
        <x:f>IF(INDEX(대장!$A$1:$A$501,ROW()-2)="","",ROW()-2)</x:f>
        <x:v>#NAME?</x:v>
      </x:c>
      <x:c r="B26" s="18" t="e">
        <x:f>IF($A26="","",INDEX(대장!$A$1:$A$501,$A26))</x:f>
        <x:v>#NAME?</x:v>
      </x:c>
      <x:c r="C26" s="45" t="e">
        <x:f>IFERROR(IF($A26="","",INDEX(대장!$F$1:$F$501,$A26)),"")</x:f>
        <x:v>#NAME?</x:v>
      </x:c>
      <x:c r="D26" s="45" t="e">
        <x:f>IFERROR(IF($A26="","",INDEX(대장!$G$1:$G$501,$A26)),"")</x:f>
        <x:v>#NAME?</x:v>
      </x:c>
      <x:c r="E26" s="18" t="e">
        <x:f>IF($A26="","",IF(NOT(ISNUMBER(INDEX(대장!$F$1:$F$501,$A26))),"확인 필요",IF(AND(INDEX(대장!$G$1:$G$501,$A26)&lt;&gt;"",NOT(ISNUMBER(INDEX(대장!$G$1:$G$501,$A26)))),"확인 필요",IF(AND(ISNUMBER(INDEX(대장!$G$1:$G$501,$A26)),INDEX(대장!$G$1:$G$501,$A26)&lt;INDEX(대장!$F$1:$F$501,$A26)),"확인 필요",IF(INDEX(대장!$L$1:$L$501,$A26)&lt;&gt;"","메모 있음","정상")))))</x:f>
        <x:v>#NAME?</x:v>
      </x:c>
      <x:c r="F26" s="19" t="e">
        <x:f>IF($A26="","",IF($E26="확인 필요","시작일·종료일과 기간 순서를 확인해 주세요.",IF($E26="메모 있음",IFERROR(INDEX(대장!$L$1:$L$501,$A26),""),"")))</x:f>
        <x:v>#NAME?</x:v>
      </x:c>
    </x:row>
    <x:row r="27">
      <x:c r="A27" s="17" t="e">
        <x:f>IF(INDEX(대장!$A$1:$A$501,ROW()-2)="","",ROW()-2)</x:f>
        <x:v>#NAME?</x:v>
      </x:c>
      <x:c r="B27" s="18" t="e">
        <x:f>IF($A27="","",INDEX(대장!$A$1:$A$501,$A27))</x:f>
        <x:v>#NAME?</x:v>
      </x:c>
      <x:c r="C27" s="45" t="e">
        <x:f>IFERROR(IF($A27="","",INDEX(대장!$F$1:$F$501,$A27)),"")</x:f>
        <x:v>#NAME?</x:v>
      </x:c>
      <x:c r="D27" s="45" t="e">
        <x:f>IFERROR(IF($A27="","",INDEX(대장!$G$1:$G$501,$A27)),"")</x:f>
        <x:v>#NAME?</x:v>
      </x:c>
      <x:c r="E27" s="18" t="e">
        <x:f>IF($A27="","",IF(NOT(ISNUMBER(INDEX(대장!$F$1:$F$501,$A27))),"확인 필요",IF(AND(INDEX(대장!$G$1:$G$501,$A27)&lt;&gt;"",NOT(ISNUMBER(INDEX(대장!$G$1:$G$501,$A27)))),"확인 필요",IF(AND(ISNUMBER(INDEX(대장!$G$1:$G$501,$A27)),INDEX(대장!$G$1:$G$501,$A27)&lt;INDEX(대장!$F$1:$F$501,$A27)),"확인 필요",IF(INDEX(대장!$L$1:$L$501,$A27)&lt;&gt;"","메모 있음","정상")))))</x:f>
        <x:v>#NAME?</x:v>
      </x:c>
      <x:c r="F27" s="19" t="e">
        <x:f>IF($A27="","",IF($E27="확인 필요","시작일·종료일과 기간 순서를 확인해 주세요.",IF($E27="메모 있음",IFERROR(INDEX(대장!$L$1:$L$501,$A27),""),"")))</x:f>
        <x:v>#NAME?</x:v>
      </x:c>
    </x:row>
    <x:row r="28">
      <x:c r="A28" s="17" t="e">
        <x:f>IF(INDEX(대장!$A$1:$A$501,ROW()-2)="","",ROW()-2)</x:f>
        <x:v>#NAME?</x:v>
      </x:c>
      <x:c r="B28" s="18" t="e">
        <x:f>IF($A28="","",INDEX(대장!$A$1:$A$501,$A28))</x:f>
        <x:v>#NAME?</x:v>
      </x:c>
      <x:c r="C28" s="45" t="e">
        <x:f>IFERROR(IF($A28="","",INDEX(대장!$F$1:$F$501,$A28)),"")</x:f>
        <x:v>#NAME?</x:v>
      </x:c>
      <x:c r="D28" s="45" t="e">
        <x:f>IFERROR(IF($A28="","",INDEX(대장!$G$1:$G$501,$A28)),"")</x:f>
        <x:v>#NAME?</x:v>
      </x:c>
      <x:c r="E28" s="18" t="e">
        <x:f>IF($A28="","",IF(NOT(ISNUMBER(INDEX(대장!$F$1:$F$501,$A28))),"확인 필요",IF(AND(INDEX(대장!$G$1:$G$501,$A28)&lt;&gt;"",NOT(ISNUMBER(INDEX(대장!$G$1:$G$501,$A28)))),"확인 필요",IF(AND(ISNUMBER(INDEX(대장!$G$1:$G$501,$A28)),INDEX(대장!$G$1:$G$501,$A28)&lt;INDEX(대장!$F$1:$F$501,$A28)),"확인 필요",IF(INDEX(대장!$L$1:$L$501,$A28)&lt;&gt;"","메모 있음","정상")))))</x:f>
        <x:v>#NAME?</x:v>
      </x:c>
      <x:c r="F28" s="19" t="e">
        <x:f>IF($A28="","",IF($E28="확인 필요","시작일·종료일과 기간 순서를 확인해 주세요.",IF($E28="메모 있음",IFERROR(INDEX(대장!$L$1:$L$501,$A28),""),"")))</x:f>
        <x:v>#NAME?</x:v>
      </x:c>
    </x:row>
    <x:row r="29">
      <x:c r="A29" s="17" t="e">
        <x:f>IF(INDEX(대장!$A$1:$A$501,ROW()-2)="","",ROW()-2)</x:f>
        <x:v>#NAME?</x:v>
      </x:c>
      <x:c r="B29" s="18" t="e">
        <x:f>IF($A29="","",INDEX(대장!$A$1:$A$501,$A29))</x:f>
        <x:v>#NAME?</x:v>
      </x:c>
      <x:c r="C29" s="45" t="e">
        <x:f>IFERROR(IF($A29="","",INDEX(대장!$F$1:$F$501,$A29)),"")</x:f>
        <x:v>#NAME?</x:v>
      </x:c>
      <x:c r="D29" s="45" t="e">
        <x:f>IFERROR(IF($A29="","",INDEX(대장!$G$1:$G$501,$A29)),"")</x:f>
        <x:v>#NAME?</x:v>
      </x:c>
      <x:c r="E29" s="18" t="e">
        <x:f>IF($A29="","",IF(NOT(ISNUMBER(INDEX(대장!$F$1:$F$501,$A29))),"확인 필요",IF(AND(INDEX(대장!$G$1:$G$501,$A29)&lt;&gt;"",NOT(ISNUMBER(INDEX(대장!$G$1:$G$501,$A29)))),"확인 필요",IF(AND(ISNUMBER(INDEX(대장!$G$1:$G$501,$A29)),INDEX(대장!$G$1:$G$501,$A29)&lt;INDEX(대장!$F$1:$F$501,$A29)),"확인 필요",IF(INDEX(대장!$L$1:$L$501,$A29)&lt;&gt;"","메모 있음","정상")))))</x:f>
        <x:v>#NAME?</x:v>
      </x:c>
      <x:c r="F29" s="19" t="e">
        <x:f>IF($A29="","",IF($E29="확인 필요","시작일·종료일과 기간 순서를 확인해 주세요.",IF($E29="메모 있음",IFERROR(INDEX(대장!$L$1:$L$501,$A29),""),"")))</x:f>
        <x:v>#NAME?</x:v>
      </x:c>
    </x:row>
    <x:row r="30">
      <x:c r="A30" s="17" t="e">
        <x:f>IF(INDEX(대장!$A$1:$A$501,ROW()-2)="","",ROW()-2)</x:f>
        <x:v>#NAME?</x:v>
      </x:c>
      <x:c r="B30" s="18" t="e">
        <x:f>IF($A30="","",INDEX(대장!$A$1:$A$501,$A30))</x:f>
        <x:v>#NAME?</x:v>
      </x:c>
      <x:c r="C30" s="45" t="e">
        <x:f>IFERROR(IF($A30="","",INDEX(대장!$F$1:$F$501,$A30)),"")</x:f>
        <x:v>#NAME?</x:v>
      </x:c>
      <x:c r="D30" s="45" t="e">
        <x:f>IFERROR(IF($A30="","",INDEX(대장!$G$1:$G$501,$A30)),"")</x:f>
        <x:v>#NAME?</x:v>
      </x:c>
      <x:c r="E30" s="18" t="e">
        <x:f>IF($A30="","",IF(NOT(ISNUMBER(INDEX(대장!$F$1:$F$501,$A30))),"확인 필요",IF(AND(INDEX(대장!$G$1:$G$501,$A30)&lt;&gt;"",NOT(ISNUMBER(INDEX(대장!$G$1:$G$501,$A30)))),"확인 필요",IF(AND(ISNUMBER(INDEX(대장!$G$1:$G$501,$A30)),INDEX(대장!$G$1:$G$501,$A30)&lt;INDEX(대장!$F$1:$F$501,$A30)),"확인 필요",IF(INDEX(대장!$L$1:$L$501,$A30)&lt;&gt;"","메모 있음","정상")))))</x:f>
        <x:v>#NAME?</x:v>
      </x:c>
      <x:c r="F30" s="19" t="e">
        <x:f>IF($A30="","",IF($E30="확인 필요","시작일·종료일과 기간 순서를 확인해 주세요.",IF($E30="메모 있음",IFERROR(INDEX(대장!$L$1:$L$501,$A30),""),"")))</x:f>
        <x:v>#NAME?</x:v>
      </x:c>
    </x:row>
    <x:row r="31">
      <x:c r="A31" s="17" t="e">
        <x:f>IF(INDEX(대장!$A$1:$A$501,ROW()-2)="","",ROW()-2)</x:f>
        <x:v>#NAME?</x:v>
      </x:c>
      <x:c r="B31" s="18" t="e">
        <x:f>IF($A31="","",INDEX(대장!$A$1:$A$501,$A31))</x:f>
        <x:v>#NAME?</x:v>
      </x:c>
      <x:c r="C31" s="45" t="e">
        <x:f>IFERROR(IF($A31="","",INDEX(대장!$F$1:$F$501,$A31)),"")</x:f>
        <x:v>#NAME?</x:v>
      </x:c>
      <x:c r="D31" s="45" t="e">
        <x:f>IFERROR(IF($A31="","",INDEX(대장!$G$1:$G$501,$A31)),"")</x:f>
        <x:v>#NAME?</x:v>
      </x:c>
      <x:c r="E31" s="18" t="e">
        <x:f>IF($A31="","",IF(NOT(ISNUMBER(INDEX(대장!$F$1:$F$501,$A31))),"확인 필요",IF(AND(INDEX(대장!$G$1:$G$501,$A31)&lt;&gt;"",NOT(ISNUMBER(INDEX(대장!$G$1:$G$501,$A31)))),"확인 필요",IF(AND(ISNUMBER(INDEX(대장!$G$1:$G$501,$A31)),INDEX(대장!$G$1:$G$501,$A31)&lt;INDEX(대장!$F$1:$F$501,$A31)),"확인 필요",IF(INDEX(대장!$L$1:$L$501,$A31)&lt;&gt;"","메모 있음","정상")))))</x:f>
        <x:v>#NAME?</x:v>
      </x:c>
      <x:c r="F31" s="19" t="e">
        <x:f>IF($A31="","",IF($E31="확인 필요","시작일·종료일과 기간 순서를 확인해 주세요.",IF($E31="메모 있음",IFERROR(INDEX(대장!$L$1:$L$501,$A31),""),"")))</x:f>
        <x:v>#NAME?</x:v>
      </x:c>
    </x:row>
    <x:row r="32">
      <x:c r="A32" s="17" t="e">
        <x:f>IF(INDEX(대장!$A$1:$A$501,ROW()-2)="","",ROW()-2)</x:f>
        <x:v>#NAME?</x:v>
      </x:c>
      <x:c r="B32" s="18" t="e">
        <x:f>IF($A32="","",INDEX(대장!$A$1:$A$501,$A32))</x:f>
        <x:v>#NAME?</x:v>
      </x:c>
      <x:c r="C32" s="45" t="e">
        <x:f>IFERROR(IF($A32="","",INDEX(대장!$F$1:$F$501,$A32)),"")</x:f>
        <x:v>#NAME?</x:v>
      </x:c>
      <x:c r="D32" s="45" t="e">
        <x:f>IFERROR(IF($A32="","",INDEX(대장!$G$1:$G$501,$A32)),"")</x:f>
        <x:v>#NAME?</x:v>
      </x:c>
      <x:c r="E32" s="18" t="e">
        <x:f>IF($A32="","",IF(NOT(ISNUMBER(INDEX(대장!$F$1:$F$501,$A32))),"확인 필요",IF(AND(INDEX(대장!$G$1:$G$501,$A32)&lt;&gt;"",NOT(ISNUMBER(INDEX(대장!$G$1:$G$501,$A32)))),"확인 필요",IF(AND(ISNUMBER(INDEX(대장!$G$1:$G$501,$A32)),INDEX(대장!$G$1:$G$501,$A32)&lt;INDEX(대장!$F$1:$F$501,$A32)),"확인 필요",IF(INDEX(대장!$L$1:$L$501,$A32)&lt;&gt;"","메모 있음","정상")))))</x:f>
        <x:v>#NAME?</x:v>
      </x:c>
      <x:c r="F32" s="19" t="e">
        <x:f>IF($A32="","",IF($E32="확인 필요","시작일·종료일과 기간 순서를 확인해 주세요.",IF($E32="메모 있음",IFERROR(INDEX(대장!$L$1:$L$501,$A32),""),"")))</x:f>
        <x:v>#NAME?</x:v>
      </x:c>
    </x:row>
    <x:row r="33">
      <x:c r="A33" s="17" t="e">
        <x:f>IF(INDEX(대장!$A$1:$A$501,ROW()-2)="","",ROW()-2)</x:f>
        <x:v>#NAME?</x:v>
      </x:c>
      <x:c r="B33" s="18" t="e">
        <x:f>IF($A33="","",INDEX(대장!$A$1:$A$501,$A33))</x:f>
        <x:v>#NAME?</x:v>
      </x:c>
      <x:c r="C33" s="45" t="e">
        <x:f>IFERROR(IF($A33="","",INDEX(대장!$F$1:$F$501,$A33)),"")</x:f>
        <x:v>#NAME?</x:v>
      </x:c>
      <x:c r="D33" s="45" t="e">
        <x:f>IFERROR(IF($A33="","",INDEX(대장!$G$1:$G$501,$A33)),"")</x:f>
        <x:v>#NAME?</x:v>
      </x:c>
      <x:c r="E33" s="18" t="e">
        <x:f>IF($A33="","",IF(NOT(ISNUMBER(INDEX(대장!$F$1:$F$501,$A33))),"확인 필요",IF(AND(INDEX(대장!$G$1:$G$501,$A33)&lt;&gt;"",NOT(ISNUMBER(INDEX(대장!$G$1:$G$501,$A33)))),"확인 필요",IF(AND(ISNUMBER(INDEX(대장!$G$1:$G$501,$A33)),INDEX(대장!$G$1:$G$501,$A33)&lt;INDEX(대장!$F$1:$F$501,$A33)),"확인 필요",IF(INDEX(대장!$L$1:$L$501,$A33)&lt;&gt;"","메모 있음","정상")))))</x:f>
        <x:v>#NAME?</x:v>
      </x:c>
      <x:c r="F33" s="19" t="e">
        <x:f>IF($A33="","",IF($E33="확인 필요","시작일·종료일과 기간 순서를 확인해 주세요.",IF($E33="메모 있음",IFERROR(INDEX(대장!$L$1:$L$501,$A33),""),"")))</x:f>
        <x:v>#NAME?</x:v>
      </x:c>
    </x:row>
    <x:row r="34">
      <x:c r="A34" s="17" t="e">
        <x:f>IF(INDEX(대장!$A$1:$A$501,ROW()-2)="","",ROW()-2)</x:f>
        <x:v>#NAME?</x:v>
      </x:c>
      <x:c r="B34" s="18" t="e">
        <x:f>IF($A34="","",INDEX(대장!$A$1:$A$501,$A34))</x:f>
        <x:v>#NAME?</x:v>
      </x:c>
      <x:c r="C34" s="45" t="e">
        <x:f>IFERROR(IF($A34="","",INDEX(대장!$F$1:$F$501,$A34)),"")</x:f>
        <x:v>#NAME?</x:v>
      </x:c>
      <x:c r="D34" s="45" t="e">
        <x:f>IFERROR(IF($A34="","",INDEX(대장!$G$1:$G$501,$A34)),"")</x:f>
        <x:v>#NAME?</x:v>
      </x:c>
      <x:c r="E34" s="18" t="e">
        <x:f>IF($A34="","",IF(NOT(ISNUMBER(INDEX(대장!$F$1:$F$501,$A34))),"확인 필요",IF(AND(INDEX(대장!$G$1:$G$501,$A34)&lt;&gt;"",NOT(ISNUMBER(INDEX(대장!$G$1:$G$501,$A34)))),"확인 필요",IF(AND(ISNUMBER(INDEX(대장!$G$1:$G$501,$A34)),INDEX(대장!$G$1:$G$501,$A34)&lt;INDEX(대장!$F$1:$F$501,$A34)),"확인 필요",IF(INDEX(대장!$L$1:$L$501,$A34)&lt;&gt;"","메모 있음","정상")))))</x:f>
        <x:v>#NAME?</x:v>
      </x:c>
      <x:c r="F34" s="19" t="e">
        <x:f>IF($A34="","",IF($E34="확인 필요","시작일·종료일과 기간 순서를 확인해 주세요.",IF($E34="메모 있음",IFERROR(INDEX(대장!$L$1:$L$501,$A34),""),"")))</x:f>
        <x:v>#NAME?</x:v>
      </x:c>
    </x:row>
    <x:row r="35">
      <x:c r="A35" s="17" t="e">
        <x:f>IF(INDEX(대장!$A$1:$A$501,ROW()-2)="","",ROW()-2)</x:f>
        <x:v>#NAME?</x:v>
      </x:c>
      <x:c r="B35" s="18" t="e">
        <x:f>IF($A35="","",INDEX(대장!$A$1:$A$501,$A35))</x:f>
        <x:v>#NAME?</x:v>
      </x:c>
      <x:c r="C35" s="45" t="e">
        <x:f>IFERROR(IF($A35="","",INDEX(대장!$F$1:$F$501,$A35)),"")</x:f>
        <x:v>#NAME?</x:v>
      </x:c>
      <x:c r="D35" s="45" t="e">
        <x:f>IFERROR(IF($A35="","",INDEX(대장!$G$1:$G$501,$A35)),"")</x:f>
        <x:v>#NAME?</x:v>
      </x:c>
      <x:c r="E35" s="18" t="e">
        <x:f>IF($A35="","",IF(NOT(ISNUMBER(INDEX(대장!$F$1:$F$501,$A35))),"확인 필요",IF(AND(INDEX(대장!$G$1:$G$501,$A35)&lt;&gt;"",NOT(ISNUMBER(INDEX(대장!$G$1:$G$501,$A35)))),"확인 필요",IF(AND(ISNUMBER(INDEX(대장!$G$1:$G$501,$A35)),INDEX(대장!$G$1:$G$501,$A35)&lt;INDEX(대장!$F$1:$F$501,$A35)),"확인 필요",IF(INDEX(대장!$L$1:$L$501,$A35)&lt;&gt;"","메모 있음","정상")))))</x:f>
        <x:v>#NAME?</x:v>
      </x:c>
      <x:c r="F35" s="19" t="e">
        <x:f>IF($A35="","",IF($E35="확인 필요","시작일·종료일과 기간 순서를 확인해 주세요.",IF($E35="메모 있음",IFERROR(INDEX(대장!$L$1:$L$501,$A35),""),"")))</x:f>
        <x:v>#NAME?</x:v>
      </x:c>
    </x:row>
    <x:row r="36">
      <x:c r="A36" s="17" t="e">
        <x:f>IF(INDEX(대장!$A$1:$A$501,ROW()-2)="","",ROW()-2)</x:f>
        <x:v>#NAME?</x:v>
      </x:c>
      <x:c r="B36" s="18" t="e">
        <x:f>IF($A36="","",INDEX(대장!$A$1:$A$501,$A36))</x:f>
        <x:v>#NAME?</x:v>
      </x:c>
      <x:c r="C36" s="45" t="e">
        <x:f>IFERROR(IF($A36="","",INDEX(대장!$F$1:$F$501,$A36)),"")</x:f>
        <x:v>#NAME?</x:v>
      </x:c>
      <x:c r="D36" s="45" t="e">
        <x:f>IFERROR(IF($A36="","",INDEX(대장!$G$1:$G$501,$A36)),"")</x:f>
        <x:v>#NAME?</x:v>
      </x:c>
      <x:c r="E36" s="18" t="e">
        <x:f>IF($A36="","",IF(NOT(ISNUMBER(INDEX(대장!$F$1:$F$501,$A36))),"확인 필요",IF(AND(INDEX(대장!$G$1:$G$501,$A36)&lt;&gt;"",NOT(ISNUMBER(INDEX(대장!$G$1:$G$501,$A36)))),"확인 필요",IF(AND(ISNUMBER(INDEX(대장!$G$1:$G$501,$A36)),INDEX(대장!$G$1:$G$501,$A36)&lt;INDEX(대장!$F$1:$F$501,$A36)),"확인 필요",IF(INDEX(대장!$L$1:$L$501,$A36)&lt;&gt;"","메모 있음","정상")))))</x:f>
        <x:v>#NAME?</x:v>
      </x:c>
      <x:c r="F36" s="19" t="e">
        <x:f>IF($A36="","",IF($E36="확인 필요","시작일·종료일과 기간 순서를 확인해 주세요.",IF($E36="메모 있음",IFERROR(INDEX(대장!$L$1:$L$501,$A36),""),"")))</x:f>
        <x:v>#NAME?</x:v>
      </x:c>
    </x:row>
    <x:row r="37">
      <x:c r="A37" s="17" t="e">
        <x:f>IF(INDEX(대장!$A$1:$A$501,ROW()-2)="","",ROW()-2)</x:f>
        <x:v>#NAME?</x:v>
      </x:c>
      <x:c r="B37" s="18" t="e">
        <x:f>IF($A37="","",INDEX(대장!$A$1:$A$501,$A37))</x:f>
        <x:v>#NAME?</x:v>
      </x:c>
      <x:c r="C37" s="45" t="e">
        <x:f>IFERROR(IF($A37="","",INDEX(대장!$F$1:$F$501,$A37)),"")</x:f>
        <x:v>#NAME?</x:v>
      </x:c>
      <x:c r="D37" s="45" t="e">
        <x:f>IFERROR(IF($A37="","",INDEX(대장!$G$1:$G$501,$A37)),"")</x:f>
        <x:v>#NAME?</x:v>
      </x:c>
      <x:c r="E37" s="18" t="e">
        <x:f>IF($A37="","",IF(NOT(ISNUMBER(INDEX(대장!$F$1:$F$501,$A37))),"확인 필요",IF(AND(INDEX(대장!$G$1:$G$501,$A37)&lt;&gt;"",NOT(ISNUMBER(INDEX(대장!$G$1:$G$501,$A37)))),"확인 필요",IF(AND(ISNUMBER(INDEX(대장!$G$1:$G$501,$A37)),INDEX(대장!$G$1:$G$501,$A37)&lt;INDEX(대장!$F$1:$F$501,$A37)),"확인 필요",IF(INDEX(대장!$L$1:$L$501,$A37)&lt;&gt;"","메모 있음","정상")))))</x:f>
        <x:v>#NAME?</x:v>
      </x:c>
      <x:c r="F37" s="19" t="e">
        <x:f>IF($A37="","",IF($E37="확인 필요","시작일·종료일과 기간 순서를 확인해 주세요.",IF($E37="메모 있음",IFERROR(INDEX(대장!$L$1:$L$501,$A37),""),"")))</x:f>
        <x:v>#NAME?</x:v>
      </x:c>
    </x:row>
    <x:row r="38">
      <x:c r="A38" s="17" t="e">
        <x:f>IF(INDEX(대장!$A$1:$A$501,ROW()-2)="","",ROW()-2)</x:f>
        <x:v>#NAME?</x:v>
      </x:c>
      <x:c r="B38" s="18" t="e">
        <x:f>IF($A38="","",INDEX(대장!$A$1:$A$501,$A38))</x:f>
        <x:v>#NAME?</x:v>
      </x:c>
      <x:c r="C38" s="45" t="e">
        <x:f>IFERROR(IF($A38="","",INDEX(대장!$F$1:$F$501,$A38)),"")</x:f>
        <x:v>#NAME?</x:v>
      </x:c>
      <x:c r="D38" s="45" t="e">
        <x:f>IFERROR(IF($A38="","",INDEX(대장!$G$1:$G$501,$A38)),"")</x:f>
        <x:v>#NAME?</x:v>
      </x:c>
      <x:c r="E38" s="18" t="e">
        <x:f>IF($A38="","",IF(NOT(ISNUMBER(INDEX(대장!$F$1:$F$501,$A38))),"확인 필요",IF(AND(INDEX(대장!$G$1:$G$501,$A38)&lt;&gt;"",NOT(ISNUMBER(INDEX(대장!$G$1:$G$501,$A38)))),"확인 필요",IF(AND(ISNUMBER(INDEX(대장!$G$1:$G$501,$A38)),INDEX(대장!$G$1:$G$501,$A38)&lt;INDEX(대장!$F$1:$F$501,$A38)),"확인 필요",IF(INDEX(대장!$L$1:$L$501,$A38)&lt;&gt;"","메모 있음","정상")))))</x:f>
        <x:v>#NAME?</x:v>
      </x:c>
      <x:c r="F38" s="19" t="e">
        <x:f>IF($A38="","",IF($E38="확인 필요","시작일·종료일과 기간 순서를 확인해 주세요.",IF($E38="메모 있음",IFERROR(INDEX(대장!$L$1:$L$501,$A38),""),"")))</x:f>
        <x:v>#NAME?</x:v>
      </x:c>
    </x:row>
    <x:row r="39">
      <x:c r="A39" s="17" t="e">
        <x:f>IF(INDEX(대장!$A$1:$A$501,ROW()-2)="","",ROW()-2)</x:f>
        <x:v>#NAME?</x:v>
      </x:c>
      <x:c r="B39" s="18" t="e">
        <x:f>IF($A39="","",INDEX(대장!$A$1:$A$501,$A39))</x:f>
        <x:v>#NAME?</x:v>
      </x:c>
      <x:c r="C39" s="45" t="e">
        <x:f>IFERROR(IF($A39="","",INDEX(대장!$F$1:$F$501,$A39)),"")</x:f>
        <x:v>#NAME?</x:v>
      </x:c>
      <x:c r="D39" s="45" t="e">
        <x:f>IFERROR(IF($A39="","",INDEX(대장!$G$1:$G$501,$A39)),"")</x:f>
        <x:v>#NAME?</x:v>
      </x:c>
      <x:c r="E39" s="18" t="e">
        <x:f>IF($A39="","",IF(NOT(ISNUMBER(INDEX(대장!$F$1:$F$501,$A39))),"확인 필요",IF(AND(INDEX(대장!$G$1:$G$501,$A39)&lt;&gt;"",NOT(ISNUMBER(INDEX(대장!$G$1:$G$501,$A39)))),"확인 필요",IF(AND(ISNUMBER(INDEX(대장!$G$1:$G$501,$A39)),INDEX(대장!$G$1:$G$501,$A39)&lt;INDEX(대장!$F$1:$F$501,$A39)),"확인 필요",IF(INDEX(대장!$L$1:$L$501,$A39)&lt;&gt;"","메모 있음","정상")))))</x:f>
        <x:v>#NAME?</x:v>
      </x:c>
      <x:c r="F39" s="19" t="e">
        <x:f>IF($A39="","",IF($E39="확인 필요","시작일·종료일과 기간 순서를 확인해 주세요.",IF($E39="메모 있음",IFERROR(INDEX(대장!$L$1:$L$501,$A39),""),"")))</x:f>
        <x:v>#NAME?</x:v>
      </x:c>
    </x:row>
    <x:row r="40">
      <x:c r="A40" s="17" t="e">
        <x:f>IF(INDEX(대장!$A$1:$A$501,ROW()-2)="","",ROW()-2)</x:f>
        <x:v>#NAME?</x:v>
      </x:c>
      <x:c r="B40" s="18" t="e">
        <x:f>IF($A40="","",INDEX(대장!$A$1:$A$501,$A40))</x:f>
        <x:v>#NAME?</x:v>
      </x:c>
      <x:c r="C40" s="45" t="e">
        <x:f>IFERROR(IF($A40="","",INDEX(대장!$F$1:$F$501,$A40)),"")</x:f>
        <x:v>#NAME?</x:v>
      </x:c>
      <x:c r="D40" s="45" t="e">
        <x:f>IFERROR(IF($A40="","",INDEX(대장!$G$1:$G$501,$A40)),"")</x:f>
        <x:v>#NAME?</x:v>
      </x:c>
      <x:c r="E40" s="18" t="e">
        <x:f>IF($A40="","",IF(NOT(ISNUMBER(INDEX(대장!$F$1:$F$501,$A40))),"확인 필요",IF(AND(INDEX(대장!$G$1:$G$501,$A40)&lt;&gt;"",NOT(ISNUMBER(INDEX(대장!$G$1:$G$501,$A40)))),"확인 필요",IF(AND(ISNUMBER(INDEX(대장!$G$1:$G$501,$A40)),INDEX(대장!$G$1:$G$501,$A40)&lt;INDEX(대장!$F$1:$F$501,$A40)),"확인 필요",IF(INDEX(대장!$L$1:$L$501,$A40)&lt;&gt;"","메모 있음","정상")))))</x:f>
        <x:v>#NAME?</x:v>
      </x:c>
      <x:c r="F40" s="19" t="e">
        <x:f>IF($A40="","",IF($E40="확인 필요","시작일·종료일과 기간 순서를 확인해 주세요.",IF($E40="메모 있음",IFERROR(INDEX(대장!$L$1:$L$501,$A40),""),"")))</x:f>
        <x:v>#NAME?</x:v>
      </x:c>
    </x:row>
    <x:row r="41">
      <x:c r="A41" s="17" t="e">
        <x:f>IF(INDEX(대장!$A$1:$A$501,ROW()-2)="","",ROW()-2)</x:f>
        <x:v>#NAME?</x:v>
      </x:c>
      <x:c r="B41" s="18" t="e">
        <x:f>IF($A41="","",INDEX(대장!$A$1:$A$501,$A41))</x:f>
        <x:v>#NAME?</x:v>
      </x:c>
      <x:c r="C41" s="45" t="e">
        <x:f>IFERROR(IF($A41="","",INDEX(대장!$F$1:$F$501,$A41)),"")</x:f>
        <x:v>#NAME?</x:v>
      </x:c>
      <x:c r="D41" s="45" t="e">
        <x:f>IFERROR(IF($A41="","",INDEX(대장!$G$1:$G$501,$A41)),"")</x:f>
        <x:v>#NAME?</x:v>
      </x:c>
      <x:c r="E41" s="18" t="e">
        <x:f>IF($A41="","",IF(NOT(ISNUMBER(INDEX(대장!$F$1:$F$501,$A41))),"확인 필요",IF(AND(INDEX(대장!$G$1:$G$501,$A41)&lt;&gt;"",NOT(ISNUMBER(INDEX(대장!$G$1:$G$501,$A41)))),"확인 필요",IF(AND(ISNUMBER(INDEX(대장!$G$1:$G$501,$A41)),INDEX(대장!$G$1:$G$501,$A41)&lt;INDEX(대장!$F$1:$F$501,$A41)),"확인 필요",IF(INDEX(대장!$L$1:$L$501,$A41)&lt;&gt;"","메모 있음","정상")))))</x:f>
        <x:v>#NAME?</x:v>
      </x:c>
      <x:c r="F41" s="19" t="e">
        <x:f>IF($A41="","",IF($E41="확인 필요","시작일·종료일과 기간 순서를 확인해 주세요.",IF($E41="메모 있음",IFERROR(INDEX(대장!$L$1:$L$501,$A41),""),"")))</x:f>
        <x:v>#NAME?</x:v>
      </x:c>
    </x:row>
    <x:row r="42">
      <x:c r="A42" s="17" t="e">
        <x:f>IF(INDEX(대장!$A$1:$A$501,ROW()-2)="","",ROW()-2)</x:f>
        <x:v>#NAME?</x:v>
      </x:c>
      <x:c r="B42" s="18" t="e">
        <x:f>IF($A42="","",INDEX(대장!$A$1:$A$501,$A42))</x:f>
        <x:v>#NAME?</x:v>
      </x:c>
      <x:c r="C42" s="45" t="e">
        <x:f>IFERROR(IF($A42="","",INDEX(대장!$F$1:$F$501,$A42)),"")</x:f>
        <x:v>#NAME?</x:v>
      </x:c>
      <x:c r="D42" s="45" t="e">
        <x:f>IFERROR(IF($A42="","",INDEX(대장!$G$1:$G$501,$A42)),"")</x:f>
        <x:v>#NAME?</x:v>
      </x:c>
      <x:c r="E42" s="18" t="e">
        <x:f>IF($A42="","",IF(NOT(ISNUMBER(INDEX(대장!$F$1:$F$501,$A42))),"확인 필요",IF(AND(INDEX(대장!$G$1:$G$501,$A42)&lt;&gt;"",NOT(ISNUMBER(INDEX(대장!$G$1:$G$501,$A42)))),"확인 필요",IF(AND(ISNUMBER(INDEX(대장!$G$1:$G$501,$A42)),INDEX(대장!$G$1:$G$501,$A42)&lt;INDEX(대장!$F$1:$F$501,$A42)),"확인 필요",IF(INDEX(대장!$L$1:$L$501,$A42)&lt;&gt;"","메모 있음","정상")))))</x:f>
        <x:v>#NAME?</x:v>
      </x:c>
      <x:c r="F42" s="19" t="e">
        <x:f>IF($A42="","",IF($E42="확인 필요","시작일·종료일과 기간 순서를 확인해 주세요.",IF($E42="메모 있음",IFERROR(INDEX(대장!$L$1:$L$501,$A42),""),"")))</x:f>
        <x:v>#NAME?</x:v>
      </x:c>
    </x:row>
    <x:row r="43">
      <x:c r="A43" s="17" t="e">
        <x:f>IF(INDEX(대장!$A$1:$A$501,ROW()-2)="","",ROW()-2)</x:f>
        <x:v>#NAME?</x:v>
      </x:c>
      <x:c r="B43" s="18" t="e">
        <x:f>IF($A43="","",INDEX(대장!$A$1:$A$501,$A43))</x:f>
        <x:v>#NAME?</x:v>
      </x:c>
      <x:c r="C43" s="45" t="e">
        <x:f>IFERROR(IF($A43="","",INDEX(대장!$F$1:$F$501,$A43)),"")</x:f>
        <x:v>#NAME?</x:v>
      </x:c>
      <x:c r="D43" s="45" t="e">
        <x:f>IFERROR(IF($A43="","",INDEX(대장!$G$1:$G$501,$A43)),"")</x:f>
        <x:v>#NAME?</x:v>
      </x:c>
      <x:c r="E43" s="18" t="e">
        <x:f>IF($A43="","",IF(NOT(ISNUMBER(INDEX(대장!$F$1:$F$501,$A43))),"확인 필요",IF(AND(INDEX(대장!$G$1:$G$501,$A43)&lt;&gt;"",NOT(ISNUMBER(INDEX(대장!$G$1:$G$501,$A43)))),"확인 필요",IF(AND(ISNUMBER(INDEX(대장!$G$1:$G$501,$A43)),INDEX(대장!$G$1:$G$501,$A43)&lt;INDEX(대장!$F$1:$F$501,$A43)),"확인 필요",IF(INDEX(대장!$L$1:$L$501,$A43)&lt;&gt;"","메모 있음","정상")))))</x:f>
        <x:v>#NAME?</x:v>
      </x:c>
      <x:c r="F43" s="19" t="e">
        <x:f>IF($A43="","",IF($E43="확인 필요","시작일·종료일과 기간 순서를 확인해 주세요.",IF($E43="메모 있음",IFERROR(INDEX(대장!$L$1:$L$501,$A43),""),"")))</x:f>
        <x:v>#NAME?</x:v>
      </x:c>
    </x:row>
    <x:row r="44">
      <x:c r="A44" s="17" t="e">
        <x:f>IF(INDEX(대장!$A$1:$A$501,ROW()-2)="","",ROW()-2)</x:f>
        <x:v>#NAME?</x:v>
      </x:c>
      <x:c r="B44" s="18" t="e">
        <x:f>IF($A44="","",INDEX(대장!$A$1:$A$501,$A44))</x:f>
        <x:v>#NAME?</x:v>
      </x:c>
      <x:c r="C44" s="45" t="e">
        <x:f>IFERROR(IF($A44="","",INDEX(대장!$F$1:$F$501,$A44)),"")</x:f>
        <x:v>#NAME?</x:v>
      </x:c>
      <x:c r="D44" s="45" t="e">
        <x:f>IFERROR(IF($A44="","",INDEX(대장!$G$1:$G$501,$A44)),"")</x:f>
        <x:v>#NAME?</x:v>
      </x:c>
      <x:c r="E44" s="18" t="e">
        <x:f>IF($A44="","",IF(NOT(ISNUMBER(INDEX(대장!$F$1:$F$501,$A44))),"확인 필요",IF(AND(INDEX(대장!$G$1:$G$501,$A44)&lt;&gt;"",NOT(ISNUMBER(INDEX(대장!$G$1:$G$501,$A44)))),"확인 필요",IF(AND(ISNUMBER(INDEX(대장!$G$1:$G$501,$A44)),INDEX(대장!$G$1:$G$501,$A44)&lt;INDEX(대장!$F$1:$F$501,$A44)),"확인 필요",IF(INDEX(대장!$L$1:$L$501,$A44)&lt;&gt;"","메모 있음","정상")))))</x:f>
        <x:v>#NAME?</x:v>
      </x:c>
      <x:c r="F44" s="19" t="e">
        <x:f>IF($A44="","",IF($E44="확인 필요","시작일·종료일과 기간 순서를 확인해 주세요.",IF($E44="메모 있음",IFERROR(INDEX(대장!$L$1:$L$501,$A44),""),"")))</x:f>
        <x:v>#NAME?</x:v>
      </x:c>
    </x:row>
    <x:row r="45">
      <x:c r="A45" s="17" t="e">
        <x:f>IF(INDEX(대장!$A$1:$A$501,ROW()-2)="","",ROW()-2)</x:f>
        <x:v>#NAME?</x:v>
      </x:c>
      <x:c r="B45" s="18" t="e">
        <x:f>IF($A45="","",INDEX(대장!$A$1:$A$501,$A45))</x:f>
        <x:v>#NAME?</x:v>
      </x:c>
      <x:c r="C45" s="45" t="e">
        <x:f>IFERROR(IF($A45="","",INDEX(대장!$F$1:$F$501,$A45)),"")</x:f>
        <x:v>#NAME?</x:v>
      </x:c>
      <x:c r="D45" s="45" t="e">
        <x:f>IFERROR(IF($A45="","",INDEX(대장!$G$1:$G$501,$A45)),"")</x:f>
        <x:v>#NAME?</x:v>
      </x:c>
      <x:c r="E45" s="18" t="e">
        <x:f>IF($A45="","",IF(NOT(ISNUMBER(INDEX(대장!$F$1:$F$501,$A45))),"확인 필요",IF(AND(INDEX(대장!$G$1:$G$501,$A45)&lt;&gt;"",NOT(ISNUMBER(INDEX(대장!$G$1:$G$501,$A45)))),"확인 필요",IF(AND(ISNUMBER(INDEX(대장!$G$1:$G$501,$A45)),INDEX(대장!$G$1:$G$501,$A45)&lt;INDEX(대장!$F$1:$F$501,$A45)),"확인 필요",IF(INDEX(대장!$L$1:$L$501,$A45)&lt;&gt;"","메모 있음","정상")))))</x:f>
        <x:v>#NAME?</x:v>
      </x:c>
      <x:c r="F45" s="19" t="e">
        <x:f>IF($A45="","",IF($E45="확인 필요","시작일·종료일과 기간 순서를 확인해 주세요.",IF($E45="메모 있음",IFERROR(INDEX(대장!$L$1:$L$501,$A45),""),"")))</x:f>
        <x:v>#NAME?</x:v>
      </x:c>
    </x:row>
    <x:row r="46">
      <x:c r="A46" s="17" t="e">
        <x:f>IF(INDEX(대장!$A$1:$A$501,ROW()-2)="","",ROW()-2)</x:f>
        <x:v>#NAME?</x:v>
      </x:c>
      <x:c r="B46" s="18" t="e">
        <x:f>IF($A46="","",INDEX(대장!$A$1:$A$501,$A46))</x:f>
        <x:v>#NAME?</x:v>
      </x:c>
      <x:c r="C46" s="45" t="e">
        <x:f>IFERROR(IF($A46="","",INDEX(대장!$F$1:$F$501,$A46)),"")</x:f>
        <x:v>#NAME?</x:v>
      </x:c>
      <x:c r="D46" s="45" t="e">
        <x:f>IFERROR(IF($A46="","",INDEX(대장!$G$1:$G$501,$A46)),"")</x:f>
        <x:v>#NAME?</x:v>
      </x:c>
      <x:c r="E46" s="18" t="e">
        <x:f>IF($A46="","",IF(NOT(ISNUMBER(INDEX(대장!$F$1:$F$501,$A46))),"확인 필요",IF(AND(INDEX(대장!$G$1:$G$501,$A46)&lt;&gt;"",NOT(ISNUMBER(INDEX(대장!$G$1:$G$501,$A46)))),"확인 필요",IF(AND(ISNUMBER(INDEX(대장!$G$1:$G$501,$A46)),INDEX(대장!$G$1:$G$501,$A46)&lt;INDEX(대장!$F$1:$F$501,$A46)),"확인 필요",IF(INDEX(대장!$L$1:$L$501,$A46)&lt;&gt;"","메모 있음","정상")))))</x:f>
        <x:v>#NAME?</x:v>
      </x:c>
      <x:c r="F46" s="19" t="e">
        <x:f>IF($A46="","",IF($E46="확인 필요","시작일·종료일과 기간 순서를 확인해 주세요.",IF($E46="메모 있음",IFERROR(INDEX(대장!$L$1:$L$501,$A46),""),"")))</x:f>
        <x:v>#NAME?</x:v>
      </x:c>
    </x:row>
    <x:row r="47">
      <x:c r="A47" s="17" t="e">
        <x:f>IF(INDEX(대장!$A$1:$A$501,ROW()-2)="","",ROW()-2)</x:f>
        <x:v>#NAME?</x:v>
      </x:c>
      <x:c r="B47" s="18" t="e">
        <x:f>IF($A47="","",INDEX(대장!$A$1:$A$501,$A47))</x:f>
        <x:v>#NAME?</x:v>
      </x:c>
      <x:c r="C47" s="45" t="e">
        <x:f>IFERROR(IF($A47="","",INDEX(대장!$F$1:$F$501,$A47)),"")</x:f>
        <x:v>#NAME?</x:v>
      </x:c>
      <x:c r="D47" s="45" t="e">
        <x:f>IFERROR(IF($A47="","",INDEX(대장!$G$1:$G$501,$A47)),"")</x:f>
        <x:v>#NAME?</x:v>
      </x:c>
      <x:c r="E47" s="18" t="e">
        <x:f>IF($A47="","",IF(NOT(ISNUMBER(INDEX(대장!$F$1:$F$501,$A47))),"확인 필요",IF(AND(INDEX(대장!$G$1:$G$501,$A47)&lt;&gt;"",NOT(ISNUMBER(INDEX(대장!$G$1:$G$501,$A47)))),"확인 필요",IF(AND(ISNUMBER(INDEX(대장!$G$1:$G$501,$A47)),INDEX(대장!$G$1:$G$501,$A47)&lt;INDEX(대장!$F$1:$F$501,$A47)),"확인 필요",IF(INDEX(대장!$L$1:$L$501,$A47)&lt;&gt;"","메모 있음","정상")))))</x:f>
        <x:v>#NAME?</x:v>
      </x:c>
      <x:c r="F47" s="19" t="e">
        <x:f>IF($A47="","",IF($E47="확인 필요","시작일·종료일과 기간 순서를 확인해 주세요.",IF($E47="메모 있음",IFERROR(INDEX(대장!$L$1:$L$501,$A47),""),"")))</x:f>
        <x:v>#NAME?</x:v>
      </x:c>
    </x:row>
    <x:row r="48">
      <x:c r="A48" s="17" t="e">
        <x:f>IF(INDEX(대장!$A$1:$A$501,ROW()-2)="","",ROW()-2)</x:f>
        <x:v>#NAME?</x:v>
      </x:c>
      <x:c r="B48" s="18" t="e">
        <x:f>IF($A48="","",INDEX(대장!$A$1:$A$501,$A48))</x:f>
        <x:v>#NAME?</x:v>
      </x:c>
      <x:c r="C48" s="45" t="e">
        <x:f>IFERROR(IF($A48="","",INDEX(대장!$F$1:$F$501,$A48)),"")</x:f>
        <x:v>#NAME?</x:v>
      </x:c>
      <x:c r="D48" s="45" t="e">
        <x:f>IFERROR(IF($A48="","",INDEX(대장!$G$1:$G$501,$A48)),"")</x:f>
        <x:v>#NAME?</x:v>
      </x:c>
      <x:c r="E48" s="18" t="e">
        <x:f>IF($A48="","",IF(NOT(ISNUMBER(INDEX(대장!$F$1:$F$501,$A48))),"확인 필요",IF(AND(INDEX(대장!$G$1:$G$501,$A48)&lt;&gt;"",NOT(ISNUMBER(INDEX(대장!$G$1:$G$501,$A48)))),"확인 필요",IF(AND(ISNUMBER(INDEX(대장!$G$1:$G$501,$A48)),INDEX(대장!$G$1:$G$501,$A48)&lt;INDEX(대장!$F$1:$F$501,$A48)),"확인 필요",IF(INDEX(대장!$L$1:$L$501,$A48)&lt;&gt;"","메모 있음","정상")))))</x:f>
        <x:v>#NAME?</x:v>
      </x:c>
      <x:c r="F48" s="19" t="e">
        <x:f>IF($A48="","",IF($E48="확인 필요","시작일·종료일과 기간 순서를 확인해 주세요.",IF($E48="메모 있음",IFERROR(INDEX(대장!$L$1:$L$501,$A48),""),"")))</x:f>
        <x:v>#NAME?</x:v>
      </x:c>
    </x:row>
    <x:row r="49">
      <x:c r="A49" s="17" t="e">
        <x:f>IF(INDEX(대장!$A$1:$A$501,ROW()-2)="","",ROW()-2)</x:f>
        <x:v>#NAME?</x:v>
      </x:c>
      <x:c r="B49" s="18" t="e">
        <x:f>IF($A49="","",INDEX(대장!$A$1:$A$501,$A49))</x:f>
        <x:v>#NAME?</x:v>
      </x:c>
      <x:c r="C49" s="45" t="e">
        <x:f>IFERROR(IF($A49="","",INDEX(대장!$F$1:$F$501,$A49)),"")</x:f>
        <x:v>#NAME?</x:v>
      </x:c>
      <x:c r="D49" s="45" t="e">
        <x:f>IFERROR(IF($A49="","",INDEX(대장!$G$1:$G$501,$A49)),"")</x:f>
        <x:v>#NAME?</x:v>
      </x:c>
      <x:c r="E49" s="18" t="e">
        <x:f>IF($A49="","",IF(NOT(ISNUMBER(INDEX(대장!$F$1:$F$501,$A49))),"확인 필요",IF(AND(INDEX(대장!$G$1:$G$501,$A49)&lt;&gt;"",NOT(ISNUMBER(INDEX(대장!$G$1:$G$501,$A49)))),"확인 필요",IF(AND(ISNUMBER(INDEX(대장!$G$1:$G$501,$A49)),INDEX(대장!$G$1:$G$501,$A49)&lt;INDEX(대장!$F$1:$F$501,$A49)),"확인 필요",IF(INDEX(대장!$L$1:$L$501,$A49)&lt;&gt;"","메모 있음","정상")))))</x:f>
        <x:v>#NAME?</x:v>
      </x:c>
      <x:c r="F49" s="19" t="e">
        <x:f>IF($A49="","",IF($E49="확인 필요","시작일·종료일과 기간 순서를 확인해 주세요.",IF($E49="메모 있음",IFERROR(INDEX(대장!$L$1:$L$501,$A49),""),"")))</x:f>
        <x:v>#NAME?</x:v>
      </x:c>
    </x:row>
    <x:row r="50">
      <x:c r="A50" s="17" t="e">
        <x:f>IF(INDEX(대장!$A$1:$A$501,ROW()-2)="","",ROW()-2)</x:f>
        <x:v>#NAME?</x:v>
      </x:c>
      <x:c r="B50" s="18" t="e">
        <x:f>IF($A50="","",INDEX(대장!$A$1:$A$501,$A50))</x:f>
        <x:v>#NAME?</x:v>
      </x:c>
      <x:c r="C50" s="45" t="e">
        <x:f>IFERROR(IF($A50="","",INDEX(대장!$F$1:$F$501,$A50)),"")</x:f>
        <x:v>#NAME?</x:v>
      </x:c>
      <x:c r="D50" s="45" t="e">
        <x:f>IFERROR(IF($A50="","",INDEX(대장!$G$1:$G$501,$A50)),"")</x:f>
        <x:v>#NAME?</x:v>
      </x:c>
      <x:c r="E50" s="18" t="e">
        <x:f>IF($A50="","",IF(NOT(ISNUMBER(INDEX(대장!$F$1:$F$501,$A50))),"확인 필요",IF(AND(INDEX(대장!$G$1:$G$501,$A50)&lt;&gt;"",NOT(ISNUMBER(INDEX(대장!$G$1:$G$501,$A50)))),"확인 필요",IF(AND(ISNUMBER(INDEX(대장!$G$1:$G$501,$A50)),INDEX(대장!$G$1:$G$501,$A50)&lt;INDEX(대장!$F$1:$F$501,$A50)),"확인 필요",IF(INDEX(대장!$L$1:$L$501,$A50)&lt;&gt;"","메모 있음","정상")))))</x:f>
        <x:v>#NAME?</x:v>
      </x:c>
      <x:c r="F50" s="19" t="e">
        <x:f>IF($A50="","",IF($E50="확인 필요","시작일·종료일과 기간 순서를 확인해 주세요.",IF($E50="메모 있음",IFERROR(INDEX(대장!$L$1:$L$501,$A50),""),"")))</x:f>
        <x:v>#NAME?</x:v>
      </x:c>
    </x:row>
    <x:row r="51">
      <x:c r="A51" s="17" t="e">
        <x:f>IF(INDEX(대장!$A$1:$A$501,ROW()-2)="","",ROW()-2)</x:f>
        <x:v>#NAME?</x:v>
      </x:c>
      <x:c r="B51" s="18" t="e">
        <x:f>IF($A51="","",INDEX(대장!$A$1:$A$501,$A51))</x:f>
        <x:v>#NAME?</x:v>
      </x:c>
      <x:c r="C51" s="45" t="e">
        <x:f>IFERROR(IF($A51="","",INDEX(대장!$F$1:$F$501,$A51)),"")</x:f>
        <x:v>#NAME?</x:v>
      </x:c>
      <x:c r="D51" s="45" t="e">
        <x:f>IFERROR(IF($A51="","",INDEX(대장!$G$1:$G$501,$A51)),"")</x:f>
        <x:v>#NAME?</x:v>
      </x:c>
      <x:c r="E51" s="18" t="e">
        <x:f>IF($A51="","",IF(NOT(ISNUMBER(INDEX(대장!$F$1:$F$501,$A51))),"확인 필요",IF(AND(INDEX(대장!$G$1:$G$501,$A51)&lt;&gt;"",NOT(ISNUMBER(INDEX(대장!$G$1:$G$501,$A51)))),"확인 필요",IF(AND(ISNUMBER(INDEX(대장!$G$1:$G$501,$A51)),INDEX(대장!$G$1:$G$501,$A51)&lt;INDEX(대장!$F$1:$F$501,$A51)),"확인 필요",IF(INDEX(대장!$L$1:$L$501,$A51)&lt;&gt;"","메모 있음","정상")))))</x:f>
        <x:v>#NAME?</x:v>
      </x:c>
      <x:c r="F51" s="19" t="e">
        <x:f>IF($A51="","",IF($E51="확인 필요","시작일·종료일과 기간 순서를 확인해 주세요.",IF($E51="메모 있음",IFERROR(INDEX(대장!$L$1:$L$501,$A51),""),"")))</x:f>
        <x:v>#NAME?</x:v>
      </x:c>
    </x:row>
    <x:row r="52">
      <x:c r="A52" s="17" t="e">
        <x:f>IF(INDEX(대장!$A$1:$A$501,ROW()-2)="","",ROW()-2)</x:f>
        <x:v>#NAME?</x:v>
      </x:c>
      <x:c r="B52" s="18" t="e">
        <x:f>IF($A52="","",INDEX(대장!$A$1:$A$501,$A52))</x:f>
        <x:v>#NAME?</x:v>
      </x:c>
      <x:c r="C52" s="45" t="e">
        <x:f>IFERROR(IF($A52="","",INDEX(대장!$F$1:$F$501,$A52)),"")</x:f>
        <x:v>#NAME?</x:v>
      </x:c>
      <x:c r="D52" s="45" t="e">
        <x:f>IFERROR(IF($A52="","",INDEX(대장!$G$1:$G$501,$A52)),"")</x:f>
        <x:v>#NAME?</x:v>
      </x:c>
      <x:c r="E52" s="18" t="e">
        <x:f>IF($A52="","",IF(NOT(ISNUMBER(INDEX(대장!$F$1:$F$501,$A52))),"확인 필요",IF(AND(INDEX(대장!$G$1:$G$501,$A52)&lt;&gt;"",NOT(ISNUMBER(INDEX(대장!$G$1:$G$501,$A52)))),"확인 필요",IF(AND(ISNUMBER(INDEX(대장!$G$1:$G$501,$A52)),INDEX(대장!$G$1:$G$501,$A52)&lt;INDEX(대장!$F$1:$F$501,$A52)),"확인 필요",IF(INDEX(대장!$L$1:$L$501,$A52)&lt;&gt;"","메모 있음","정상")))))</x:f>
        <x:v>#NAME?</x:v>
      </x:c>
      <x:c r="F52" s="19" t="e">
        <x:f>IF($A52="","",IF($E52="확인 필요","시작일·종료일과 기간 순서를 확인해 주세요.",IF($E52="메모 있음",IFERROR(INDEX(대장!$L$1:$L$501,$A52),""),"")))</x:f>
        <x:v>#NAME?</x:v>
      </x:c>
    </x:row>
    <x:row r="53">
      <x:c r="A53" s="17" t="e">
        <x:f>IF(INDEX(대장!$A$1:$A$501,ROW()-2)="","",ROW()-2)</x:f>
        <x:v>#NAME?</x:v>
      </x:c>
      <x:c r="B53" s="18" t="e">
        <x:f>IF($A53="","",INDEX(대장!$A$1:$A$501,$A53))</x:f>
        <x:v>#NAME?</x:v>
      </x:c>
      <x:c r="C53" s="45" t="e">
        <x:f>IFERROR(IF($A53="","",INDEX(대장!$F$1:$F$501,$A53)),"")</x:f>
        <x:v>#NAME?</x:v>
      </x:c>
      <x:c r="D53" s="45" t="e">
        <x:f>IFERROR(IF($A53="","",INDEX(대장!$G$1:$G$501,$A53)),"")</x:f>
        <x:v>#NAME?</x:v>
      </x:c>
      <x:c r="E53" s="18" t="e">
        <x:f>IF($A53="","",IF(NOT(ISNUMBER(INDEX(대장!$F$1:$F$501,$A53))),"확인 필요",IF(AND(INDEX(대장!$G$1:$G$501,$A53)&lt;&gt;"",NOT(ISNUMBER(INDEX(대장!$G$1:$G$501,$A53)))),"확인 필요",IF(AND(ISNUMBER(INDEX(대장!$G$1:$G$501,$A53)),INDEX(대장!$G$1:$G$501,$A53)&lt;INDEX(대장!$F$1:$F$501,$A53)),"확인 필요",IF(INDEX(대장!$L$1:$L$501,$A53)&lt;&gt;"","메모 있음","정상")))))</x:f>
        <x:v>#NAME?</x:v>
      </x:c>
      <x:c r="F53" s="19" t="e">
        <x:f>IF($A53="","",IF($E53="확인 필요","시작일·종료일과 기간 순서를 확인해 주세요.",IF($E53="메모 있음",IFERROR(INDEX(대장!$L$1:$L$501,$A53),""),"")))</x:f>
        <x:v>#NAME?</x:v>
      </x:c>
    </x:row>
    <x:row r="54">
      <x:c r="A54" s="17" t="e">
        <x:f>IF(INDEX(대장!$A$1:$A$501,ROW()-2)="","",ROW()-2)</x:f>
        <x:v>#NAME?</x:v>
      </x:c>
      <x:c r="B54" s="18" t="e">
        <x:f>IF($A54="","",INDEX(대장!$A$1:$A$501,$A54))</x:f>
        <x:v>#NAME?</x:v>
      </x:c>
      <x:c r="C54" s="45" t="e">
        <x:f>IFERROR(IF($A54="","",INDEX(대장!$F$1:$F$501,$A54)),"")</x:f>
        <x:v>#NAME?</x:v>
      </x:c>
      <x:c r="D54" s="45" t="e">
        <x:f>IFERROR(IF($A54="","",INDEX(대장!$G$1:$G$501,$A54)),"")</x:f>
        <x:v>#NAME?</x:v>
      </x:c>
      <x:c r="E54" s="18" t="e">
        <x:f>IF($A54="","",IF(NOT(ISNUMBER(INDEX(대장!$F$1:$F$501,$A54))),"확인 필요",IF(AND(INDEX(대장!$G$1:$G$501,$A54)&lt;&gt;"",NOT(ISNUMBER(INDEX(대장!$G$1:$G$501,$A54)))),"확인 필요",IF(AND(ISNUMBER(INDEX(대장!$G$1:$G$501,$A54)),INDEX(대장!$G$1:$G$501,$A54)&lt;INDEX(대장!$F$1:$F$501,$A54)),"확인 필요",IF(INDEX(대장!$L$1:$L$501,$A54)&lt;&gt;"","메모 있음","정상")))))</x:f>
        <x:v>#NAME?</x:v>
      </x:c>
      <x:c r="F54" s="19" t="e">
        <x:f>IF($A54="","",IF($E54="확인 필요","시작일·종료일과 기간 순서를 확인해 주세요.",IF($E54="메모 있음",IFERROR(INDEX(대장!$L$1:$L$501,$A54),""),"")))</x:f>
        <x:v>#NAME?</x:v>
      </x:c>
    </x:row>
    <x:row r="55">
      <x:c r="A55" s="17" t="e">
        <x:f>IF(INDEX(대장!$A$1:$A$501,ROW()-2)="","",ROW()-2)</x:f>
        <x:v>#NAME?</x:v>
      </x:c>
      <x:c r="B55" s="18" t="e">
        <x:f>IF($A55="","",INDEX(대장!$A$1:$A$501,$A55))</x:f>
        <x:v>#NAME?</x:v>
      </x:c>
      <x:c r="C55" s="45" t="e">
        <x:f>IFERROR(IF($A55="","",INDEX(대장!$F$1:$F$501,$A55)),"")</x:f>
        <x:v>#NAME?</x:v>
      </x:c>
      <x:c r="D55" s="45" t="e">
        <x:f>IFERROR(IF($A55="","",INDEX(대장!$G$1:$G$501,$A55)),"")</x:f>
        <x:v>#NAME?</x:v>
      </x:c>
      <x:c r="E55" s="18" t="e">
        <x:f>IF($A55="","",IF(NOT(ISNUMBER(INDEX(대장!$F$1:$F$501,$A55))),"확인 필요",IF(AND(INDEX(대장!$G$1:$G$501,$A55)&lt;&gt;"",NOT(ISNUMBER(INDEX(대장!$G$1:$G$501,$A55)))),"확인 필요",IF(AND(ISNUMBER(INDEX(대장!$G$1:$G$501,$A55)),INDEX(대장!$G$1:$G$501,$A55)&lt;INDEX(대장!$F$1:$F$501,$A55)),"확인 필요",IF(INDEX(대장!$L$1:$L$501,$A55)&lt;&gt;"","메모 있음","정상")))))</x:f>
        <x:v>#NAME?</x:v>
      </x:c>
      <x:c r="F55" s="19" t="e">
        <x:f>IF($A55="","",IF($E55="확인 필요","시작일·종료일과 기간 순서를 확인해 주세요.",IF($E55="메모 있음",IFERROR(INDEX(대장!$L$1:$L$501,$A55),""),"")))</x:f>
        <x:v>#NAME?</x:v>
      </x:c>
    </x:row>
    <x:row r="56">
      <x:c r="A56" s="17" t="e">
        <x:f>IF(INDEX(대장!$A$1:$A$501,ROW()-2)="","",ROW()-2)</x:f>
        <x:v>#NAME?</x:v>
      </x:c>
      <x:c r="B56" s="18" t="e">
        <x:f>IF($A56="","",INDEX(대장!$A$1:$A$501,$A56))</x:f>
        <x:v>#NAME?</x:v>
      </x:c>
      <x:c r="C56" s="45" t="e">
        <x:f>IFERROR(IF($A56="","",INDEX(대장!$F$1:$F$501,$A56)),"")</x:f>
        <x:v>#NAME?</x:v>
      </x:c>
      <x:c r="D56" s="45" t="e">
        <x:f>IFERROR(IF($A56="","",INDEX(대장!$G$1:$G$501,$A56)),"")</x:f>
        <x:v>#NAME?</x:v>
      </x:c>
      <x:c r="E56" s="18" t="e">
        <x:f>IF($A56="","",IF(NOT(ISNUMBER(INDEX(대장!$F$1:$F$501,$A56))),"확인 필요",IF(AND(INDEX(대장!$G$1:$G$501,$A56)&lt;&gt;"",NOT(ISNUMBER(INDEX(대장!$G$1:$G$501,$A56)))),"확인 필요",IF(AND(ISNUMBER(INDEX(대장!$G$1:$G$501,$A56)),INDEX(대장!$G$1:$G$501,$A56)&lt;INDEX(대장!$F$1:$F$501,$A56)),"확인 필요",IF(INDEX(대장!$L$1:$L$501,$A56)&lt;&gt;"","메모 있음","정상")))))</x:f>
        <x:v>#NAME?</x:v>
      </x:c>
      <x:c r="F56" s="19" t="e">
        <x:f>IF($A56="","",IF($E56="확인 필요","시작일·종료일과 기간 순서를 확인해 주세요.",IF($E56="메모 있음",IFERROR(INDEX(대장!$L$1:$L$501,$A56),""),"")))</x:f>
        <x:v>#NAME?</x:v>
      </x:c>
    </x:row>
    <x:row r="57">
      <x:c r="A57" s="17" t="e">
        <x:f>IF(INDEX(대장!$A$1:$A$501,ROW()-2)="","",ROW()-2)</x:f>
        <x:v>#NAME?</x:v>
      </x:c>
      <x:c r="B57" s="18" t="e">
        <x:f>IF($A57="","",INDEX(대장!$A$1:$A$501,$A57))</x:f>
        <x:v>#NAME?</x:v>
      </x:c>
      <x:c r="C57" s="45" t="e">
        <x:f>IFERROR(IF($A57="","",INDEX(대장!$F$1:$F$501,$A57)),"")</x:f>
        <x:v>#NAME?</x:v>
      </x:c>
      <x:c r="D57" s="45" t="e">
        <x:f>IFERROR(IF($A57="","",INDEX(대장!$G$1:$G$501,$A57)),"")</x:f>
        <x:v>#NAME?</x:v>
      </x:c>
      <x:c r="E57" s="18" t="e">
        <x:f>IF($A57="","",IF(NOT(ISNUMBER(INDEX(대장!$F$1:$F$501,$A57))),"확인 필요",IF(AND(INDEX(대장!$G$1:$G$501,$A57)&lt;&gt;"",NOT(ISNUMBER(INDEX(대장!$G$1:$G$501,$A57)))),"확인 필요",IF(AND(ISNUMBER(INDEX(대장!$G$1:$G$501,$A57)),INDEX(대장!$G$1:$G$501,$A57)&lt;INDEX(대장!$F$1:$F$501,$A57)),"확인 필요",IF(INDEX(대장!$L$1:$L$501,$A57)&lt;&gt;"","메모 있음","정상")))))</x:f>
        <x:v>#NAME?</x:v>
      </x:c>
      <x:c r="F57" s="19" t="e">
        <x:f>IF($A57="","",IF($E57="확인 필요","시작일·종료일과 기간 순서를 확인해 주세요.",IF($E57="메모 있음",IFERROR(INDEX(대장!$L$1:$L$501,$A57),""),"")))</x:f>
        <x:v>#NAME?</x:v>
      </x:c>
    </x:row>
    <x:row r="58">
      <x:c r="A58" s="17" t="e">
        <x:f>IF(INDEX(대장!$A$1:$A$501,ROW()-2)="","",ROW()-2)</x:f>
        <x:v>#NAME?</x:v>
      </x:c>
      <x:c r="B58" s="18" t="e">
        <x:f>IF($A58="","",INDEX(대장!$A$1:$A$501,$A58))</x:f>
        <x:v>#NAME?</x:v>
      </x:c>
      <x:c r="C58" s="45" t="e">
        <x:f>IFERROR(IF($A58="","",INDEX(대장!$F$1:$F$501,$A58)),"")</x:f>
        <x:v>#NAME?</x:v>
      </x:c>
      <x:c r="D58" s="45" t="e">
        <x:f>IFERROR(IF($A58="","",INDEX(대장!$G$1:$G$501,$A58)),"")</x:f>
        <x:v>#NAME?</x:v>
      </x:c>
      <x:c r="E58" s="18" t="e">
        <x:f>IF($A58="","",IF(NOT(ISNUMBER(INDEX(대장!$F$1:$F$501,$A58))),"확인 필요",IF(AND(INDEX(대장!$G$1:$G$501,$A58)&lt;&gt;"",NOT(ISNUMBER(INDEX(대장!$G$1:$G$501,$A58)))),"확인 필요",IF(AND(ISNUMBER(INDEX(대장!$G$1:$G$501,$A58)),INDEX(대장!$G$1:$G$501,$A58)&lt;INDEX(대장!$F$1:$F$501,$A58)),"확인 필요",IF(INDEX(대장!$L$1:$L$501,$A58)&lt;&gt;"","메모 있음","정상")))))</x:f>
        <x:v>#NAME?</x:v>
      </x:c>
      <x:c r="F58" s="19" t="e">
        <x:f>IF($A58="","",IF($E58="확인 필요","시작일·종료일과 기간 순서를 확인해 주세요.",IF($E58="메모 있음",IFERROR(INDEX(대장!$L$1:$L$501,$A58),""),"")))</x:f>
        <x:v>#NAME?</x:v>
      </x:c>
    </x:row>
    <x:row r="59">
      <x:c r="A59" s="17" t="e">
        <x:f>IF(INDEX(대장!$A$1:$A$501,ROW()-2)="","",ROW()-2)</x:f>
        <x:v>#NAME?</x:v>
      </x:c>
      <x:c r="B59" s="18" t="e">
        <x:f>IF($A59="","",INDEX(대장!$A$1:$A$501,$A59))</x:f>
        <x:v>#NAME?</x:v>
      </x:c>
      <x:c r="C59" s="45" t="e">
        <x:f>IFERROR(IF($A59="","",INDEX(대장!$F$1:$F$501,$A59)),"")</x:f>
        <x:v>#NAME?</x:v>
      </x:c>
      <x:c r="D59" s="45" t="e">
        <x:f>IFERROR(IF($A59="","",INDEX(대장!$G$1:$G$501,$A59)),"")</x:f>
        <x:v>#NAME?</x:v>
      </x:c>
      <x:c r="E59" s="18" t="e">
        <x:f>IF($A59="","",IF(NOT(ISNUMBER(INDEX(대장!$F$1:$F$501,$A59))),"확인 필요",IF(AND(INDEX(대장!$G$1:$G$501,$A59)&lt;&gt;"",NOT(ISNUMBER(INDEX(대장!$G$1:$G$501,$A59)))),"확인 필요",IF(AND(ISNUMBER(INDEX(대장!$G$1:$G$501,$A59)),INDEX(대장!$G$1:$G$501,$A59)&lt;INDEX(대장!$F$1:$F$501,$A59)),"확인 필요",IF(INDEX(대장!$L$1:$L$501,$A59)&lt;&gt;"","메모 있음","정상")))))</x:f>
        <x:v>#NAME?</x:v>
      </x:c>
      <x:c r="F59" s="19" t="e">
        <x:f>IF($A59="","",IF($E59="확인 필요","시작일·종료일과 기간 순서를 확인해 주세요.",IF($E59="메모 있음",IFERROR(INDEX(대장!$L$1:$L$501,$A59),""),"")))</x:f>
        <x:v>#NAME?</x:v>
      </x:c>
    </x:row>
    <x:row r="60">
      <x:c r="A60" s="17" t="e">
        <x:f>IF(INDEX(대장!$A$1:$A$501,ROW()-2)="","",ROW()-2)</x:f>
        <x:v>#NAME?</x:v>
      </x:c>
      <x:c r="B60" s="18" t="e">
        <x:f>IF($A60="","",INDEX(대장!$A$1:$A$501,$A60))</x:f>
        <x:v>#NAME?</x:v>
      </x:c>
      <x:c r="C60" s="45" t="e">
        <x:f>IFERROR(IF($A60="","",INDEX(대장!$F$1:$F$501,$A60)),"")</x:f>
        <x:v>#NAME?</x:v>
      </x:c>
      <x:c r="D60" s="45" t="e">
        <x:f>IFERROR(IF($A60="","",INDEX(대장!$G$1:$G$501,$A60)),"")</x:f>
        <x:v>#NAME?</x:v>
      </x:c>
      <x:c r="E60" s="18" t="e">
        <x:f>IF($A60="","",IF(NOT(ISNUMBER(INDEX(대장!$F$1:$F$501,$A60))),"확인 필요",IF(AND(INDEX(대장!$G$1:$G$501,$A60)&lt;&gt;"",NOT(ISNUMBER(INDEX(대장!$G$1:$G$501,$A60)))),"확인 필요",IF(AND(ISNUMBER(INDEX(대장!$G$1:$G$501,$A60)),INDEX(대장!$G$1:$G$501,$A60)&lt;INDEX(대장!$F$1:$F$501,$A60)),"확인 필요",IF(INDEX(대장!$L$1:$L$501,$A60)&lt;&gt;"","메모 있음","정상")))))</x:f>
        <x:v>#NAME?</x:v>
      </x:c>
      <x:c r="F60" s="19" t="e">
        <x:f>IF($A60="","",IF($E60="확인 필요","시작일·종료일과 기간 순서를 확인해 주세요.",IF($E60="메모 있음",IFERROR(INDEX(대장!$L$1:$L$501,$A60),""),"")))</x:f>
        <x:v>#NAME?</x:v>
      </x:c>
    </x:row>
    <x:row r="61">
      <x:c r="A61" s="17" t="e">
        <x:f>IF(INDEX(대장!$A$1:$A$501,ROW()-2)="","",ROW()-2)</x:f>
        <x:v>#NAME?</x:v>
      </x:c>
      <x:c r="B61" s="18" t="e">
        <x:f>IF($A61="","",INDEX(대장!$A$1:$A$501,$A61))</x:f>
        <x:v>#NAME?</x:v>
      </x:c>
      <x:c r="C61" s="45" t="e">
        <x:f>IFERROR(IF($A61="","",INDEX(대장!$F$1:$F$501,$A61)),"")</x:f>
        <x:v>#NAME?</x:v>
      </x:c>
      <x:c r="D61" s="45" t="e">
        <x:f>IFERROR(IF($A61="","",INDEX(대장!$G$1:$G$501,$A61)),"")</x:f>
        <x:v>#NAME?</x:v>
      </x:c>
      <x:c r="E61" s="18" t="e">
        <x:f>IF($A61="","",IF(NOT(ISNUMBER(INDEX(대장!$F$1:$F$501,$A61))),"확인 필요",IF(AND(INDEX(대장!$G$1:$G$501,$A61)&lt;&gt;"",NOT(ISNUMBER(INDEX(대장!$G$1:$G$501,$A61)))),"확인 필요",IF(AND(ISNUMBER(INDEX(대장!$G$1:$G$501,$A61)),INDEX(대장!$G$1:$G$501,$A61)&lt;INDEX(대장!$F$1:$F$501,$A61)),"확인 필요",IF(INDEX(대장!$L$1:$L$501,$A61)&lt;&gt;"","메모 있음","정상")))))</x:f>
        <x:v>#NAME?</x:v>
      </x:c>
      <x:c r="F61" s="19" t="e">
        <x:f>IF($A61="","",IF($E61="확인 필요","시작일·종료일과 기간 순서를 확인해 주세요.",IF($E61="메모 있음",IFERROR(INDEX(대장!$L$1:$L$501,$A61),""),"")))</x:f>
        <x:v>#NAME?</x:v>
      </x:c>
    </x:row>
    <x:row r="62">
      <x:c r="A62" s="17" t="e">
        <x:f>IF(INDEX(대장!$A$1:$A$501,ROW()-2)="","",ROW()-2)</x:f>
        <x:v>#NAME?</x:v>
      </x:c>
      <x:c r="B62" s="18" t="e">
        <x:f>IF($A62="","",INDEX(대장!$A$1:$A$501,$A62))</x:f>
        <x:v>#NAME?</x:v>
      </x:c>
      <x:c r="C62" s="45" t="e">
        <x:f>IFERROR(IF($A62="","",INDEX(대장!$F$1:$F$501,$A62)),"")</x:f>
        <x:v>#NAME?</x:v>
      </x:c>
      <x:c r="D62" s="45" t="e">
        <x:f>IFERROR(IF($A62="","",INDEX(대장!$G$1:$G$501,$A62)),"")</x:f>
        <x:v>#NAME?</x:v>
      </x:c>
      <x:c r="E62" s="18" t="e">
        <x:f>IF($A62="","",IF(NOT(ISNUMBER(INDEX(대장!$F$1:$F$501,$A62))),"확인 필요",IF(AND(INDEX(대장!$G$1:$G$501,$A62)&lt;&gt;"",NOT(ISNUMBER(INDEX(대장!$G$1:$G$501,$A62)))),"확인 필요",IF(AND(ISNUMBER(INDEX(대장!$G$1:$G$501,$A62)),INDEX(대장!$G$1:$G$501,$A62)&lt;INDEX(대장!$F$1:$F$501,$A62)),"확인 필요",IF(INDEX(대장!$L$1:$L$501,$A62)&lt;&gt;"","메모 있음","정상")))))</x:f>
        <x:v>#NAME?</x:v>
      </x:c>
      <x:c r="F62" s="19" t="e">
        <x:f>IF($A62="","",IF($E62="확인 필요","시작일·종료일과 기간 순서를 확인해 주세요.",IF($E62="메모 있음",IFERROR(INDEX(대장!$L$1:$L$501,$A62),""),"")))</x:f>
        <x:v>#NAME?</x:v>
      </x:c>
    </x:row>
    <x:row r="63">
      <x:c r="A63" s="17" t="e">
        <x:f>IF(INDEX(대장!$A$1:$A$501,ROW()-2)="","",ROW()-2)</x:f>
        <x:v>#NAME?</x:v>
      </x:c>
      <x:c r="B63" s="18" t="e">
        <x:f>IF($A63="","",INDEX(대장!$A$1:$A$501,$A63))</x:f>
        <x:v>#NAME?</x:v>
      </x:c>
      <x:c r="C63" s="45" t="e">
        <x:f>IFERROR(IF($A63="","",INDEX(대장!$F$1:$F$501,$A63)),"")</x:f>
        <x:v>#NAME?</x:v>
      </x:c>
      <x:c r="D63" s="45" t="e">
        <x:f>IFERROR(IF($A63="","",INDEX(대장!$G$1:$G$501,$A63)),"")</x:f>
        <x:v>#NAME?</x:v>
      </x:c>
      <x:c r="E63" s="18" t="e">
        <x:f>IF($A63="","",IF(NOT(ISNUMBER(INDEX(대장!$F$1:$F$501,$A63))),"확인 필요",IF(AND(INDEX(대장!$G$1:$G$501,$A63)&lt;&gt;"",NOT(ISNUMBER(INDEX(대장!$G$1:$G$501,$A63)))),"확인 필요",IF(AND(ISNUMBER(INDEX(대장!$G$1:$G$501,$A63)),INDEX(대장!$G$1:$G$501,$A63)&lt;INDEX(대장!$F$1:$F$501,$A63)),"확인 필요",IF(INDEX(대장!$L$1:$L$501,$A63)&lt;&gt;"","메모 있음","정상")))))</x:f>
        <x:v>#NAME?</x:v>
      </x:c>
      <x:c r="F63" s="19" t="e">
        <x:f>IF($A63="","",IF($E63="확인 필요","시작일·종료일과 기간 순서를 확인해 주세요.",IF($E63="메모 있음",IFERROR(INDEX(대장!$L$1:$L$501,$A63),""),"")))</x:f>
        <x:v>#NAME?</x:v>
      </x:c>
    </x:row>
    <x:row r="64">
      <x:c r="A64" s="17" t="e">
        <x:f>IF(INDEX(대장!$A$1:$A$501,ROW()-2)="","",ROW()-2)</x:f>
        <x:v>#NAME?</x:v>
      </x:c>
      <x:c r="B64" s="18" t="e">
        <x:f>IF($A64="","",INDEX(대장!$A$1:$A$501,$A64))</x:f>
        <x:v>#NAME?</x:v>
      </x:c>
      <x:c r="C64" s="45" t="e">
        <x:f>IFERROR(IF($A64="","",INDEX(대장!$F$1:$F$501,$A64)),"")</x:f>
        <x:v>#NAME?</x:v>
      </x:c>
      <x:c r="D64" s="45" t="e">
        <x:f>IFERROR(IF($A64="","",INDEX(대장!$G$1:$G$501,$A64)),"")</x:f>
        <x:v>#NAME?</x:v>
      </x:c>
      <x:c r="E64" s="18" t="e">
        <x:f>IF($A64="","",IF(NOT(ISNUMBER(INDEX(대장!$F$1:$F$501,$A64))),"확인 필요",IF(AND(INDEX(대장!$G$1:$G$501,$A64)&lt;&gt;"",NOT(ISNUMBER(INDEX(대장!$G$1:$G$501,$A64)))),"확인 필요",IF(AND(ISNUMBER(INDEX(대장!$G$1:$G$501,$A64)),INDEX(대장!$G$1:$G$501,$A64)&lt;INDEX(대장!$F$1:$F$501,$A64)),"확인 필요",IF(INDEX(대장!$L$1:$L$501,$A64)&lt;&gt;"","메모 있음","정상")))))</x:f>
        <x:v>#NAME?</x:v>
      </x:c>
      <x:c r="F64" s="19" t="e">
        <x:f>IF($A64="","",IF($E64="확인 필요","시작일·종료일과 기간 순서를 확인해 주세요.",IF($E64="메모 있음",IFERROR(INDEX(대장!$L$1:$L$501,$A64),""),"")))</x:f>
        <x:v>#NAME?</x:v>
      </x:c>
    </x:row>
    <x:row r="65">
      <x:c r="A65" s="17" t="e">
        <x:f>IF(INDEX(대장!$A$1:$A$501,ROW()-2)="","",ROW()-2)</x:f>
        <x:v>#NAME?</x:v>
      </x:c>
      <x:c r="B65" s="18" t="e">
        <x:f>IF($A65="","",INDEX(대장!$A$1:$A$501,$A65))</x:f>
        <x:v>#NAME?</x:v>
      </x:c>
      <x:c r="C65" s="45" t="e">
        <x:f>IFERROR(IF($A65="","",INDEX(대장!$F$1:$F$501,$A65)),"")</x:f>
        <x:v>#NAME?</x:v>
      </x:c>
      <x:c r="D65" s="45" t="e">
        <x:f>IFERROR(IF($A65="","",INDEX(대장!$G$1:$G$501,$A65)),"")</x:f>
        <x:v>#NAME?</x:v>
      </x:c>
      <x:c r="E65" s="18" t="e">
        <x:f>IF($A65="","",IF(NOT(ISNUMBER(INDEX(대장!$F$1:$F$501,$A65))),"확인 필요",IF(AND(INDEX(대장!$G$1:$G$501,$A65)&lt;&gt;"",NOT(ISNUMBER(INDEX(대장!$G$1:$G$501,$A65)))),"확인 필요",IF(AND(ISNUMBER(INDEX(대장!$G$1:$G$501,$A65)),INDEX(대장!$G$1:$G$501,$A65)&lt;INDEX(대장!$F$1:$F$501,$A65)),"확인 필요",IF(INDEX(대장!$L$1:$L$501,$A65)&lt;&gt;"","메모 있음","정상")))))</x:f>
        <x:v>#NAME?</x:v>
      </x:c>
      <x:c r="F65" s="19" t="e">
        <x:f>IF($A65="","",IF($E65="확인 필요","시작일·종료일과 기간 순서를 확인해 주세요.",IF($E65="메모 있음",IFERROR(INDEX(대장!$L$1:$L$501,$A65),""),"")))</x:f>
        <x:v>#NAME?</x:v>
      </x:c>
    </x:row>
    <x:row r="66">
      <x:c r="A66" s="17" t="e">
        <x:f>IF(INDEX(대장!$A$1:$A$501,ROW()-2)="","",ROW()-2)</x:f>
        <x:v>#NAME?</x:v>
      </x:c>
      <x:c r="B66" s="18" t="e">
        <x:f>IF($A66="","",INDEX(대장!$A$1:$A$501,$A66))</x:f>
        <x:v>#NAME?</x:v>
      </x:c>
      <x:c r="C66" s="45" t="e">
        <x:f>IFERROR(IF($A66="","",INDEX(대장!$F$1:$F$501,$A66)),"")</x:f>
        <x:v>#NAME?</x:v>
      </x:c>
      <x:c r="D66" s="45" t="e">
        <x:f>IFERROR(IF($A66="","",INDEX(대장!$G$1:$G$501,$A66)),"")</x:f>
        <x:v>#NAME?</x:v>
      </x:c>
      <x:c r="E66" s="18" t="e">
        <x:f>IF($A66="","",IF(NOT(ISNUMBER(INDEX(대장!$F$1:$F$501,$A66))),"확인 필요",IF(AND(INDEX(대장!$G$1:$G$501,$A66)&lt;&gt;"",NOT(ISNUMBER(INDEX(대장!$G$1:$G$501,$A66)))),"확인 필요",IF(AND(ISNUMBER(INDEX(대장!$G$1:$G$501,$A66)),INDEX(대장!$G$1:$G$501,$A66)&lt;INDEX(대장!$F$1:$F$501,$A66)),"확인 필요",IF(INDEX(대장!$L$1:$L$501,$A66)&lt;&gt;"","메모 있음","정상")))))</x:f>
        <x:v>#NAME?</x:v>
      </x:c>
      <x:c r="F66" s="19" t="e">
        <x:f>IF($A66="","",IF($E66="확인 필요","시작일·종료일과 기간 순서를 확인해 주세요.",IF($E66="메모 있음",IFERROR(INDEX(대장!$L$1:$L$501,$A66),""),"")))</x:f>
        <x:v>#NAME?</x:v>
      </x:c>
    </x:row>
    <x:row r="67">
      <x:c r="A67" s="17" t="e">
        <x:f>IF(INDEX(대장!$A$1:$A$501,ROW()-2)="","",ROW()-2)</x:f>
        <x:v>#NAME?</x:v>
      </x:c>
      <x:c r="B67" s="18" t="e">
        <x:f>IF($A67="","",INDEX(대장!$A$1:$A$501,$A67))</x:f>
        <x:v>#NAME?</x:v>
      </x:c>
      <x:c r="C67" s="45" t="e">
        <x:f>IFERROR(IF($A67="","",INDEX(대장!$F$1:$F$501,$A67)),"")</x:f>
        <x:v>#NAME?</x:v>
      </x:c>
      <x:c r="D67" s="45" t="e">
        <x:f>IFERROR(IF($A67="","",INDEX(대장!$G$1:$G$501,$A67)),"")</x:f>
        <x:v>#NAME?</x:v>
      </x:c>
      <x:c r="E67" s="18" t="e">
        <x:f>IF($A67="","",IF(NOT(ISNUMBER(INDEX(대장!$F$1:$F$501,$A67))),"확인 필요",IF(AND(INDEX(대장!$G$1:$G$501,$A67)&lt;&gt;"",NOT(ISNUMBER(INDEX(대장!$G$1:$G$501,$A67)))),"확인 필요",IF(AND(ISNUMBER(INDEX(대장!$G$1:$G$501,$A67)),INDEX(대장!$G$1:$G$501,$A67)&lt;INDEX(대장!$F$1:$F$501,$A67)),"확인 필요",IF(INDEX(대장!$L$1:$L$501,$A67)&lt;&gt;"","메모 있음","정상")))))</x:f>
        <x:v>#NAME?</x:v>
      </x:c>
      <x:c r="F67" s="19" t="e">
        <x:f>IF($A67="","",IF($E67="확인 필요","시작일·종료일과 기간 순서를 확인해 주세요.",IF($E67="메모 있음",IFERROR(INDEX(대장!$L$1:$L$501,$A67),""),"")))</x:f>
        <x:v>#NAME?</x:v>
      </x:c>
    </x:row>
    <x:row r="68">
      <x:c r="A68" s="17" t="e">
        <x:f>IF(INDEX(대장!$A$1:$A$501,ROW()-2)="","",ROW()-2)</x:f>
        <x:v>#NAME?</x:v>
      </x:c>
      <x:c r="B68" s="18" t="e">
        <x:f>IF($A68="","",INDEX(대장!$A$1:$A$501,$A68))</x:f>
        <x:v>#NAME?</x:v>
      </x:c>
      <x:c r="C68" s="45" t="e">
        <x:f>IFERROR(IF($A68="","",INDEX(대장!$F$1:$F$501,$A68)),"")</x:f>
        <x:v>#NAME?</x:v>
      </x:c>
      <x:c r="D68" s="45" t="e">
        <x:f>IFERROR(IF($A68="","",INDEX(대장!$G$1:$G$501,$A68)),"")</x:f>
        <x:v>#NAME?</x:v>
      </x:c>
      <x:c r="E68" s="18" t="e">
        <x:f>IF($A68="","",IF(NOT(ISNUMBER(INDEX(대장!$F$1:$F$501,$A68))),"확인 필요",IF(AND(INDEX(대장!$G$1:$G$501,$A68)&lt;&gt;"",NOT(ISNUMBER(INDEX(대장!$G$1:$G$501,$A68)))),"확인 필요",IF(AND(ISNUMBER(INDEX(대장!$G$1:$G$501,$A68)),INDEX(대장!$G$1:$G$501,$A68)&lt;INDEX(대장!$F$1:$F$501,$A68)),"확인 필요",IF(INDEX(대장!$L$1:$L$501,$A68)&lt;&gt;"","메모 있음","정상")))))</x:f>
        <x:v>#NAME?</x:v>
      </x:c>
      <x:c r="F68" s="19" t="e">
        <x:f>IF($A68="","",IF($E68="확인 필요","시작일·종료일과 기간 순서를 확인해 주세요.",IF($E68="메모 있음",IFERROR(INDEX(대장!$L$1:$L$501,$A68),""),"")))</x:f>
        <x:v>#NAME?</x:v>
      </x:c>
    </x:row>
    <x:row r="69">
      <x:c r="A69" s="17" t="e">
        <x:f>IF(INDEX(대장!$A$1:$A$501,ROW()-2)="","",ROW()-2)</x:f>
        <x:v>#NAME?</x:v>
      </x:c>
      <x:c r="B69" s="18" t="e">
        <x:f>IF($A69="","",INDEX(대장!$A$1:$A$501,$A69))</x:f>
        <x:v>#NAME?</x:v>
      </x:c>
      <x:c r="C69" s="45" t="e">
        <x:f>IFERROR(IF($A69="","",INDEX(대장!$F$1:$F$501,$A69)),"")</x:f>
        <x:v>#NAME?</x:v>
      </x:c>
      <x:c r="D69" s="45" t="e">
        <x:f>IFERROR(IF($A69="","",INDEX(대장!$G$1:$G$501,$A69)),"")</x:f>
        <x:v>#NAME?</x:v>
      </x:c>
      <x:c r="E69" s="18" t="e">
        <x:f>IF($A69="","",IF(NOT(ISNUMBER(INDEX(대장!$F$1:$F$501,$A69))),"확인 필요",IF(AND(INDEX(대장!$G$1:$G$501,$A69)&lt;&gt;"",NOT(ISNUMBER(INDEX(대장!$G$1:$G$501,$A69)))),"확인 필요",IF(AND(ISNUMBER(INDEX(대장!$G$1:$G$501,$A69)),INDEX(대장!$G$1:$G$501,$A69)&lt;INDEX(대장!$F$1:$F$501,$A69)),"확인 필요",IF(INDEX(대장!$L$1:$L$501,$A69)&lt;&gt;"","메모 있음","정상")))))</x:f>
        <x:v>#NAME?</x:v>
      </x:c>
      <x:c r="F69" s="19" t="e">
        <x:f>IF($A69="","",IF($E69="확인 필요","시작일·종료일과 기간 순서를 확인해 주세요.",IF($E69="메모 있음",IFERROR(INDEX(대장!$L$1:$L$501,$A69),""),"")))</x:f>
        <x:v>#NAME?</x:v>
      </x:c>
    </x:row>
    <x:row r="70">
      <x:c r="A70" s="17" t="e">
        <x:f>IF(INDEX(대장!$A$1:$A$501,ROW()-2)="","",ROW()-2)</x:f>
        <x:v>#NAME?</x:v>
      </x:c>
      <x:c r="B70" s="18" t="e">
        <x:f>IF($A70="","",INDEX(대장!$A$1:$A$501,$A70))</x:f>
        <x:v>#NAME?</x:v>
      </x:c>
      <x:c r="C70" s="45" t="e">
        <x:f>IFERROR(IF($A70="","",INDEX(대장!$F$1:$F$501,$A70)),"")</x:f>
        <x:v>#NAME?</x:v>
      </x:c>
      <x:c r="D70" s="45" t="e">
        <x:f>IFERROR(IF($A70="","",INDEX(대장!$G$1:$G$501,$A70)),"")</x:f>
        <x:v>#NAME?</x:v>
      </x:c>
      <x:c r="E70" s="18" t="e">
        <x:f>IF($A70="","",IF(NOT(ISNUMBER(INDEX(대장!$F$1:$F$501,$A70))),"확인 필요",IF(AND(INDEX(대장!$G$1:$G$501,$A70)&lt;&gt;"",NOT(ISNUMBER(INDEX(대장!$G$1:$G$501,$A70)))),"확인 필요",IF(AND(ISNUMBER(INDEX(대장!$G$1:$G$501,$A70)),INDEX(대장!$G$1:$G$501,$A70)&lt;INDEX(대장!$F$1:$F$501,$A70)),"확인 필요",IF(INDEX(대장!$L$1:$L$501,$A70)&lt;&gt;"","메모 있음","정상")))))</x:f>
        <x:v>#NAME?</x:v>
      </x:c>
      <x:c r="F70" s="19" t="e">
        <x:f>IF($A70="","",IF($E70="확인 필요","시작일·종료일과 기간 순서를 확인해 주세요.",IF($E70="메모 있음",IFERROR(INDEX(대장!$L$1:$L$501,$A70),""),"")))</x:f>
        <x:v>#NAME?</x:v>
      </x:c>
    </x:row>
    <x:row r="71">
      <x:c r="A71" s="17" t="e">
        <x:f>IF(INDEX(대장!$A$1:$A$501,ROW()-2)="","",ROW()-2)</x:f>
        <x:v>#NAME?</x:v>
      </x:c>
      <x:c r="B71" s="18" t="e">
        <x:f>IF($A71="","",INDEX(대장!$A$1:$A$501,$A71))</x:f>
        <x:v>#NAME?</x:v>
      </x:c>
      <x:c r="C71" s="45" t="e">
        <x:f>IFERROR(IF($A71="","",INDEX(대장!$F$1:$F$501,$A71)),"")</x:f>
        <x:v>#NAME?</x:v>
      </x:c>
      <x:c r="D71" s="45" t="e">
        <x:f>IFERROR(IF($A71="","",INDEX(대장!$G$1:$G$501,$A71)),"")</x:f>
        <x:v>#NAME?</x:v>
      </x:c>
      <x:c r="E71" s="18" t="e">
        <x:f>IF($A71="","",IF(NOT(ISNUMBER(INDEX(대장!$F$1:$F$501,$A71))),"확인 필요",IF(AND(INDEX(대장!$G$1:$G$501,$A71)&lt;&gt;"",NOT(ISNUMBER(INDEX(대장!$G$1:$G$501,$A71)))),"확인 필요",IF(AND(ISNUMBER(INDEX(대장!$G$1:$G$501,$A71)),INDEX(대장!$G$1:$G$501,$A71)&lt;INDEX(대장!$F$1:$F$501,$A71)),"확인 필요",IF(INDEX(대장!$L$1:$L$501,$A71)&lt;&gt;"","메모 있음","정상")))))</x:f>
        <x:v>#NAME?</x:v>
      </x:c>
      <x:c r="F71" s="19" t="e">
        <x:f>IF($A71="","",IF($E71="확인 필요","시작일·종료일과 기간 순서를 확인해 주세요.",IF($E71="메모 있음",IFERROR(INDEX(대장!$L$1:$L$501,$A71),""),"")))</x:f>
        <x:v>#NAME?</x:v>
      </x:c>
    </x:row>
    <x:row r="72">
      <x:c r="A72" s="17" t="e">
        <x:f>IF(INDEX(대장!$A$1:$A$501,ROW()-2)="","",ROW()-2)</x:f>
        <x:v>#NAME?</x:v>
      </x:c>
      <x:c r="B72" s="18" t="e">
        <x:f>IF($A72="","",INDEX(대장!$A$1:$A$501,$A72))</x:f>
        <x:v>#NAME?</x:v>
      </x:c>
      <x:c r="C72" s="45" t="e">
        <x:f>IFERROR(IF($A72="","",INDEX(대장!$F$1:$F$501,$A72)),"")</x:f>
        <x:v>#NAME?</x:v>
      </x:c>
      <x:c r="D72" s="45" t="e">
        <x:f>IFERROR(IF($A72="","",INDEX(대장!$G$1:$G$501,$A72)),"")</x:f>
        <x:v>#NAME?</x:v>
      </x:c>
      <x:c r="E72" s="18" t="e">
        <x:f>IF($A72="","",IF(NOT(ISNUMBER(INDEX(대장!$F$1:$F$501,$A72))),"확인 필요",IF(AND(INDEX(대장!$G$1:$G$501,$A72)&lt;&gt;"",NOT(ISNUMBER(INDEX(대장!$G$1:$G$501,$A72)))),"확인 필요",IF(AND(ISNUMBER(INDEX(대장!$G$1:$G$501,$A72)),INDEX(대장!$G$1:$G$501,$A72)&lt;INDEX(대장!$F$1:$F$501,$A72)),"확인 필요",IF(INDEX(대장!$L$1:$L$501,$A72)&lt;&gt;"","메모 있음","정상")))))</x:f>
        <x:v>#NAME?</x:v>
      </x:c>
      <x:c r="F72" s="19" t="e">
        <x:f>IF($A72="","",IF($E72="확인 필요","시작일·종료일과 기간 순서를 확인해 주세요.",IF($E72="메모 있음",IFERROR(INDEX(대장!$L$1:$L$501,$A72),""),"")))</x:f>
        <x:v>#NAME?</x:v>
      </x:c>
    </x:row>
    <x:row r="73">
      <x:c r="A73" s="17" t="e">
        <x:f>IF(INDEX(대장!$A$1:$A$501,ROW()-2)="","",ROW()-2)</x:f>
        <x:v>#NAME?</x:v>
      </x:c>
      <x:c r="B73" s="18" t="e">
        <x:f>IF($A73="","",INDEX(대장!$A$1:$A$501,$A73))</x:f>
        <x:v>#NAME?</x:v>
      </x:c>
      <x:c r="C73" s="45" t="e">
        <x:f>IFERROR(IF($A73="","",INDEX(대장!$F$1:$F$501,$A73)),"")</x:f>
        <x:v>#NAME?</x:v>
      </x:c>
      <x:c r="D73" s="45" t="e">
        <x:f>IFERROR(IF($A73="","",INDEX(대장!$G$1:$G$501,$A73)),"")</x:f>
        <x:v>#NAME?</x:v>
      </x:c>
      <x:c r="E73" s="18" t="e">
        <x:f>IF($A73="","",IF(NOT(ISNUMBER(INDEX(대장!$F$1:$F$501,$A73))),"확인 필요",IF(AND(INDEX(대장!$G$1:$G$501,$A73)&lt;&gt;"",NOT(ISNUMBER(INDEX(대장!$G$1:$G$501,$A73)))),"확인 필요",IF(AND(ISNUMBER(INDEX(대장!$G$1:$G$501,$A73)),INDEX(대장!$G$1:$G$501,$A73)&lt;INDEX(대장!$F$1:$F$501,$A73)),"확인 필요",IF(INDEX(대장!$L$1:$L$501,$A73)&lt;&gt;"","메모 있음","정상")))))</x:f>
        <x:v>#NAME?</x:v>
      </x:c>
      <x:c r="F73" s="19" t="e">
        <x:f>IF($A73="","",IF($E73="확인 필요","시작일·종료일과 기간 순서를 확인해 주세요.",IF($E73="메모 있음",IFERROR(INDEX(대장!$L$1:$L$501,$A73),""),"")))</x:f>
        <x:v>#NAME?</x:v>
      </x:c>
    </x:row>
    <x:row r="74">
      <x:c r="A74" s="17" t="e">
        <x:f>IF(INDEX(대장!$A$1:$A$501,ROW()-2)="","",ROW()-2)</x:f>
        <x:v>#NAME?</x:v>
      </x:c>
      <x:c r="B74" s="18" t="e">
        <x:f>IF($A74="","",INDEX(대장!$A$1:$A$501,$A74))</x:f>
        <x:v>#NAME?</x:v>
      </x:c>
      <x:c r="C74" s="45" t="e">
        <x:f>IFERROR(IF($A74="","",INDEX(대장!$F$1:$F$501,$A74)),"")</x:f>
        <x:v>#NAME?</x:v>
      </x:c>
      <x:c r="D74" s="45" t="e">
        <x:f>IFERROR(IF($A74="","",INDEX(대장!$G$1:$G$501,$A74)),"")</x:f>
        <x:v>#NAME?</x:v>
      </x:c>
      <x:c r="E74" s="18" t="e">
        <x:f>IF($A74="","",IF(NOT(ISNUMBER(INDEX(대장!$F$1:$F$501,$A74))),"확인 필요",IF(AND(INDEX(대장!$G$1:$G$501,$A74)&lt;&gt;"",NOT(ISNUMBER(INDEX(대장!$G$1:$G$501,$A74)))),"확인 필요",IF(AND(ISNUMBER(INDEX(대장!$G$1:$G$501,$A74)),INDEX(대장!$G$1:$G$501,$A74)&lt;INDEX(대장!$F$1:$F$501,$A74)),"확인 필요",IF(INDEX(대장!$L$1:$L$501,$A74)&lt;&gt;"","메모 있음","정상")))))</x:f>
        <x:v>#NAME?</x:v>
      </x:c>
      <x:c r="F74" s="19" t="e">
        <x:f>IF($A74="","",IF($E74="확인 필요","시작일·종료일과 기간 순서를 확인해 주세요.",IF($E74="메모 있음",IFERROR(INDEX(대장!$L$1:$L$501,$A74),""),"")))</x:f>
        <x:v>#NAME?</x:v>
      </x:c>
    </x:row>
    <x:row r="75">
      <x:c r="A75" s="17" t="e">
        <x:f>IF(INDEX(대장!$A$1:$A$501,ROW()-2)="","",ROW()-2)</x:f>
        <x:v>#NAME?</x:v>
      </x:c>
      <x:c r="B75" s="18" t="e">
        <x:f>IF($A75="","",INDEX(대장!$A$1:$A$501,$A75))</x:f>
        <x:v>#NAME?</x:v>
      </x:c>
      <x:c r="C75" s="45" t="e">
        <x:f>IFERROR(IF($A75="","",INDEX(대장!$F$1:$F$501,$A75)),"")</x:f>
        <x:v>#NAME?</x:v>
      </x:c>
      <x:c r="D75" s="45" t="e">
        <x:f>IFERROR(IF($A75="","",INDEX(대장!$G$1:$G$501,$A75)),"")</x:f>
        <x:v>#NAME?</x:v>
      </x:c>
      <x:c r="E75" s="18" t="e">
        <x:f>IF($A75="","",IF(NOT(ISNUMBER(INDEX(대장!$F$1:$F$501,$A75))),"확인 필요",IF(AND(INDEX(대장!$G$1:$G$501,$A75)&lt;&gt;"",NOT(ISNUMBER(INDEX(대장!$G$1:$G$501,$A75)))),"확인 필요",IF(AND(ISNUMBER(INDEX(대장!$G$1:$G$501,$A75)),INDEX(대장!$G$1:$G$501,$A75)&lt;INDEX(대장!$F$1:$F$501,$A75)),"확인 필요",IF(INDEX(대장!$L$1:$L$501,$A75)&lt;&gt;"","메모 있음","정상")))))</x:f>
        <x:v>#NAME?</x:v>
      </x:c>
      <x:c r="F75" s="19" t="e">
        <x:f>IF($A75="","",IF($E75="확인 필요","시작일·종료일과 기간 순서를 확인해 주세요.",IF($E75="메모 있음",IFERROR(INDEX(대장!$L$1:$L$501,$A75),""),"")))</x:f>
        <x:v>#NAME?</x:v>
      </x:c>
    </x:row>
    <x:row r="76">
      <x:c r="A76" s="17" t="e">
        <x:f>IF(INDEX(대장!$A$1:$A$501,ROW()-2)="","",ROW()-2)</x:f>
        <x:v>#NAME?</x:v>
      </x:c>
      <x:c r="B76" s="18" t="e">
        <x:f>IF($A76="","",INDEX(대장!$A$1:$A$501,$A76))</x:f>
        <x:v>#NAME?</x:v>
      </x:c>
      <x:c r="C76" s="45" t="e">
        <x:f>IFERROR(IF($A76="","",INDEX(대장!$F$1:$F$501,$A76)),"")</x:f>
        <x:v>#NAME?</x:v>
      </x:c>
      <x:c r="D76" s="45" t="e">
        <x:f>IFERROR(IF($A76="","",INDEX(대장!$G$1:$G$501,$A76)),"")</x:f>
        <x:v>#NAME?</x:v>
      </x:c>
      <x:c r="E76" s="18" t="e">
        <x:f>IF($A76="","",IF(NOT(ISNUMBER(INDEX(대장!$F$1:$F$501,$A76))),"확인 필요",IF(AND(INDEX(대장!$G$1:$G$501,$A76)&lt;&gt;"",NOT(ISNUMBER(INDEX(대장!$G$1:$G$501,$A76)))),"확인 필요",IF(AND(ISNUMBER(INDEX(대장!$G$1:$G$501,$A76)),INDEX(대장!$G$1:$G$501,$A76)&lt;INDEX(대장!$F$1:$F$501,$A76)),"확인 필요",IF(INDEX(대장!$L$1:$L$501,$A76)&lt;&gt;"","메모 있음","정상")))))</x:f>
        <x:v>#NAME?</x:v>
      </x:c>
      <x:c r="F76" s="19" t="e">
        <x:f>IF($A76="","",IF($E76="확인 필요","시작일·종료일과 기간 순서를 확인해 주세요.",IF($E76="메모 있음",IFERROR(INDEX(대장!$L$1:$L$501,$A76),""),"")))</x:f>
        <x:v>#NAME?</x:v>
      </x:c>
    </x:row>
    <x:row r="77">
      <x:c r="A77" s="17" t="e">
        <x:f>IF(INDEX(대장!$A$1:$A$501,ROW()-2)="","",ROW()-2)</x:f>
        <x:v>#NAME?</x:v>
      </x:c>
      <x:c r="B77" s="18" t="e">
        <x:f>IF($A77="","",INDEX(대장!$A$1:$A$501,$A77))</x:f>
        <x:v>#NAME?</x:v>
      </x:c>
      <x:c r="C77" s="45" t="e">
        <x:f>IFERROR(IF($A77="","",INDEX(대장!$F$1:$F$501,$A77)),"")</x:f>
        <x:v>#NAME?</x:v>
      </x:c>
      <x:c r="D77" s="45" t="e">
        <x:f>IFERROR(IF($A77="","",INDEX(대장!$G$1:$G$501,$A77)),"")</x:f>
        <x:v>#NAME?</x:v>
      </x:c>
      <x:c r="E77" s="18" t="e">
        <x:f>IF($A77="","",IF(NOT(ISNUMBER(INDEX(대장!$F$1:$F$501,$A77))),"확인 필요",IF(AND(INDEX(대장!$G$1:$G$501,$A77)&lt;&gt;"",NOT(ISNUMBER(INDEX(대장!$G$1:$G$501,$A77)))),"확인 필요",IF(AND(ISNUMBER(INDEX(대장!$G$1:$G$501,$A77)),INDEX(대장!$G$1:$G$501,$A77)&lt;INDEX(대장!$F$1:$F$501,$A77)),"확인 필요",IF(INDEX(대장!$L$1:$L$501,$A77)&lt;&gt;"","메모 있음","정상")))))</x:f>
        <x:v>#NAME?</x:v>
      </x:c>
      <x:c r="F77" s="19" t="e">
        <x:f>IF($A77="","",IF($E77="확인 필요","시작일·종료일과 기간 순서를 확인해 주세요.",IF($E77="메모 있음",IFERROR(INDEX(대장!$L$1:$L$501,$A77),""),"")))</x:f>
        <x:v>#NAME?</x:v>
      </x:c>
    </x:row>
    <x:row r="78">
      <x:c r="A78" s="17" t="e">
        <x:f>IF(INDEX(대장!$A$1:$A$501,ROW()-2)="","",ROW()-2)</x:f>
        <x:v>#NAME?</x:v>
      </x:c>
      <x:c r="B78" s="18" t="e">
        <x:f>IF($A78="","",INDEX(대장!$A$1:$A$501,$A78))</x:f>
        <x:v>#NAME?</x:v>
      </x:c>
      <x:c r="C78" s="45" t="e">
        <x:f>IFERROR(IF($A78="","",INDEX(대장!$F$1:$F$501,$A78)),"")</x:f>
        <x:v>#NAME?</x:v>
      </x:c>
      <x:c r="D78" s="45" t="e">
        <x:f>IFERROR(IF($A78="","",INDEX(대장!$G$1:$G$501,$A78)),"")</x:f>
        <x:v>#NAME?</x:v>
      </x:c>
      <x:c r="E78" s="18" t="e">
        <x:f>IF($A78="","",IF(NOT(ISNUMBER(INDEX(대장!$F$1:$F$501,$A78))),"확인 필요",IF(AND(INDEX(대장!$G$1:$G$501,$A78)&lt;&gt;"",NOT(ISNUMBER(INDEX(대장!$G$1:$G$501,$A78)))),"확인 필요",IF(AND(ISNUMBER(INDEX(대장!$G$1:$G$501,$A78)),INDEX(대장!$G$1:$G$501,$A78)&lt;INDEX(대장!$F$1:$F$501,$A78)),"확인 필요",IF(INDEX(대장!$L$1:$L$501,$A78)&lt;&gt;"","메모 있음","정상")))))</x:f>
        <x:v>#NAME?</x:v>
      </x:c>
      <x:c r="F78" s="19" t="e">
        <x:f>IF($A78="","",IF($E78="확인 필요","시작일·종료일과 기간 순서를 확인해 주세요.",IF($E78="메모 있음",IFERROR(INDEX(대장!$L$1:$L$501,$A78),""),"")))</x:f>
        <x:v>#NAME?</x:v>
      </x:c>
    </x:row>
    <x:row r="79">
      <x:c r="A79" s="17" t="e">
        <x:f>IF(INDEX(대장!$A$1:$A$501,ROW()-2)="","",ROW()-2)</x:f>
        <x:v>#NAME?</x:v>
      </x:c>
      <x:c r="B79" s="18" t="e">
        <x:f>IF($A79="","",INDEX(대장!$A$1:$A$501,$A79))</x:f>
        <x:v>#NAME?</x:v>
      </x:c>
      <x:c r="C79" s="45" t="e">
        <x:f>IFERROR(IF($A79="","",INDEX(대장!$F$1:$F$501,$A79)),"")</x:f>
        <x:v>#NAME?</x:v>
      </x:c>
      <x:c r="D79" s="45" t="e">
        <x:f>IFERROR(IF($A79="","",INDEX(대장!$G$1:$G$501,$A79)),"")</x:f>
        <x:v>#NAME?</x:v>
      </x:c>
      <x:c r="E79" s="18" t="e">
        <x:f>IF($A79="","",IF(NOT(ISNUMBER(INDEX(대장!$F$1:$F$501,$A79))),"확인 필요",IF(AND(INDEX(대장!$G$1:$G$501,$A79)&lt;&gt;"",NOT(ISNUMBER(INDEX(대장!$G$1:$G$501,$A79)))),"확인 필요",IF(AND(ISNUMBER(INDEX(대장!$G$1:$G$501,$A79)),INDEX(대장!$G$1:$G$501,$A79)&lt;INDEX(대장!$F$1:$F$501,$A79)),"확인 필요",IF(INDEX(대장!$L$1:$L$501,$A79)&lt;&gt;"","메모 있음","정상")))))</x:f>
        <x:v>#NAME?</x:v>
      </x:c>
      <x:c r="F79" s="19" t="e">
        <x:f>IF($A79="","",IF($E79="확인 필요","시작일·종료일과 기간 순서를 확인해 주세요.",IF($E79="메모 있음",IFERROR(INDEX(대장!$L$1:$L$501,$A79),""),"")))</x:f>
        <x:v>#NAME?</x:v>
      </x:c>
    </x:row>
    <x:row r="80">
      <x:c r="A80" s="17" t="e">
        <x:f>IF(INDEX(대장!$A$1:$A$501,ROW()-2)="","",ROW()-2)</x:f>
        <x:v>#NAME?</x:v>
      </x:c>
      <x:c r="B80" s="18" t="e">
        <x:f>IF($A80="","",INDEX(대장!$A$1:$A$501,$A80))</x:f>
        <x:v>#NAME?</x:v>
      </x:c>
      <x:c r="C80" s="45" t="e">
        <x:f>IFERROR(IF($A80="","",INDEX(대장!$F$1:$F$501,$A80)),"")</x:f>
        <x:v>#NAME?</x:v>
      </x:c>
      <x:c r="D80" s="45" t="e">
        <x:f>IFERROR(IF($A80="","",INDEX(대장!$G$1:$G$501,$A80)),"")</x:f>
        <x:v>#NAME?</x:v>
      </x:c>
      <x:c r="E80" s="18" t="e">
        <x:f>IF($A80="","",IF(NOT(ISNUMBER(INDEX(대장!$F$1:$F$501,$A80))),"확인 필요",IF(AND(INDEX(대장!$G$1:$G$501,$A80)&lt;&gt;"",NOT(ISNUMBER(INDEX(대장!$G$1:$G$501,$A80)))),"확인 필요",IF(AND(ISNUMBER(INDEX(대장!$G$1:$G$501,$A80)),INDEX(대장!$G$1:$G$501,$A80)&lt;INDEX(대장!$F$1:$F$501,$A80)),"확인 필요",IF(INDEX(대장!$L$1:$L$501,$A80)&lt;&gt;"","메모 있음","정상")))))</x:f>
        <x:v>#NAME?</x:v>
      </x:c>
      <x:c r="F80" s="19" t="e">
        <x:f>IF($A80="","",IF($E80="확인 필요","시작일·종료일과 기간 순서를 확인해 주세요.",IF($E80="메모 있음",IFERROR(INDEX(대장!$L$1:$L$501,$A80),""),"")))</x:f>
        <x:v>#NAME?</x:v>
      </x:c>
    </x:row>
    <x:row r="81">
      <x:c r="A81" s="17" t="e">
        <x:f>IF(INDEX(대장!$A$1:$A$501,ROW()-2)="","",ROW()-2)</x:f>
        <x:v>#NAME?</x:v>
      </x:c>
      <x:c r="B81" s="18" t="e">
        <x:f>IF($A81="","",INDEX(대장!$A$1:$A$501,$A81))</x:f>
        <x:v>#NAME?</x:v>
      </x:c>
      <x:c r="C81" s="45" t="e">
        <x:f>IFERROR(IF($A81="","",INDEX(대장!$F$1:$F$501,$A81)),"")</x:f>
        <x:v>#NAME?</x:v>
      </x:c>
      <x:c r="D81" s="45" t="e">
        <x:f>IFERROR(IF($A81="","",INDEX(대장!$G$1:$G$501,$A81)),"")</x:f>
        <x:v>#NAME?</x:v>
      </x:c>
      <x:c r="E81" s="18" t="e">
        <x:f>IF($A81="","",IF(NOT(ISNUMBER(INDEX(대장!$F$1:$F$501,$A81))),"확인 필요",IF(AND(INDEX(대장!$G$1:$G$501,$A81)&lt;&gt;"",NOT(ISNUMBER(INDEX(대장!$G$1:$G$501,$A81)))),"확인 필요",IF(AND(ISNUMBER(INDEX(대장!$G$1:$G$501,$A81)),INDEX(대장!$G$1:$G$501,$A81)&lt;INDEX(대장!$F$1:$F$501,$A81)),"확인 필요",IF(INDEX(대장!$L$1:$L$501,$A81)&lt;&gt;"","메모 있음","정상")))))</x:f>
        <x:v>#NAME?</x:v>
      </x:c>
      <x:c r="F81" s="19" t="e">
        <x:f>IF($A81="","",IF($E81="확인 필요","시작일·종료일과 기간 순서를 확인해 주세요.",IF($E81="메모 있음",IFERROR(INDEX(대장!$L$1:$L$501,$A81),""),"")))</x:f>
        <x:v>#NAME?</x:v>
      </x:c>
    </x:row>
    <x:row r="82">
      <x:c r="A82" s="17" t="e">
        <x:f>IF(INDEX(대장!$A$1:$A$501,ROW()-2)="","",ROW()-2)</x:f>
        <x:v>#NAME?</x:v>
      </x:c>
      <x:c r="B82" s="18" t="e">
        <x:f>IF($A82="","",INDEX(대장!$A$1:$A$501,$A82))</x:f>
        <x:v>#NAME?</x:v>
      </x:c>
      <x:c r="C82" s="45" t="e">
        <x:f>IFERROR(IF($A82="","",INDEX(대장!$F$1:$F$501,$A82)),"")</x:f>
        <x:v>#NAME?</x:v>
      </x:c>
      <x:c r="D82" s="45" t="e">
        <x:f>IFERROR(IF($A82="","",INDEX(대장!$G$1:$G$501,$A82)),"")</x:f>
        <x:v>#NAME?</x:v>
      </x:c>
      <x:c r="E82" s="18" t="e">
        <x:f>IF($A82="","",IF(NOT(ISNUMBER(INDEX(대장!$F$1:$F$501,$A82))),"확인 필요",IF(AND(INDEX(대장!$G$1:$G$501,$A82)&lt;&gt;"",NOT(ISNUMBER(INDEX(대장!$G$1:$G$501,$A82)))),"확인 필요",IF(AND(ISNUMBER(INDEX(대장!$G$1:$G$501,$A82)),INDEX(대장!$G$1:$G$501,$A82)&lt;INDEX(대장!$F$1:$F$501,$A82)),"확인 필요",IF(INDEX(대장!$L$1:$L$501,$A82)&lt;&gt;"","메모 있음","정상")))))</x:f>
        <x:v>#NAME?</x:v>
      </x:c>
      <x:c r="F82" s="19" t="e">
        <x:f>IF($A82="","",IF($E82="확인 필요","시작일·종료일과 기간 순서를 확인해 주세요.",IF($E82="메모 있음",IFERROR(INDEX(대장!$L$1:$L$501,$A82),""),"")))</x:f>
        <x:v>#NAME?</x:v>
      </x:c>
    </x:row>
    <x:row r="83">
      <x:c r="A83" s="17" t="e">
        <x:f>IF(INDEX(대장!$A$1:$A$501,ROW()-2)="","",ROW()-2)</x:f>
        <x:v>#NAME?</x:v>
      </x:c>
      <x:c r="B83" s="18" t="e">
        <x:f>IF($A83="","",INDEX(대장!$A$1:$A$501,$A83))</x:f>
        <x:v>#NAME?</x:v>
      </x:c>
      <x:c r="C83" s="45" t="e">
        <x:f>IFERROR(IF($A83="","",INDEX(대장!$F$1:$F$501,$A83)),"")</x:f>
        <x:v>#NAME?</x:v>
      </x:c>
      <x:c r="D83" s="45" t="e">
        <x:f>IFERROR(IF($A83="","",INDEX(대장!$G$1:$G$501,$A83)),"")</x:f>
        <x:v>#NAME?</x:v>
      </x:c>
      <x:c r="E83" s="18" t="e">
        <x:f>IF($A83="","",IF(NOT(ISNUMBER(INDEX(대장!$F$1:$F$501,$A83))),"확인 필요",IF(AND(INDEX(대장!$G$1:$G$501,$A83)&lt;&gt;"",NOT(ISNUMBER(INDEX(대장!$G$1:$G$501,$A83)))),"확인 필요",IF(AND(ISNUMBER(INDEX(대장!$G$1:$G$501,$A83)),INDEX(대장!$G$1:$G$501,$A83)&lt;INDEX(대장!$F$1:$F$501,$A83)),"확인 필요",IF(INDEX(대장!$L$1:$L$501,$A83)&lt;&gt;"","메모 있음","정상")))))</x:f>
        <x:v>#NAME?</x:v>
      </x:c>
      <x:c r="F83" s="19" t="e">
        <x:f>IF($A83="","",IF($E83="확인 필요","시작일·종료일과 기간 순서를 확인해 주세요.",IF($E83="메모 있음",IFERROR(INDEX(대장!$L$1:$L$501,$A83),""),"")))</x:f>
        <x:v>#NAME?</x:v>
      </x:c>
    </x:row>
    <x:row r="84">
      <x:c r="A84" s="17" t="e">
        <x:f>IF(INDEX(대장!$A$1:$A$501,ROW()-2)="","",ROW()-2)</x:f>
        <x:v>#NAME?</x:v>
      </x:c>
      <x:c r="B84" s="18" t="e">
        <x:f>IF($A84="","",INDEX(대장!$A$1:$A$501,$A84))</x:f>
        <x:v>#NAME?</x:v>
      </x:c>
      <x:c r="C84" s="45" t="e">
        <x:f>IFERROR(IF($A84="","",INDEX(대장!$F$1:$F$501,$A84)),"")</x:f>
        <x:v>#NAME?</x:v>
      </x:c>
      <x:c r="D84" s="45" t="e">
        <x:f>IFERROR(IF($A84="","",INDEX(대장!$G$1:$G$501,$A84)),"")</x:f>
        <x:v>#NAME?</x:v>
      </x:c>
      <x:c r="E84" s="18" t="e">
        <x:f>IF($A84="","",IF(NOT(ISNUMBER(INDEX(대장!$F$1:$F$501,$A84))),"확인 필요",IF(AND(INDEX(대장!$G$1:$G$501,$A84)&lt;&gt;"",NOT(ISNUMBER(INDEX(대장!$G$1:$G$501,$A84)))),"확인 필요",IF(AND(ISNUMBER(INDEX(대장!$G$1:$G$501,$A84)),INDEX(대장!$G$1:$G$501,$A84)&lt;INDEX(대장!$F$1:$F$501,$A84)),"확인 필요",IF(INDEX(대장!$L$1:$L$501,$A84)&lt;&gt;"","메모 있음","정상")))))</x:f>
        <x:v>#NAME?</x:v>
      </x:c>
      <x:c r="F84" s="19" t="e">
        <x:f>IF($A84="","",IF($E84="확인 필요","시작일·종료일과 기간 순서를 확인해 주세요.",IF($E84="메모 있음",IFERROR(INDEX(대장!$L$1:$L$501,$A84),""),"")))</x:f>
        <x:v>#NAME?</x:v>
      </x:c>
    </x:row>
    <x:row r="85">
      <x:c r="A85" s="17" t="e">
        <x:f>IF(INDEX(대장!$A$1:$A$501,ROW()-2)="","",ROW()-2)</x:f>
        <x:v>#NAME?</x:v>
      </x:c>
      <x:c r="B85" s="18" t="e">
        <x:f>IF($A85="","",INDEX(대장!$A$1:$A$501,$A85))</x:f>
        <x:v>#NAME?</x:v>
      </x:c>
      <x:c r="C85" s="45" t="e">
        <x:f>IFERROR(IF($A85="","",INDEX(대장!$F$1:$F$501,$A85)),"")</x:f>
        <x:v>#NAME?</x:v>
      </x:c>
      <x:c r="D85" s="45" t="e">
        <x:f>IFERROR(IF($A85="","",INDEX(대장!$G$1:$G$501,$A85)),"")</x:f>
        <x:v>#NAME?</x:v>
      </x:c>
      <x:c r="E85" s="18" t="e">
        <x:f>IF($A85="","",IF(NOT(ISNUMBER(INDEX(대장!$F$1:$F$501,$A85))),"확인 필요",IF(AND(INDEX(대장!$G$1:$G$501,$A85)&lt;&gt;"",NOT(ISNUMBER(INDEX(대장!$G$1:$G$501,$A85)))),"확인 필요",IF(AND(ISNUMBER(INDEX(대장!$G$1:$G$501,$A85)),INDEX(대장!$G$1:$G$501,$A85)&lt;INDEX(대장!$F$1:$F$501,$A85)),"확인 필요",IF(INDEX(대장!$L$1:$L$501,$A85)&lt;&gt;"","메모 있음","정상")))))</x:f>
        <x:v>#NAME?</x:v>
      </x:c>
      <x:c r="F85" s="19" t="e">
        <x:f>IF($A85="","",IF($E85="확인 필요","시작일·종료일과 기간 순서를 확인해 주세요.",IF($E85="메모 있음",IFERROR(INDEX(대장!$L$1:$L$501,$A85),""),"")))</x:f>
        <x:v>#NAME?</x:v>
      </x:c>
    </x:row>
    <x:row r="86">
      <x:c r="A86" s="17" t="e">
        <x:f>IF(INDEX(대장!$A$1:$A$501,ROW()-2)="","",ROW()-2)</x:f>
        <x:v>#NAME?</x:v>
      </x:c>
      <x:c r="B86" s="18" t="e">
        <x:f>IF($A86="","",INDEX(대장!$A$1:$A$501,$A86))</x:f>
        <x:v>#NAME?</x:v>
      </x:c>
      <x:c r="C86" s="45" t="e">
        <x:f>IFERROR(IF($A86="","",INDEX(대장!$F$1:$F$501,$A86)),"")</x:f>
        <x:v>#NAME?</x:v>
      </x:c>
      <x:c r="D86" s="45" t="e">
        <x:f>IFERROR(IF($A86="","",INDEX(대장!$G$1:$G$501,$A86)),"")</x:f>
        <x:v>#NAME?</x:v>
      </x:c>
      <x:c r="E86" s="18" t="e">
        <x:f>IF($A86="","",IF(NOT(ISNUMBER(INDEX(대장!$F$1:$F$501,$A86))),"확인 필요",IF(AND(INDEX(대장!$G$1:$G$501,$A86)&lt;&gt;"",NOT(ISNUMBER(INDEX(대장!$G$1:$G$501,$A86)))),"확인 필요",IF(AND(ISNUMBER(INDEX(대장!$G$1:$G$501,$A86)),INDEX(대장!$G$1:$G$501,$A86)&lt;INDEX(대장!$F$1:$F$501,$A86)),"확인 필요",IF(INDEX(대장!$L$1:$L$501,$A86)&lt;&gt;"","메모 있음","정상")))))</x:f>
        <x:v>#NAME?</x:v>
      </x:c>
      <x:c r="F86" s="19" t="e">
        <x:f>IF($A86="","",IF($E86="확인 필요","시작일·종료일과 기간 순서를 확인해 주세요.",IF($E86="메모 있음",IFERROR(INDEX(대장!$L$1:$L$501,$A86),""),"")))</x:f>
        <x:v>#NAME?</x:v>
      </x:c>
    </x:row>
    <x:row r="87">
      <x:c r="A87" s="17" t="e">
        <x:f>IF(INDEX(대장!$A$1:$A$501,ROW()-2)="","",ROW()-2)</x:f>
        <x:v>#NAME?</x:v>
      </x:c>
      <x:c r="B87" s="18" t="e">
        <x:f>IF($A87="","",INDEX(대장!$A$1:$A$501,$A87))</x:f>
        <x:v>#NAME?</x:v>
      </x:c>
      <x:c r="C87" s="45" t="e">
        <x:f>IFERROR(IF($A87="","",INDEX(대장!$F$1:$F$501,$A87)),"")</x:f>
        <x:v>#NAME?</x:v>
      </x:c>
      <x:c r="D87" s="45" t="e">
        <x:f>IFERROR(IF($A87="","",INDEX(대장!$G$1:$G$501,$A87)),"")</x:f>
        <x:v>#NAME?</x:v>
      </x:c>
      <x:c r="E87" s="18" t="e">
        <x:f>IF($A87="","",IF(NOT(ISNUMBER(INDEX(대장!$F$1:$F$501,$A87))),"확인 필요",IF(AND(INDEX(대장!$G$1:$G$501,$A87)&lt;&gt;"",NOT(ISNUMBER(INDEX(대장!$G$1:$G$501,$A87)))),"확인 필요",IF(AND(ISNUMBER(INDEX(대장!$G$1:$G$501,$A87)),INDEX(대장!$G$1:$G$501,$A87)&lt;INDEX(대장!$F$1:$F$501,$A87)),"확인 필요",IF(INDEX(대장!$L$1:$L$501,$A87)&lt;&gt;"","메모 있음","정상")))))</x:f>
        <x:v>#NAME?</x:v>
      </x:c>
      <x:c r="F87" s="19" t="e">
        <x:f>IF($A87="","",IF($E87="확인 필요","시작일·종료일과 기간 순서를 확인해 주세요.",IF($E87="메모 있음",IFERROR(INDEX(대장!$L$1:$L$501,$A87),""),"")))</x:f>
        <x:v>#NAME?</x:v>
      </x:c>
    </x:row>
    <x:row r="88">
      <x:c r="A88" s="17" t="e">
        <x:f>IF(INDEX(대장!$A$1:$A$501,ROW()-2)="","",ROW()-2)</x:f>
        <x:v>#NAME?</x:v>
      </x:c>
      <x:c r="B88" s="18" t="e">
        <x:f>IF($A88="","",INDEX(대장!$A$1:$A$501,$A88))</x:f>
        <x:v>#NAME?</x:v>
      </x:c>
      <x:c r="C88" s="45" t="e">
        <x:f>IFERROR(IF($A88="","",INDEX(대장!$F$1:$F$501,$A88)),"")</x:f>
        <x:v>#NAME?</x:v>
      </x:c>
      <x:c r="D88" s="45" t="e">
        <x:f>IFERROR(IF($A88="","",INDEX(대장!$G$1:$G$501,$A88)),"")</x:f>
        <x:v>#NAME?</x:v>
      </x:c>
      <x:c r="E88" s="18" t="e">
        <x:f>IF($A88="","",IF(NOT(ISNUMBER(INDEX(대장!$F$1:$F$501,$A88))),"확인 필요",IF(AND(INDEX(대장!$G$1:$G$501,$A88)&lt;&gt;"",NOT(ISNUMBER(INDEX(대장!$G$1:$G$501,$A88)))),"확인 필요",IF(AND(ISNUMBER(INDEX(대장!$G$1:$G$501,$A88)),INDEX(대장!$G$1:$G$501,$A88)&lt;INDEX(대장!$F$1:$F$501,$A88)),"확인 필요",IF(INDEX(대장!$L$1:$L$501,$A88)&lt;&gt;"","메모 있음","정상")))))</x:f>
        <x:v>#NAME?</x:v>
      </x:c>
      <x:c r="F88" s="19" t="e">
        <x:f>IF($A88="","",IF($E88="확인 필요","시작일·종료일과 기간 순서를 확인해 주세요.",IF($E88="메모 있음",IFERROR(INDEX(대장!$L$1:$L$501,$A88),""),"")))</x:f>
        <x:v>#NAME?</x:v>
      </x:c>
    </x:row>
    <x:row r="89">
      <x:c r="A89" s="17" t="e">
        <x:f>IF(INDEX(대장!$A$1:$A$501,ROW()-2)="","",ROW()-2)</x:f>
        <x:v>#NAME?</x:v>
      </x:c>
      <x:c r="B89" s="18" t="e">
        <x:f>IF($A89="","",INDEX(대장!$A$1:$A$501,$A89))</x:f>
        <x:v>#NAME?</x:v>
      </x:c>
      <x:c r="C89" s="45" t="e">
        <x:f>IFERROR(IF($A89="","",INDEX(대장!$F$1:$F$501,$A89)),"")</x:f>
        <x:v>#NAME?</x:v>
      </x:c>
      <x:c r="D89" s="45" t="e">
        <x:f>IFERROR(IF($A89="","",INDEX(대장!$G$1:$G$501,$A89)),"")</x:f>
        <x:v>#NAME?</x:v>
      </x:c>
      <x:c r="E89" s="18" t="e">
        <x:f>IF($A89="","",IF(NOT(ISNUMBER(INDEX(대장!$F$1:$F$501,$A89))),"확인 필요",IF(AND(INDEX(대장!$G$1:$G$501,$A89)&lt;&gt;"",NOT(ISNUMBER(INDEX(대장!$G$1:$G$501,$A89)))),"확인 필요",IF(AND(ISNUMBER(INDEX(대장!$G$1:$G$501,$A89)),INDEX(대장!$G$1:$G$501,$A89)&lt;INDEX(대장!$F$1:$F$501,$A89)),"확인 필요",IF(INDEX(대장!$L$1:$L$501,$A89)&lt;&gt;"","메모 있음","정상")))))</x:f>
        <x:v>#NAME?</x:v>
      </x:c>
      <x:c r="F89" s="19" t="e">
        <x:f>IF($A89="","",IF($E89="확인 필요","시작일·종료일과 기간 순서를 확인해 주세요.",IF($E89="메모 있음",IFERROR(INDEX(대장!$L$1:$L$501,$A89),""),"")))</x:f>
        <x:v>#NAME?</x:v>
      </x:c>
    </x:row>
    <x:row r="90">
      <x:c r="A90" s="17" t="e">
        <x:f>IF(INDEX(대장!$A$1:$A$501,ROW()-2)="","",ROW()-2)</x:f>
        <x:v>#NAME?</x:v>
      </x:c>
      <x:c r="B90" s="18" t="e">
        <x:f>IF($A90="","",INDEX(대장!$A$1:$A$501,$A90))</x:f>
        <x:v>#NAME?</x:v>
      </x:c>
      <x:c r="C90" s="45" t="e">
        <x:f>IFERROR(IF($A90="","",INDEX(대장!$F$1:$F$501,$A90)),"")</x:f>
        <x:v>#NAME?</x:v>
      </x:c>
      <x:c r="D90" s="45" t="e">
        <x:f>IFERROR(IF($A90="","",INDEX(대장!$G$1:$G$501,$A90)),"")</x:f>
        <x:v>#NAME?</x:v>
      </x:c>
      <x:c r="E90" s="18" t="e">
        <x:f>IF($A90="","",IF(NOT(ISNUMBER(INDEX(대장!$F$1:$F$501,$A90))),"확인 필요",IF(AND(INDEX(대장!$G$1:$G$501,$A90)&lt;&gt;"",NOT(ISNUMBER(INDEX(대장!$G$1:$G$501,$A90)))),"확인 필요",IF(AND(ISNUMBER(INDEX(대장!$G$1:$G$501,$A90)),INDEX(대장!$G$1:$G$501,$A90)&lt;INDEX(대장!$F$1:$F$501,$A90)),"확인 필요",IF(INDEX(대장!$L$1:$L$501,$A90)&lt;&gt;"","메모 있음","정상")))))</x:f>
        <x:v>#NAME?</x:v>
      </x:c>
      <x:c r="F90" s="19" t="e">
        <x:f>IF($A90="","",IF($E90="확인 필요","시작일·종료일과 기간 순서를 확인해 주세요.",IF($E90="메모 있음",IFERROR(INDEX(대장!$L$1:$L$501,$A90),""),"")))</x:f>
        <x:v>#NAME?</x:v>
      </x:c>
    </x:row>
    <x:row r="91">
      <x:c r="A91" s="17" t="e">
        <x:f>IF(INDEX(대장!$A$1:$A$501,ROW()-2)="","",ROW()-2)</x:f>
        <x:v>#NAME?</x:v>
      </x:c>
      <x:c r="B91" s="18" t="e">
        <x:f>IF($A91="","",INDEX(대장!$A$1:$A$501,$A91))</x:f>
        <x:v>#NAME?</x:v>
      </x:c>
      <x:c r="C91" s="45" t="e">
        <x:f>IFERROR(IF($A91="","",INDEX(대장!$F$1:$F$501,$A91)),"")</x:f>
        <x:v>#NAME?</x:v>
      </x:c>
      <x:c r="D91" s="45" t="e">
        <x:f>IFERROR(IF($A91="","",INDEX(대장!$G$1:$G$501,$A91)),"")</x:f>
        <x:v>#NAME?</x:v>
      </x:c>
      <x:c r="E91" s="18" t="e">
        <x:f>IF($A91="","",IF(NOT(ISNUMBER(INDEX(대장!$F$1:$F$501,$A91))),"확인 필요",IF(AND(INDEX(대장!$G$1:$G$501,$A91)&lt;&gt;"",NOT(ISNUMBER(INDEX(대장!$G$1:$G$501,$A91)))),"확인 필요",IF(AND(ISNUMBER(INDEX(대장!$G$1:$G$501,$A91)),INDEX(대장!$G$1:$G$501,$A91)&lt;INDEX(대장!$F$1:$F$501,$A91)),"확인 필요",IF(INDEX(대장!$L$1:$L$501,$A91)&lt;&gt;"","메모 있음","정상")))))</x:f>
        <x:v>#NAME?</x:v>
      </x:c>
      <x:c r="F91" s="19" t="e">
        <x:f>IF($A91="","",IF($E91="확인 필요","시작일·종료일과 기간 순서를 확인해 주세요.",IF($E91="메모 있음",IFERROR(INDEX(대장!$L$1:$L$501,$A91),""),"")))</x:f>
        <x:v>#NAME?</x:v>
      </x:c>
    </x:row>
    <x:row r="92">
      <x:c r="A92" s="17" t="e">
        <x:f>IF(INDEX(대장!$A$1:$A$501,ROW()-2)="","",ROW()-2)</x:f>
        <x:v>#NAME?</x:v>
      </x:c>
      <x:c r="B92" s="18" t="e">
        <x:f>IF($A92="","",INDEX(대장!$A$1:$A$501,$A92))</x:f>
        <x:v>#NAME?</x:v>
      </x:c>
      <x:c r="C92" s="45" t="e">
        <x:f>IFERROR(IF($A92="","",INDEX(대장!$F$1:$F$501,$A92)),"")</x:f>
        <x:v>#NAME?</x:v>
      </x:c>
      <x:c r="D92" s="45" t="e">
        <x:f>IFERROR(IF($A92="","",INDEX(대장!$G$1:$G$501,$A92)),"")</x:f>
        <x:v>#NAME?</x:v>
      </x:c>
      <x:c r="E92" s="18" t="e">
        <x:f>IF($A92="","",IF(NOT(ISNUMBER(INDEX(대장!$F$1:$F$501,$A92))),"확인 필요",IF(AND(INDEX(대장!$G$1:$G$501,$A92)&lt;&gt;"",NOT(ISNUMBER(INDEX(대장!$G$1:$G$501,$A92)))),"확인 필요",IF(AND(ISNUMBER(INDEX(대장!$G$1:$G$501,$A92)),INDEX(대장!$G$1:$G$501,$A92)&lt;INDEX(대장!$F$1:$F$501,$A92)),"확인 필요",IF(INDEX(대장!$L$1:$L$501,$A92)&lt;&gt;"","메모 있음","정상")))))</x:f>
        <x:v>#NAME?</x:v>
      </x:c>
      <x:c r="F92" s="19" t="e">
        <x:f>IF($A92="","",IF($E92="확인 필요","시작일·종료일과 기간 순서를 확인해 주세요.",IF($E92="메모 있음",IFERROR(INDEX(대장!$L$1:$L$501,$A92),""),"")))</x:f>
        <x:v>#NAME?</x:v>
      </x:c>
    </x:row>
    <x:row r="93">
      <x:c r="A93" s="17" t="e">
        <x:f>IF(INDEX(대장!$A$1:$A$501,ROW()-2)="","",ROW()-2)</x:f>
        <x:v>#NAME?</x:v>
      </x:c>
      <x:c r="B93" s="18" t="e">
        <x:f>IF($A93="","",INDEX(대장!$A$1:$A$501,$A93))</x:f>
        <x:v>#NAME?</x:v>
      </x:c>
      <x:c r="C93" s="45" t="e">
        <x:f>IFERROR(IF($A93="","",INDEX(대장!$F$1:$F$501,$A93)),"")</x:f>
        <x:v>#NAME?</x:v>
      </x:c>
      <x:c r="D93" s="45" t="e">
        <x:f>IFERROR(IF($A93="","",INDEX(대장!$G$1:$G$501,$A93)),"")</x:f>
        <x:v>#NAME?</x:v>
      </x:c>
      <x:c r="E93" s="18" t="e">
        <x:f>IF($A93="","",IF(NOT(ISNUMBER(INDEX(대장!$F$1:$F$501,$A93))),"확인 필요",IF(AND(INDEX(대장!$G$1:$G$501,$A93)&lt;&gt;"",NOT(ISNUMBER(INDEX(대장!$G$1:$G$501,$A93)))),"확인 필요",IF(AND(ISNUMBER(INDEX(대장!$G$1:$G$501,$A93)),INDEX(대장!$G$1:$G$501,$A93)&lt;INDEX(대장!$F$1:$F$501,$A93)),"확인 필요",IF(INDEX(대장!$L$1:$L$501,$A93)&lt;&gt;"","메모 있음","정상")))))</x:f>
        <x:v>#NAME?</x:v>
      </x:c>
      <x:c r="F93" s="19" t="e">
        <x:f>IF($A93="","",IF($E93="확인 필요","시작일·종료일과 기간 순서를 확인해 주세요.",IF($E93="메모 있음",IFERROR(INDEX(대장!$L$1:$L$501,$A93),""),"")))</x:f>
        <x:v>#NAME?</x:v>
      </x:c>
    </x:row>
    <x:row r="94">
      <x:c r="A94" s="17" t="e">
        <x:f>IF(INDEX(대장!$A$1:$A$501,ROW()-2)="","",ROW()-2)</x:f>
        <x:v>#NAME?</x:v>
      </x:c>
      <x:c r="B94" s="18" t="e">
        <x:f>IF($A94="","",INDEX(대장!$A$1:$A$501,$A94))</x:f>
        <x:v>#NAME?</x:v>
      </x:c>
      <x:c r="C94" s="45" t="e">
        <x:f>IFERROR(IF($A94="","",INDEX(대장!$F$1:$F$501,$A94)),"")</x:f>
        <x:v>#NAME?</x:v>
      </x:c>
      <x:c r="D94" s="45" t="e">
        <x:f>IFERROR(IF($A94="","",INDEX(대장!$G$1:$G$501,$A94)),"")</x:f>
        <x:v>#NAME?</x:v>
      </x:c>
      <x:c r="E94" s="18" t="e">
        <x:f>IF($A94="","",IF(NOT(ISNUMBER(INDEX(대장!$F$1:$F$501,$A94))),"확인 필요",IF(AND(INDEX(대장!$G$1:$G$501,$A94)&lt;&gt;"",NOT(ISNUMBER(INDEX(대장!$G$1:$G$501,$A94)))),"확인 필요",IF(AND(ISNUMBER(INDEX(대장!$G$1:$G$501,$A94)),INDEX(대장!$G$1:$G$501,$A94)&lt;INDEX(대장!$F$1:$F$501,$A94)),"확인 필요",IF(INDEX(대장!$L$1:$L$501,$A94)&lt;&gt;"","메모 있음","정상")))))</x:f>
        <x:v>#NAME?</x:v>
      </x:c>
      <x:c r="F94" s="19" t="e">
        <x:f>IF($A94="","",IF($E94="확인 필요","시작일·종료일과 기간 순서를 확인해 주세요.",IF($E94="메모 있음",IFERROR(INDEX(대장!$L$1:$L$501,$A94),""),"")))</x:f>
        <x:v>#NAME?</x:v>
      </x:c>
    </x:row>
    <x:row r="95">
      <x:c r="A95" s="17" t="e">
        <x:f>IF(INDEX(대장!$A$1:$A$501,ROW()-2)="","",ROW()-2)</x:f>
        <x:v>#NAME?</x:v>
      </x:c>
      <x:c r="B95" s="18" t="e">
        <x:f>IF($A95="","",INDEX(대장!$A$1:$A$501,$A95))</x:f>
        <x:v>#NAME?</x:v>
      </x:c>
      <x:c r="C95" s="45" t="e">
        <x:f>IFERROR(IF($A95="","",INDEX(대장!$F$1:$F$501,$A95)),"")</x:f>
        <x:v>#NAME?</x:v>
      </x:c>
      <x:c r="D95" s="45" t="e">
        <x:f>IFERROR(IF($A95="","",INDEX(대장!$G$1:$G$501,$A95)),"")</x:f>
        <x:v>#NAME?</x:v>
      </x:c>
      <x:c r="E95" s="18" t="e">
        <x:f>IF($A95="","",IF(NOT(ISNUMBER(INDEX(대장!$F$1:$F$501,$A95))),"확인 필요",IF(AND(INDEX(대장!$G$1:$G$501,$A95)&lt;&gt;"",NOT(ISNUMBER(INDEX(대장!$G$1:$G$501,$A95)))),"확인 필요",IF(AND(ISNUMBER(INDEX(대장!$G$1:$G$501,$A95)),INDEX(대장!$G$1:$G$501,$A95)&lt;INDEX(대장!$F$1:$F$501,$A95)),"확인 필요",IF(INDEX(대장!$L$1:$L$501,$A95)&lt;&gt;"","메모 있음","정상")))))</x:f>
        <x:v>#NAME?</x:v>
      </x:c>
      <x:c r="F95" s="19" t="e">
        <x:f>IF($A95="","",IF($E95="확인 필요","시작일·종료일과 기간 순서를 확인해 주세요.",IF($E95="메모 있음",IFERROR(INDEX(대장!$L$1:$L$501,$A95),""),"")))</x:f>
        <x:v>#NAME?</x:v>
      </x:c>
    </x:row>
    <x:row r="96">
      <x:c r="A96" s="17" t="e">
        <x:f>IF(INDEX(대장!$A$1:$A$501,ROW()-2)="","",ROW()-2)</x:f>
        <x:v>#NAME?</x:v>
      </x:c>
      <x:c r="B96" s="18" t="e">
        <x:f>IF($A96="","",INDEX(대장!$A$1:$A$501,$A96))</x:f>
        <x:v>#NAME?</x:v>
      </x:c>
      <x:c r="C96" s="45" t="e">
        <x:f>IFERROR(IF($A96="","",INDEX(대장!$F$1:$F$501,$A96)),"")</x:f>
        <x:v>#NAME?</x:v>
      </x:c>
      <x:c r="D96" s="45" t="e">
        <x:f>IFERROR(IF($A96="","",INDEX(대장!$G$1:$G$501,$A96)),"")</x:f>
        <x:v>#NAME?</x:v>
      </x:c>
      <x:c r="E96" s="18" t="e">
        <x:f>IF($A96="","",IF(NOT(ISNUMBER(INDEX(대장!$F$1:$F$501,$A96))),"확인 필요",IF(AND(INDEX(대장!$G$1:$G$501,$A96)&lt;&gt;"",NOT(ISNUMBER(INDEX(대장!$G$1:$G$501,$A96)))),"확인 필요",IF(AND(ISNUMBER(INDEX(대장!$G$1:$G$501,$A96)),INDEX(대장!$G$1:$G$501,$A96)&lt;INDEX(대장!$F$1:$F$501,$A96)),"확인 필요",IF(INDEX(대장!$L$1:$L$501,$A96)&lt;&gt;"","메모 있음","정상")))))</x:f>
        <x:v>#NAME?</x:v>
      </x:c>
      <x:c r="F96" s="19" t="e">
        <x:f>IF($A96="","",IF($E96="확인 필요","시작일·종료일과 기간 순서를 확인해 주세요.",IF($E96="메모 있음",IFERROR(INDEX(대장!$L$1:$L$501,$A96),""),"")))</x:f>
        <x:v>#NAME?</x:v>
      </x:c>
    </x:row>
    <x:row r="97">
      <x:c r="A97" s="17" t="e">
        <x:f>IF(INDEX(대장!$A$1:$A$501,ROW()-2)="","",ROW()-2)</x:f>
        <x:v>#NAME?</x:v>
      </x:c>
      <x:c r="B97" s="18" t="e">
        <x:f>IF($A97="","",INDEX(대장!$A$1:$A$501,$A97))</x:f>
        <x:v>#NAME?</x:v>
      </x:c>
      <x:c r="C97" s="45" t="e">
        <x:f>IFERROR(IF($A97="","",INDEX(대장!$F$1:$F$501,$A97)),"")</x:f>
        <x:v>#NAME?</x:v>
      </x:c>
      <x:c r="D97" s="45" t="e">
        <x:f>IFERROR(IF($A97="","",INDEX(대장!$G$1:$G$501,$A97)),"")</x:f>
        <x:v>#NAME?</x:v>
      </x:c>
      <x:c r="E97" s="18" t="e">
        <x:f>IF($A97="","",IF(NOT(ISNUMBER(INDEX(대장!$F$1:$F$501,$A97))),"확인 필요",IF(AND(INDEX(대장!$G$1:$G$501,$A97)&lt;&gt;"",NOT(ISNUMBER(INDEX(대장!$G$1:$G$501,$A97)))),"확인 필요",IF(AND(ISNUMBER(INDEX(대장!$G$1:$G$501,$A97)),INDEX(대장!$G$1:$G$501,$A97)&lt;INDEX(대장!$F$1:$F$501,$A97)),"확인 필요",IF(INDEX(대장!$L$1:$L$501,$A97)&lt;&gt;"","메모 있음","정상")))))</x:f>
        <x:v>#NAME?</x:v>
      </x:c>
      <x:c r="F97" s="19" t="e">
        <x:f>IF($A97="","",IF($E97="확인 필요","시작일·종료일과 기간 순서를 확인해 주세요.",IF($E97="메모 있음",IFERROR(INDEX(대장!$L$1:$L$501,$A97),""),"")))</x:f>
        <x:v>#NAME?</x:v>
      </x:c>
    </x:row>
    <x:row r="98">
      <x:c r="A98" s="17" t="e">
        <x:f>IF(INDEX(대장!$A$1:$A$501,ROW()-2)="","",ROW()-2)</x:f>
        <x:v>#NAME?</x:v>
      </x:c>
      <x:c r="B98" s="18" t="e">
        <x:f>IF($A98="","",INDEX(대장!$A$1:$A$501,$A98))</x:f>
        <x:v>#NAME?</x:v>
      </x:c>
      <x:c r="C98" s="45" t="e">
        <x:f>IFERROR(IF($A98="","",INDEX(대장!$F$1:$F$501,$A98)),"")</x:f>
        <x:v>#NAME?</x:v>
      </x:c>
      <x:c r="D98" s="45" t="e">
        <x:f>IFERROR(IF($A98="","",INDEX(대장!$G$1:$G$501,$A98)),"")</x:f>
        <x:v>#NAME?</x:v>
      </x:c>
      <x:c r="E98" s="18" t="e">
        <x:f>IF($A98="","",IF(NOT(ISNUMBER(INDEX(대장!$F$1:$F$501,$A98))),"확인 필요",IF(AND(INDEX(대장!$G$1:$G$501,$A98)&lt;&gt;"",NOT(ISNUMBER(INDEX(대장!$G$1:$G$501,$A98)))),"확인 필요",IF(AND(ISNUMBER(INDEX(대장!$G$1:$G$501,$A98)),INDEX(대장!$G$1:$G$501,$A98)&lt;INDEX(대장!$F$1:$F$501,$A98)),"확인 필요",IF(INDEX(대장!$L$1:$L$501,$A98)&lt;&gt;"","메모 있음","정상")))))</x:f>
        <x:v>#NAME?</x:v>
      </x:c>
      <x:c r="F98" s="19" t="e">
        <x:f>IF($A98="","",IF($E98="확인 필요","시작일·종료일과 기간 순서를 확인해 주세요.",IF($E98="메모 있음",IFERROR(INDEX(대장!$L$1:$L$501,$A98),""),"")))</x:f>
        <x:v>#NAME?</x:v>
      </x:c>
    </x:row>
    <x:row r="99">
      <x:c r="A99" s="17" t="e">
        <x:f>IF(INDEX(대장!$A$1:$A$501,ROW()-2)="","",ROW()-2)</x:f>
        <x:v>#NAME?</x:v>
      </x:c>
      <x:c r="B99" s="18" t="e">
        <x:f>IF($A99="","",INDEX(대장!$A$1:$A$501,$A99))</x:f>
        <x:v>#NAME?</x:v>
      </x:c>
      <x:c r="C99" s="45" t="e">
        <x:f>IFERROR(IF($A99="","",INDEX(대장!$F$1:$F$501,$A99)),"")</x:f>
        <x:v>#NAME?</x:v>
      </x:c>
      <x:c r="D99" s="45" t="e">
        <x:f>IFERROR(IF($A99="","",INDEX(대장!$G$1:$G$501,$A99)),"")</x:f>
        <x:v>#NAME?</x:v>
      </x:c>
      <x:c r="E99" s="18" t="e">
        <x:f>IF($A99="","",IF(NOT(ISNUMBER(INDEX(대장!$F$1:$F$501,$A99))),"확인 필요",IF(AND(INDEX(대장!$G$1:$G$501,$A99)&lt;&gt;"",NOT(ISNUMBER(INDEX(대장!$G$1:$G$501,$A99)))),"확인 필요",IF(AND(ISNUMBER(INDEX(대장!$G$1:$G$501,$A99)),INDEX(대장!$G$1:$G$501,$A99)&lt;INDEX(대장!$F$1:$F$501,$A99)),"확인 필요",IF(INDEX(대장!$L$1:$L$501,$A99)&lt;&gt;"","메모 있음","정상")))))</x:f>
        <x:v>#NAME?</x:v>
      </x:c>
      <x:c r="F99" s="19" t="e">
        <x:f>IF($A99="","",IF($E99="확인 필요","시작일·종료일과 기간 순서를 확인해 주세요.",IF($E99="메모 있음",IFERROR(INDEX(대장!$L$1:$L$501,$A99),""),"")))</x:f>
        <x:v>#NAME?</x:v>
      </x:c>
    </x:row>
    <x:row r="100">
      <x:c r="A100" s="17" t="e">
        <x:f>IF(INDEX(대장!$A$1:$A$501,ROW()-2)="","",ROW()-2)</x:f>
        <x:v>#NAME?</x:v>
      </x:c>
      <x:c r="B100" s="18" t="e">
        <x:f>IF($A100="","",INDEX(대장!$A$1:$A$501,$A100))</x:f>
        <x:v>#NAME?</x:v>
      </x:c>
      <x:c r="C100" s="45" t="e">
        <x:f>IFERROR(IF($A100="","",INDEX(대장!$F$1:$F$501,$A100)),"")</x:f>
        <x:v>#NAME?</x:v>
      </x:c>
      <x:c r="D100" s="45" t="e">
        <x:f>IFERROR(IF($A100="","",INDEX(대장!$G$1:$G$501,$A100)),"")</x:f>
        <x:v>#NAME?</x:v>
      </x:c>
      <x:c r="E100" s="18" t="e">
        <x:f>IF($A100="","",IF(NOT(ISNUMBER(INDEX(대장!$F$1:$F$501,$A100))),"확인 필요",IF(AND(INDEX(대장!$G$1:$G$501,$A100)&lt;&gt;"",NOT(ISNUMBER(INDEX(대장!$G$1:$G$501,$A100)))),"확인 필요",IF(AND(ISNUMBER(INDEX(대장!$G$1:$G$501,$A100)),INDEX(대장!$G$1:$G$501,$A100)&lt;INDEX(대장!$F$1:$F$501,$A100)),"확인 필요",IF(INDEX(대장!$L$1:$L$501,$A100)&lt;&gt;"","메모 있음","정상")))))</x:f>
        <x:v>#NAME?</x:v>
      </x:c>
      <x:c r="F100" s="19" t="e">
        <x:f>IF($A100="","",IF($E100="확인 필요","시작일·종료일과 기간 순서를 확인해 주세요.",IF($E100="메모 있음",IFERROR(INDEX(대장!$L$1:$L$501,$A100),""),"")))</x:f>
        <x:v>#NAME?</x:v>
      </x:c>
    </x:row>
    <x:row r="101">
      <x:c r="A101" s="17" t="e">
        <x:f>IF(INDEX(대장!$A$1:$A$501,ROW()-2)="","",ROW()-2)</x:f>
        <x:v>#NAME?</x:v>
      </x:c>
      <x:c r="B101" s="18" t="e">
        <x:f>IF($A101="","",INDEX(대장!$A$1:$A$501,$A101))</x:f>
        <x:v>#NAME?</x:v>
      </x:c>
      <x:c r="C101" s="45" t="e">
        <x:f>IFERROR(IF($A101="","",INDEX(대장!$F$1:$F$501,$A101)),"")</x:f>
        <x:v>#NAME?</x:v>
      </x:c>
      <x:c r="D101" s="45" t="e">
        <x:f>IFERROR(IF($A101="","",INDEX(대장!$G$1:$G$501,$A101)),"")</x:f>
        <x:v>#NAME?</x:v>
      </x:c>
      <x:c r="E101" s="18" t="e">
        <x:f>IF($A101="","",IF(NOT(ISNUMBER(INDEX(대장!$F$1:$F$501,$A101))),"확인 필요",IF(AND(INDEX(대장!$G$1:$G$501,$A101)&lt;&gt;"",NOT(ISNUMBER(INDEX(대장!$G$1:$G$501,$A101)))),"확인 필요",IF(AND(ISNUMBER(INDEX(대장!$G$1:$G$501,$A101)),INDEX(대장!$G$1:$G$501,$A101)&lt;INDEX(대장!$F$1:$F$501,$A101)),"확인 필요",IF(INDEX(대장!$L$1:$L$501,$A101)&lt;&gt;"","메모 있음","정상")))))</x:f>
        <x:v>#NAME?</x:v>
      </x:c>
      <x:c r="F101" s="19" t="e">
        <x:f>IF($A101="","",IF($E101="확인 필요","시작일·종료일과 기간 순서를 확인해 주세요.",IF($E101="메모 있음",IFERROR(INDEX(대장!$L$1:$L$501,$A101),""),"")))</x:f>
        <x:v>#NAME?</x:v>
      </x:c>
    </x:row>
    <x:row r="102">
      <x:c r="A102" s="20" t="e">
        <x:f>IF(INDEX(대장!$A$1:$A$501,ROW()-2)="","",ROW()-2)</x:f>
        <x:v>#NAME?</x:v>
      </x:c>
      <x:c r="B102" s="21" t="e">
        <x:f>IF($A102="","",INDEX(대장!$A$1:$A$501,$A102))</x:f>
        <x:v>#NAME?</x:v>
      </x:c>
      <x:c r="C102" s="45" t="e">
        <x:f>IFERROR(IF($A102="","",INDEX(대장!$F$1:$F$501,$A102)),"")</x:f>
        <x:v>#NAME?</x:v>
      </x:c>
      <x:c r="D102" s="45" t="e">
        <x:f>IFERROR(IF($A102="","",INDEX(대장!$G$1:$G$501,$A102)),"")</x:f>
        <x:v>#NAME?</x:v>
      </x:c>
      <x:c r="E102" s="21" t="e">
        <x:f>IF($A102="","",IF(NOT(ISNUMBER(INDEX(대장!$F$1:$F$501,$A102))),"확인 필요",IF(AND(INDEX(대장!$G$1:$G$501,$A102)&lt;&gt;"",NOT(ISNUMBER(INDEX(대장!$G$1:$G$501,$A102)))),"확인 필요",IF(AND(ISNUMBER(INDEX(대장!$G$1:$G$501,$A102)),INDEX(대장!$G$1:$G$501,$A102)&lt;INDEX(대장!$F$1:$F$501,$A102)),"확인 필요",IF(INDEX(대장!$L$1:$L$501,$A102)&lt;&gt;"","메모 있음","정상")))))</x:f>
        <x:v>#NAME?</x:v>
      </x:c>
      <x:c r="F102" s="22" t="e">
        <x:f>IF($A102="","",IF($E102="확인 필요","시작일·종료일과 기간 순서를 확인해 주세요.",IF($E102="메모 있음",IFERROR(INDEX(대장!$L$1:$L$501,$A102),""),"")))</x:f>
        <x:v>#NAME?</x:v>
      </x:c>
    </x:row>
    <x:row r="103">
      <x:c r="A103" t="e">
        <x:f>IF(INDEX(대장!$A$1:$A$501,ROW()-2)="","",ROW()-2)</x:f>
        <x:v>#NAME?</x:v>
      </x:c>
      <x:c r="B103" t="e">
        <x:f>IF($A103="","",INDEX(대장!$A$1:$A$501,$A103))</x:f>
        <x:v>#NAME?</x:v>
      </x:c>
      <x:c r="C103" s="46" t="e">
        <x:f>IFERROR(IF($A103="","",INDEX(대장!$F$1:$F$501,$A103)),"")</x:f>
        <x:v>#NAME?</x:v>
      </x:c>
      <x:c r="D103" s="46" t="e">
        <x:f>IFERROR(IF($A103="","",INDEX(대장!$G$1:$G$501,$A103)),"")</x:f>
        <x:v>#NAME?</x:v>
      </x:c>
      <x:c r="E103" t="e">
        <x:f>IF($A103="","",IF(NOT(ISNUMBER(INDEX(대장!$F$1:$F$501,$A103))),"확인 필요",IF(AND(INDEX(대장!$G$1:$G$501,$A103)&lt;&gt;"",NOT(ISNUMBER(INDEX(대장!$G$1:$G$501,$A103)))),"확인 필요",IF(AND(ISNUMBER(INDEX(대장!$G$1:$G$501,$A103)),INDEX(대장!$G$1:$G$501,$A103)&lt;INDEX(대장!$F$1:$F$501,$A103)),"확인 필요",IF(INDEX(대장!$L$1:$L$501,$A103)&lt;&gt;"","메모 있음","정상")))))</x:f>
        <x:v>#NAME?</x:v>
      </x:c>
      <x:c r="F103" t="e">
        <x:f>IF($A103="","",IF($E103="확인 필요","시작일·종료일과 기간 순서를 확인해 주세요.",IF($E103="메모 있음",IFERROR(INDEX(대장!$L$1:$L$501,$A103),""),"")))</x:f>
        <x:v>#NAME?</x:v>
      </x:c>
    </x:row>
    <x:row r="104">
      <x:c r="A104" t="e">
        <x:f>IF(INDEX(대장!$A$1:$A$501,ROW()-2)="","",ROW()-2)</x:f>
        <x:v>#NAME?</x:v>
      </x:c>
      <x:c r="B104" t="e">
        <x:f>IF($A104="","",INDEX(대장!$A$1:$A$501,$A104))</x:f>
        <x:v>#NAME?</x:v>
      </x:c>
      <x:c r="C104" s="46" t="e">
        <x:f>IFERROR(IF($A104="","",INDEX(대장!$F$1:$F$501,$A104)),"")</x:f>
        <x:v>#NAME?</x:v>
      </x:c>
      <x:c r="D104" s="46" t="e">
        <x:f>IFERROR(IF($A104="","",INDEX(대장!$G$1:$G$501,$A104)),"")</x:f>
        <x:v>#NAME?</x:v>
      </x:c>
      <x:c r="E104" t="e">
        <x:f>IF($A104="","",IF(NOT(ISNUMBER(INDEX(대장!$F$1:$F$501,$A104))),"확인 필요",IF(AND(INDEX(대장!$G$1:$G$501,$A104)&lt;&gt;"",NOT(ISNUMBER(INDEX(대장!$G$1:$G$501,$A104)))),"확인 필요",IF(AND(ISNUMBER(INDEX(대장!$G$1:$G$501,$A104)),INDEX(대장!$G$1:$G$501,$A104)&lt;INDEX(대장!$F$1:$F$501,$A104)),"확인 필요",IF(INDEX(대장!$L$1:$L$501,$A104)&lt;&gt;"","메모 있음","정상")))))</x:f>
        <x:v>#NAME?</x:v>
      </x:c>
      <x:c r="F104" t="e">
        <x:f>IF($A104="","",IF($E104="확인 필요","시작일·종료일과 기간 순서를 확인해 주세요.",IF($E104="메모 있음",IFERROR(INDEX(대장!$L$1:$L$501,$A104),""),"")))</x:f>
        <x:v>#NAME?</x:v>
      </x:c>
    </x:row>
    <x:row r="105">
      <x:c r="A105" t="e">
        <x:f>IF(INDEX(대장!$A$1:$A$501,ROW()-2)="","",ROW()-2)</x:f>
        <x:v>#NAME?</x:v>
      </x:c>
      <x:c r="B105" t="e">
        <x:f>IF($A105="","",INDEX(대장!$A$1:$A$501,$A105))</x:f>
        <x:v>#NAME?</x:v>
      </x:c>
      <x:c r="C105" s="46" t="e">
        <x:f>IFERROR(IF($A105="","",INDEX(대장!$F$1:$F$501,$A105)),"")</x:f>
        <x:v>#NAME?</x:v>
      </x:c>
      <x:c r="D105" s="46" t="e">
        <x:f>IFERROR(IF($A105="","",INDEX(대장!$G$1:$G$501,$A105)),"")</x:f>
        <x:v>#NAME?</x:v>
      </x:c>
      <x:c r="E105" t="e">
        <x:f>IF($A105="","",IF(NOT(ISNUMBER(INDEX(대장!$F$1:$F$501,$A105))),"확인 필요",IF(AND(INDEX(대장!$G$1:$G$501,$A105)&lt;&gt;"",NOT(ISNUMBER(INDEX(대장!$G$1:$G$501,$A105)))),"확인 필요",IF(AND(ISNUMBER(INDEX(대장!$G$1:$G$501,$A105)),INDEX(대장!$G$1:$G$501,$A105)&lt;INDEX(대장!$F$1:$F$501,$A105)),"확인 필요",IF(INDEX(대장!$L$1:$L$501,$A105)&lt;&gt;"","메모 있음","정상")))))</x:f>
        <x:v>#NAME?</x:v>
      </x:c>
      <x:c r="F105" t="e">
        <x:f>IF($A105="","",IF($E105="확인 필요","시작일·종료일과 기간 순서를 확인해 주세요.",IF($E105="메모 있음",IFERROR(INDEX(대장!$L$1:$L$501,$A105),""),"")))</x:f>
        <x:v>#NAME?</x:v>
      </x:c>
    </x:row>
    <x:row r="106">
      <x:c r="A106" t="e">
        <x:f>IF(INDEX(대장!$A$1:$A$501,ROW()-2)="","",ROW()-2)</x:f>
        <x:v>#NAME?</x:v>
      </x:c>
      <x:c r="B106" t="e">
        <x:f>IF($A106="","",INDEX(대장!$A$1:$A$501,$A106))</x:f>
        <x:v>#NAME?</x:v>
      </x:c>
      <x:c r="C106" s="46" t="e">
        <x:f>IFERROR(IF($A106="","",INDEX(대장!$F$1:$F$501,$A106)),"")</x:f>
        <x:v>#NAME?</x:v>
      </x:c>
      <x:c r="D106" s="46" t="e">
        <x:f>IFERROR(IF($A106="","",INDEX(대장!$G$1:$G$501,$A106)),"")</x:f>
        <x:v>#NAME?</x:v>
      </x:c>
      <x:c r="E106" t="e">
        <x:f>IF($A106="","",IF(NOT(ISNUMBER(INDEX(대장!$F$1:$F$501,$A106))),"확인 필요",IF(AND(INDEX(대장!$G$1:$G$501,$A106)&lt;&gt;"",NOT(ISNUMBER(INDEX(대장!$G$1:$G$501,$A106)))),"확인 필요",IF(AND(ISNUMBER(INDEX(대장!$G$1:$G$501,$A106)),INDEX(대장!$G$1:$G$501,$A106)&lt;INDEX(대장!$F$1:$F$501,$A106)),"확인 필요",IF(INDEX(대장!$L$1:$L$501,$A106)&lt;&gt;"","메모 있음","정상")))))</x:f>
        <x:v>#NAME?</x:v>
      </x:c>
      <x:c r="F106" t="e">
        <x:f>IF($A106="","",IF($E106="확인 필요","시작일·종료일과 기간 순서를 확인해 주세요.",IF($E106="메모 있음",IFERROR(INDEX(대장!$L$1:$L$501,$A106),""),"")))</x:f>
        <x:v>#NAME?</x:v>
      </x:c>
    </x:row>
    <x:row r="107">
      <x:c r="A107" t="e">
        <x:f>IF(INDEX(대장!$A$1:$A$501,ROW()-2)="","",ROW()-2)</x:f>
        <x:v>#NAME?</x:v>
      </x:c>
      <x:c r="B107" t="e">
        <x:f>IF($A107="","",INDEX(대장!$A$1:$A$501,$A107))</x:f>
        <x:v>#NAME?</x:v>
      </x:c>
      <x:c r="C107" s="46" t="e">
        <x:f>IFERROR(IF($A107="","",INDEX(대장!$F$1:$F$501,$A107)),"")</x:f>
        <x:v>#NAME?</x:v>
      </x:c>
      <x:c r="D107" s="46" t="e">
        <x:f>IFERROR(IF($A107="","",INDEX(대장!$G$1:$G$501,$A107)),"")</x:f>
        <x:v>#NAME?</x:v>
      </x:c>
      <x:c r="E107" t="e">
        <x:f>IF($A107="","",IF(NOT(ISNUMBER(INDEX(대장!$F$1:$F$501,$A107))),"확인 필요",IF(AND(INDEX(대장!$G$1:$G$501,$A107)&lt;&gt;"",NOT(ISNUMBER(INDEX(대장!$G$1:$G$501,$A107)))),"확인 필요",IF(AND(ISNUMBER(INDEX(대장!$G$1:$G$501,$A107)),INDEX(대장!$G$1:$G$501,$A107)&lt;INDEX(대장!$F$1:$F$501,$A107)),"확인 필요",IF(INDEX(대장!$L$1:$L$501,$A107)&lt;&gt;"","메모 있음","정상")))))</x:f>
        <x:v>#NAME?</x:v>
      </x:c>
      <x:c r="F107" t="e">
        <x:f>IF($A107="","",IF($E107="확인 필요","시작일·종료일과 기간 순서를 확인해 주세요.",IF($E107="메모 있음",IFERROR(INDEX(대장!$L$1:$L$501,$A107),""),"")))</x:f>
        <x:v>#NAME?</x:v>
      </x:c>
    </x:row>
    <x:row r="108">
      <x:c r="A108" t="e">
        <x:f>IF(INDEX(대장!$A$1:$A$501,ROW()-2)="","",ROW()-2)</x:f>
        <x:v>#NAME?</x:v>
      </x:c>
      <x:c r="B108" t="e">
        <x:f>IF($A108="","",INDEX(대장!$A$1:$A$501,$A108))</x:f>
        <x:v>#NAME?</x:v>
      </x:c>
      <x:c r="C108" s="46" t="e">
        <x:f>IFERROR(IF($A108="","",INDEX(대장!$F$1:$F$501,$A108)),"")</x:f>
        <x:v>#NAME?</x:v>
      </x:c>
      <x:c r="D108" s="46" t="e">
        <x:f>IFERROR(IF($A108="","",INDEX(대장!$G$1:$G$501,$A108)),"")</x:f>
        <x:v>#NAME?</x:v>
      </x:c>
      <x:c r="E108" t="e">
        <x:f>IF($A108="","",IF(NOT(ISNUMBER(INDEX(대장!$F$1:$F$501,$A108))),"확인 필요",IF(AND(INDEX(대장!$G$1:$G$501,$A108)&lt;&gt;"",NOT(ISNUMBER(INDEX(대장!$G$1:$G$501,$A108)))),"확인 필요",IF(AND(ISNUMBER(INDEX(대장!$G$1:$G$501,$A108)),INDEX(대장!$G$1:$G$501,$A108)&lt;INDEX(대장!$F$1:$F$501,$A108)),"확인 필요",IF(INDEX(대장!$L$1:$L$501,$A108)&lt;&gt;"","메모 있음","정상")))))</x:f>
        <x:v>#NAME?</x:v>
      </x:c>
      <x:c r="F108" t="e">
        <x:f>IF($A108="","",IF($E108="확인 필요","시작일·종료일과 기간 순서를 확인해 주세요.",IF($E108="메모 있음",IFERROR(INDEX(대장!$L$1:$L$501,$A108),""),"")))</x:f>
        <x:v>#NAME?</x:v>
      </x:c>
    </x:row>
    <x:row r="109">
      <x:c r="A109" t="e">
        <x:f>IF(INDEX(대장!$A$1:$A$501,ROW()-2)="","",ROW()-2)</x:f>
        <x:v>#NAME?</x:v>
      </x:c>
      <x:c r="B109" t="e">
        <x:f>IF($A109="","",INDEX(대장!$A$1:$A$501,$A109))</x:f>
        <x:v>#NAME?</x:v>
      </x:c>
      <x:c r="C109" s="46" t="e">
        <x:f>IFERROR(IF($A109="","",INDEX(대장!$F$1:$F$501,$A109)),"")</x:f>
        <x:v>#NAME?</x:v>
      </x:c>
      <x:c r="D109" s="46" t="e">
        <x:f>IFERROR(IF($A109="","",INDEX(대장!$G$1:$G$501,$A109)),"")</x:f>
        <x:v>#NAME?</x:v>
      </x:c>
      <x:c r="E109" t="e">
        <x:f>IF($A109="","",IF(NOT(ISNUMBER(INDEX(대장!$F$1:$F$501,$A109))),"확인 필요",IF(AND(INDEX(대장!$G$1:$G$501,$A109)&lt;&gt;"",NOT(ISNUMBER(INDEX(대장!$G$1:$G$501,$A109)))),"확인 필요",IF(AND(ISNUMBER(INDEX(대장!$G$1:$G$501,$A109)),INDEX(대장!$G$1:$G$501,$A109)&lt;INDEX(대장!$F$1:$F$501,$A109)),"확인 필요",IF(INDEX(대장!$L$1:$L$501,$A109)&lt;&gt;"","메모 있음","정상")))))</x:f>
        <x:v>#NAME?</x:v>
      </x:c>
      <x:c r="F109" t="e">
        <x:f>IF($A109="","",IF($E109="확인 필요","시작일·종료일과 기간 순서를 확인해 주세요.",IF($E109="메모 있음",IFERROR(INDEX(대장!$L$1:$L$501,$A109),""),"")))</x:f>
        <x:v>#NAME?</x:v>
      </x:c>
    </x:row>
    <x:row r="110">
      <x:c r="A110" t="e">
        <x:f>IF(INDEX(대장!$A$1:$A$501,ROW()-2)="","",ROW()-2)</x:f>
        <x:v>#NAME?</x:v>
      </x:c>
      <x:c r="B110" t="e">
        <x:f>IF($A110="","",INDEX(대장!$A$1:$A$501,$A110))</x:f>
        <x:v>#NAME?</x:v>
      </x:c>
      <x:c r="C110" s="46" t="e">
        <x:f>IFERROR(IF($A110="","",INDEX(대장!$F$1:$F$501,$A110)),"")</x:f>
        <x:v>#NAME?</x:v>
      </x:c>
      <x:c r="D110" s="46" t="e">
        <x:f>IFERROR(IF($A110="","",INDEX(대장!$G$1:$G$501,$A110)),"")</x:f>
        <x:v>#NAME?</x:v>
      </x:c>
      <x:c r="E110" t="e">
        <x:f>IF($A110="","",IF(NOT(ISNUMBER(INDEX(대장!$F$1:$F$501,$A110))),"확인 필요",IF(AND(INDEX(대장!$G$1:$G$501,$A110)&lt;&gt;"",NOT(ISNUMBER(INDEX(대장!$G$1:$G$501,$A110)))),"확인 필요",IF(AND(ISNUMBER(INDEX(대장!$G$1:$G$501,$A110)),INDEX(대장!$G$1:$G$501,$A110)&lt;INDEX(대장!$F$1:$F$501,$A110)),"확인 필요",IF(INDEX(대장!$L$1:$L$501,$A110)&lt;&gt;"","메모 있음","정상")))))</x:f>
        <x:v>#NAME?</x:v>
      </x:c>
      <x:c r="F110" t="e">
        <x:f>IF($A110="","",IF($E110="확인 필요","시작일·종료일과 기간 순서를 확인해 주세요.",IF($E110="메모 있음",IFERROR(INDEX(대장!$L$1:$L$501,$A110),""),"")))</x:f>
        <x:v>#NAME?</x:v>
      </x:c>
    </x:row>
    <x:row r="111">
      <x:c r="A111" t="e">
        <x:f>IF(INDEX(대장!$A$1:$A$501,ROW()-2)="","",ROW()-2)</x:f>
        <x:v>#NAME?</x:v>
      </x:c>
      <x:c r="B111" t="e">
        <x:f>IF($A111="","",INDEX(대장!$A$1:$A$501,$A111))</x:f>
        <x:v>#NAME?</x:v>
      </x:c>
      <x:c r="C111" s="46" t="e">
        <x:f>IFERROR(IF($A111="","",INDEX(대장!$F$1:$F$501,$A111)),"")</x:f>
        <x:v>#NAME?</x:v>
      </x:c>
      <x:c r="D111" s="46" t="e">
        <x:f>IFERROR(IF($A111="","",INDEX(대장!$G$1:$G$501,$A111)),"")</x:f>
        <x:v>#NAME?</x:v>
      </x:c>
      <x:c r="E111" t="e">
        <x:f>IF($A111="","",IF(NOT(ISNUMBER(INDEX(대장!$F$1:$F$501,$A111))),"확인 필요",IF(AND(INDEX(대장!$G$1:$G$501,$A111)&lt;&gt;"",NOT(ISNUMBER(INDEX(대장!$G$1:$G$501,$A111)))),"확인 필요",IF(AND(ISNUMBER(INDEX(대장!$G$1:$G$501,$A111)),INDEX(대장!$G$1:$G$501,$A111)&lt;INDEX(대장!$F$1:$F$501,$A111)),"확인 필요",IF(INDEX(대장!$L$1:$L$501,$A111)&lt;&gt;"","메모 있음","정상")))))</x:f>
        <x:v>#NAME?</x:v>
      </x:c>
      <x:c r="F111" t="e">
        <x:f>IF($A111="","",IF($E111="확인 필요","시작일·종료일과 기간 순서를 확인해 주세요.",IF($E111="메모 있음",IFERROR(INDEX(대장!$L$1:$L$501,$A111),""),"")))</x:f>
        <x:v>#NAME?</x:v>
      </x:c>
    </x:row>
    <x:row r="112">
      <x:c r="A112" t="e">
        <x:f>IF(INDEX(대장!$A$1:$A$501,ROW()-2)="","",ROW()-2)</x:f>
        <x:v>#NAME?</x:v>
      </x:c>
      <x:c r="B112" t="e">
        <x:f>IF($A112="","",INDEX(대장!$A$1:$A$501,$A112))</x:f>
        <x:v>#NAME?</x:v>
      </x:c>
      <x:c r="C112" s="46" t="e">
        <x:f>IFERROR(IF($A112="","",INDEX(대장!$F$1:$F$501,$A112)),"")</x:f>
        <x:v>#NAME?</x:v>
      </x:c>
      <x:c r="D112" s="46" t="e">
        <x:f>IFERROR(IF($A112="","",INDEX(대장!$G$1:$G$501,$A112)),"")</x:f>
        <x:v>#NAME?</x:v>
      </x:c>
      <x:c r="E112" t="e">
        <x:f>IF($A112="","",IF(NOT(ISNUMBER(INDEX(대장!$F$1:$F$501,$A112))),"확인 필요",IF(AND(INDEX(대장!$G$1:$G$501,$A112)&lt;&gt;"",NOT(ISNUMBER(INDEX(대장!$G$1:$G$501,$A112)))),"확인 필요",IF(AND(ISNUMBER(INDEX(대장!$G$1:$G$501,$A112)),INDEX(대장!$G$1:$G$501,$A112)&lt;INDEX(대장!$F$1:$F$501,$A112)),"확인 필요",IF(INDEX(대장!$L$1:$L$501,$A112)&lt;&gt;"","메모 있음","정상")))))</x:f>
        <x:v>#NAME?</x:v>
      </x:c>
      <x:c r="F112" t="e">
        <x:f>IF($A112="","",IF($E112="확인 필요","시작일·종료일과 기간 순서를 확인해 주세요.",IF($E112="메모 있음",IFERROR(INDEX(대장!$L$1:$L$501,$A112),""),"")))</x:f>
        <x:v>#NAME?</x:v>
      </x:c>
    </x:row>
    <x:row r="113">
      <x:c r="A113" t="e">
        <x:f>IF(INDEX(대장!$A$1:$A$501,ROW()-2)="","",ROW()-2)</x:f>
        <x:v>#NAME?</x:v>
      </x:c>
      <x:c r="B113" t="e">
        <x:f>IF($A113="","",INDEX(대장!$A$1:$A$501,$A113))</x:f>
        <x:v>#NAME?</x:v>
      </x:c>
      <x:c r="C113" s="46" t="e">
        <x:f>IFERROR(IF($A113="","",INDEX(대장!$F$1:$F$501,$A113)),"")</x:f>
        <x:v>#NAME?</x:v>
      </x:c>
      <x:c r="D113" s="46" t="e">
        <x:f>IFERROR(IF($A113="","",INDEX(대장!$G$1:$G$501,$A113)),"")</x:f>
        <x:v>#NAME?</x:v>
      </x:c>
      <x:c r="E113" t="e">
        <x:f>IF($A113="","",IF(NOT(ISNUMBER(INDEX(대장!$F$1:$F$501,$A113))),"확인 필요",IF(AND(INDEX(대장!$G$1:$G$501,$A113)&lt;&gt;"",NOT(ISNUMBER(INDEX(대장!$G$1:$G$501,$A113)))),"확인 필요",IF(AND(ISNUMBER(INDEX(대장!$G$1:$G$501,$A113)),INDEX(대장!$G$1:$G$501,$A113)&lt;INDEX(대장!$F$1:$F$501,$A113)),"확인 필요",IF(INDEX(대장!$L$1:$L$501,$A113)&lt;&gt;"","메모 있음","정상")))))</x:f>
        <x:v>#NAME?</x:v>
      </x:c>
      <x:c r="F113" t="e">
        <x:f>IF($A113="","",IF($E113="확인 필요","시작일·종료일과 기간 순서를 확인해 주세요.",IF($E113="메모 있음",IFERROR(INDEX(대장!$L$1:$L$501,$A113),""),"")))</x:f>
        <x:v>#NAME?</x:v>
      </x:c>
    </x:row>
    <x:row r="114">
      <x:c r="A114" t="e">
        <x:f>IF(INDEX(대장!$A$1:$A$501,ROW()-2)="","",ROW()-2)</x:f>
        <x:v>#NAME?</x:v>
      </x:c>
      <x:c r="B114" t="e">
        <x:f>IF($A114="","",INDEX(대장!$A$1:$A$501,$A114))</x:f>
        <x:v>#NAME?</x:v>
      </x:c>
      <x:c r="C114" s="46" t="e">
        <x:f>IFERROR(IF($A114="","",INDEX(대장!$F$1:$F$501,$A114)),"")</x:f>
        <x:v>#NAME?</x:v>
      </x:c>
      <x:c r="D114" s="46" t="e">
        <x:f>IFERROR(IF($A114="","",INDEX(대장!$G$1:$G$501,$A114)),"")</x:f>
        <x:v>#NAME?</x:v>
      </x:c>
      <x:c r="E114" t="e">
        <x:f>IF($A114="","",IF(NOT(ISNUMBER(INDEX(대장!$F$1:$F$501,$A114))),"확인 필요",IF(AND(INDEX(대장!$G$1:$G$501,$A114)&lt;&gt;"",NOT(ISNUMBER(INDEX(대장!$G$1:$G$501,$A114)))),"확인 필요",IF(AND(ISNUMBER(INDEX(대장!$G$1:$G$501,$A114)),INDEX(대장!$G$1:$G$501,$A114)&lt;INDEX(대장!$F$1:$F$501,$A114)),"확인 필요",IF(INDEX(대장!$L$1:$L$501,$A114)&lt;&gt;"","메모 있음","정상")))))</x:f>
        <x:v>#NAME?</x:v>
      </x:c>
      <x:c r="F114" t="e">
        <x:f>IF($A114="","",IF($E114="확인 필요","시작일·종료일과 기간 순서를 확인해 주세요.",IF($E114="메모 있음",IFERROR(INDEX(대장!$L$1:$L$501,$A114),""),"")))</x:f>
        <x:v>#NAME?</x:v>
      </x:c>
    </x:row>
    <x:row r="115">
      <x:c r="A115" t="e">
        <x:f>IF(INDEX(대장!$A$1:$A$501,ROW()-2)="","",ROW()-2)</x:f>
        <x:v>#NAME?</x:v>
      </x:c>
      <x:c r="B115" t="e">
        <x:f>IF($A115="","",INDEX(대장!$A$1:$A$501,$A115))</x:f>
        <x:v>#NAME?</x:v>
      </x:c>
      <x:c r="C115" s="46" t="e">
        <x:f>IFERROR(IF($A115="","",INDEX(대장!$F$1:$F$501,$A115)),"")</x:f>
        <x:v>#NAME?</x:v>
      </x:c>
      <x:c r="D115" s="46" t="e">
        <x:f>IFERROR(IF($A115="","",INDEX(대장!$G$1:$G$501,$A115)),"")</x:f>
        <x:v>#NAME?</x:v>
      </x:c>
      <x:c r="E115" t="e">
        <x:f>IF($A115="","",IF(NOT(ISNUMBER(INDEX(대장!$F$1:$F$501,$A115))),"확인 필요",IF(AND(INDEX(대장!$G$1:$G$501,$A115)&lt;&gt;"",NOT(ISNUMBER(INDEX(대장!$G$1:$G$501,$A115)))),"확인 필요",IF(AND(ISNUMBER(INDEX(대장!$G$1:$G$501,$A115)),INDEX(대장!$G$1:$G$501,$A115)&lt;INDEX(대장!$F$1:$F$501,$A115)),"확인 필요",IF(INDEX(대장!$L$1:$L$501,$A115)&lt;&gt;"","메모 있음","정상")))))</x:f>
        <x:v>#NAME?</x:v>
      </x:c>
      <x:c r="F115" t="e">
        <x:f>IF($A115="","",IF($E115="확인 필요","시작일·종료일과 기간 순서를 확인해 주세요.",IF($E115="메모 있음",IFERROR(INDEX(대장!$L$1:$L$501,$A115),""),"")))</x:f>
        <x:v>#NAME?</x:v>
      </x:c>
    </x:row>
    <x:row r="116">
      <x:c r="A116" t="e">
        <x:f>IF(INDEX(대장!$A$1:$A$501,ROW()-2)="","",ROW()-2)</x:f>
        <x:v>#NAME?</x:v>
      </x:c>
      <x:c r="B116" t="e">
        <x:f>IF($A116="","",INDEX(대장!$A$1:$A$501,$A116))</x:f>
        <x:v>#NAME?</x:v>
      </x:c>
      <x:c r="C116" s="46" t="e">
        <x:f>IFERROR(IF($A116="","",INDEX(대장!$F$1:$F$501,$A116)),"")</x:f>
        <x:v>#NAME?</x:v>
      </x:c>
      <x:c r="D116" s="46" t="e">
        <x:f>IFERROR(IF($A116="","",INDEX(대장!$G$1:$G$501,$A116)),"")</x:f>
        <x:v>#NAME?</x:v>
      </x:c>
      <x:c r="E116" t="e">
        <x:f>IF($A116="","",IF(NOT(ISNUMBER(INDEX(대장!$F$1:$F$501,$A116))),"확인 필요",IF(AND(INDEX(대장!$G$1:$G$501,$A116)&lt;&gt;"",NOT(ISNUMBER(INDEX(대장!$G$1:$G$501,$A116)))),"확인 필요",IF(AND(ISNUMBER(INDEX(대장!$G$1:$G$501,$A116)),INDEX(대장!$G$1:$G$501,$A116)&lt;INDEX(대장!$F$1:$F$501,$A116)),"확인 필요",IF(INDEX(대장!$L$1:$L$501,$A116)&lt;&gt;"","메모 있음","정상")))))</x:f>
        <x:v>#NAME?</x:v>
      </x:c>
      <x:c r="F116" t="e">
        <x:f>IF($A116="","",IF($E116="확인 필요","시작일·종료일과 기간 순서를 확인해 주세요.",IF($E116="메모 있음",IFERROR(INDEX(대장!$L$1:$L$501,$A116),""),"")))</x:f>
        <x:v>#NAME?</x:v>
      </x:c>
    </x:row>
    <x:row r="117">
      <x:c r="A117" t="e">
        <x:f>IF(INDEX(대장!$A$1:$A$501,ROW()-2)="","",ROW()-2)</x:f>
        <x:v>#NAME?</x:v>
      </x:c>
      <x:c r="B117" t="e">
        <x:f>IF($A117="","",INDEX(대장!$A$1:$A$501,$A117))</x:f>
        <x:v>#NAME?</x:v>
      </x:c>
      <x:c r="C117" s="46" t="e">
        <x:f>IFERROR(IF($A117="","",INDEX(대장!$F$1:$F$501,$A117)),"")</x:f>
        <x:v>#NAME?</x:v>
      </x:c>
      <x:c r="D117" s="46" t="e">
        <x:f>IFERROR(IF($A117="","",INDEX(대장!$G$1:$G$501,$A117)),"")</x:f>
        <x:v>#NAME?</x:v>
      </x:c>
      <x:c r="E117" t="e">
        <x:f>IF($A117="","",IF(NOT(ISNUMBER(INDEX(대장!$F$1:$F$501,$A117))),"확인 필요",IF(AND(INDEX(대장!$G$1:$G$501,$A117)&lt;&gt;"",NOT(ISNUMBER(INDEX(대장!$G$1:$G$501,$A117)))),"확인 필요",IF(AND(ISNUMBER(INDEX(대장!$G$1:$G$501,$A117)),INDEX(대장!$G$1:$G$501,$A117)&lt;INDEX(대장!$F$1:$F$501,$A117)),"확인 필요",IF(INDEX(대장!$L$1:$L$501,$A117)&lt;&gt;"","메모 있음","정상")))))</x:f>
        <x:v>#NAME?</x:v>
      </x:c>
      <x:c r="F117" t="e">
        <x:f>IF($A117="","",IF($E117="확인 필요","시작일·종료일과 기간 순서를 확인해 주세요.",IF($E117="메모 있음",IFERROR(INDEX(대장!$L$1:$L$501,$A117),""),"")))</x:f>
        <x:v>#NAME?</x:v>
      </x:c>
    </x:row>
    <x:row r="118">
      <x:c r="A118" t="e">
        <x:f>IF(INDEX(대장!$A$1:$A$501,ROW()-2)="","",ROW()-2)</x:f>
        <x:v>#NAME?</x:v>
      </x:c>
      <x:c r="B118" t="e">
        <x:f>IF($A118="","",INDEX(대장!$A$1:$A$501,$A118))</x:f>
        <x:v>#NAME?</x:v>
      </x:c>
      <x:c r="C118" s="46" t="e">
        <x:f>IFERROR(IF($A118="","",INDEX(대장!$F$1:$F$501,$A118)),"")</x:f>
        <x:v>#NAME?</x:v>
      </x:c>
      <x:c r="D118" s="46" t="e">
        <x:f>IFERROR(IF($A118="","",INDEX(대장!$G$1:$G$501,$A118)),"")</x:f>
        <x:v>#NAME?</x:v>
      </x:c>
      <x:c r="E118" t="e">
        <x:f>IF($A118="","",IF(NOT(ISNUMBER(INDEX(대장!$F$1:$F$501,$A118))),"확인 필요",IF(AND(INDEX(대장!$G$1:$G$501,$A118)&lt;&gt;"",NOT(ISNUMBER(INDEX(대장!$G$1:$G$501,$A118)))),"확인 필요",IF(AND(ISNUMBER(INDEX(대장!$G$1:$G$501,$A118)),INDEX(대장!$G$1:$G$501,$A118)&lt;INDEX(대장!$F$1:$F$501,$A118)),"확인 필요",IF(INDEX(대장!$L$1:$L$501,$A118)&lt;&gt;"","메모 있음","정상")))))</x:f>
        <x:v>#NAME?</x:v>
      </x:c>
      <x:c r="F118" t="e">
        <x:f>IF($A118="","",IF($E118="확인 필요","시작일·종료일과 기간 순서를 확인해 주세요.",IF($E118="메모 있음",IFERROR(INDEX(대장!$L$1:$L$501,$A118),""),"")))</x:f>
        <x:v>#NAME?</x:v>
      </x:c>
    </x:row>
    <x:row r="119">
      <x:c r="A119" t="e">
        <x:f>IF(INDEX(대장!$A$1:$A$501,ROW()-2)="","",ROW()-2)</x:f>
        <x:v>#NAME?</x:v>
      </x:c>
      <x:c r="B119" t="e">
        <x:f>IF($A119="","",INDEX(대장!$A$1:$A$501,$A119))</x:f>
        <x:v>#NAME?</x:v>
      </x:c>
      <x:c r="C119" s="46" t="e">
        <x:f>IFERROR(IF($A119="","",INDEX(대장!$F$1:$F$501,$A119)),"")</x:f>
        <x:v>#NAME?</x:v>
      </x:c>
      <x:c r="D119" s="46" t="e">
        <x:f>IFERROR(IF($A119="","",INDEX(대장!$G$1:$G$501,$A119)),"")</x:f>
        <x:v>#NAME?</x:v>
      </x:c>
      <x:c r="E119" t="e">
        <x:f>IF($A119="","",IF(NOT(ISNUMBER(INDEX(대장!$F$1:$F$501,$A119))),"확인 필요",IF(AND(INDEX(대장!$G$1:$G$501,$A119)&lt;&gt;"",NOT(ISNUMBER(INDEX(대장!$G$1:$G$501,$A119)))),"확인 필요",IF(AND(ISNUMBER(INDEX(대장!$G$1:$G$501,$A119)),INDEX(대장!$G$1:$G$501,$A119)&lt;INDEX(대장!$F$1:$F$501,$A119)),"확인 필요",IF(INDEX(대장!$L$1:$L$501,$A119)&lt;&gt;"","메모 있음","정상")))))</x:f>
        <x:v>#NAME?</x:v>
      </x:c>
      <x:c r="F119" t="e">
        <x:f>IF($A119="","",IF($E119="확인 필요","시작일·종료일과 기간 순서를 확인해 주세요.",IF($E119="메모 있음",IFERROR(INDEX(대장!$L$1:$L$501,$A119),""),"")))</x:f>
        <x:v>#NAME?</x:v>
      </x:c>
    </x:row>
    <x:row r="120">
      <x:c r="A120" t="e">
        <x:f>IF(INDEX(대장!$A$1:$A$501,ROW()-2)="","",ROW()-2)</x:f>
        <x:v>#NAME?</x:v>
      </x:c>
      <x:c r="B120" t="e">
        <x:f>IF($A120="","",INDEX(대장!$A$1:$A$501,$A120))</x:f>
        <x:v>#NAME?</x:v>
      </x:c>
      <x:c r="C120" s="46" t="e">
        <x:f>IFERROR(IF($A120="","",INDEX(대장!$F$1:$F$501,$A120)),"")</x:f>
        <x:v>#NAME?</x:v>
      </x:c>
      <x:c r="D120" s="46" t="e">
        <x:f>IFERROR(IF($A120="","",INDEX(대장!$G$1:$G$501,$A120)),"")</x:f>
        <x:v>#NAME?</x:v>
      </x:c>
      <x:c r="E120" t="e">
        <x:f>IF($A120="","",IF(NOT(ISNUMBER(INDEX(대장!$F$1:$F$501,$A120))),"확인 필요",IF(AND(INDEX(대장!$G$1:$G$501,$A120)&lt;&gt;"",NOT(ISNUMBER(INDEX(대장!$G$1:$G$501,$A120)))),"확인 필요",IF(AND(ISNUMBER(INDEX(대장!$G$1:$G$501,$A120)),INDEX(대장!$G$1:$G$501,$A120)&lt;INDEX(대장!$F$1:$F$501,$A120)),"확인 필요",IF(INDEX(대장!$L$1:$L$501,$A120)&lt;&gt;"","메모 있음","정상")))))</x:f>
        <x:v>#NAME?</x:v>
      </x:c>
      <x:c r="F120" t="e">
        <x:f>IF($A120="","",IF($E120="확인 필요","시작일·종료일과 기간 순서를 확인해 주세요.",IF($E120="메모 있음",IFERROR(INDEX(대장!$L$1:$L$501,$A120),""),"")))</x:f>
        <x:v>#NAME?</x:v>
      </x:c>
    </x:row>
    <x:row r="121">
      <x:c r="A121" t="e">
        <x:f>IF(INDEX(대장!$A$1:$A$501,ROW()-2)="","",ROW()-2)</x:f>
        <x:v>#NAME?</x:v>
      </x:c>
      <x:c r="B121" t="e">
        <x:f>IF($A121="","",INDEX(대장!$A$1:$A$501,$A121))</x:f>
        <x:v>#NAME?</x:v>
      </x:c>
      <x:c r="C121" s="46" t="e">
        <x:f>IFERROR(IF($A121="","",INDEX(대장!$F$1:$F$501,$A121)),"")</x:f>
        <x:v>#NAME?</x:v>
      </x:c>
      <x:c r="D121" s="46" t="e">
        <x:f>IFERROR(IF($A121="","",INDEX(대장!$G$1:$G$501,$A121)),"")</x:f>
        <x:v>#NAME?</x:v>
      </x:c>
      <x:c r="E121" t="e">
        <x:f>IF($A121="","",IF(NOT(ISNUMBER(INDEX(대장!$F$1:$F$501,$A121))),"확인 필요",IF(AND(INDEX(대장!$G$1:$G$501,$A121)&lt;&gt;"",NOT(ISNUMBER(INDEX(대장!$G$1:$G$501,$A121)))),"확인 필요",IF(AND(ISNUMBER(INDEX(대장!$G$1:$G$501,$A121)),INDEX(대장!$G$1:$G$501,$A121)&lt;INDEX(대장!$F$1:$F$501,$A121)),"확인 필요",IF(INDEX(대장!$L$1:$L$501,$A121)&lt;&gt;"","메모 있음","정상")))))</x:f>
        <x:v>#NAME?</x:v>
      </x:c>
      <x:c r="F121" t="e">
        <x:f>IF($A121="","",IF($E121="확인 필요","시작일·종료일과 기간 순서를 확인해 주세요.",IF($E121="메모 있음",IFERROR(INDEX(대장!$L$1:$L$501,$A121),""),"")))</x:f>
        <x:v>#NAME?</x:v>
      </x:c>
    </x:row>
    <x:row r="122">
      <x:c r="A122" t="e">
        <x:f>IF(INDEX(대장!$A$1:$A$501,ROW()-2)="","",ROW()-2)</x:f>
        <x:v>#NAME?</x:v>
      </x:c>
      <x:c r="B122" t="e">
        <x:f>IF($A122="","",INDEX(대장!$A$1:$A$501,$A122))</x:f>
        <x:v>#NAME?</x:v>
      </x:c>
      <x:c r="C122" s="46" t="e">
        <x:f>IFERROR(IF($A122="","",INDEX(대장!$F$1:$F$501,$A122)),"")</x:f>
        <x:v>#NAME?</x:v>
      </x:c>
      <x:c r="D122" s="46" t="e">
        <x:f>IFERROR(IF($A122="","",INDEX(대장!$G$1:$G$501,$A122)),"")</x:f>
        <x:v>#NAME?</x:v>
      </x:c>
      <x:c r="E122" t="e">
        <x:f>IF($A122="","",IF(NOT(ISNUMBER(INDEX(대장!$F$1:$F$501,$A122))),"확인 필요",IF(AND(INDEX(대장!$G$1:$G$501,$A122)&lt;&gt;"",NOT(ISNUMBER(INDEX(대장!$G$1:$G$501,$A122)))),"확인 필요",IF(AND(ISNUMBER(INDEX(대장!$G$1:$G$501,$A122)),INDEX(대장!$G$1:$G$501,$A122)&lt;INDEX(대장!$F$1:$F$501,$A122)),"확인 필요",IF(INDEX(대장!$L$1:$L$501,$A122)&lt;&gt;"","메모 있음","정상")))))</x:f>
        <x:v>#NAME?</x:v>
      </x:c>
      <x:c r="F122" t="e">
        <x:f>IF($A122="","",IF($E122="확인 필요","시작일·종료일과 기간 순서를 확인해 주세요.",IF($E122="메모 있음",IFERROR(INDEX(대장!$L$1:$L$501,$A122),""),"")))</x:f>
        <x:v>#NAME?</x:v>
      </x:c>
    </x:row>
    <x:row r="123">
      <x:c r="A123" t="e">
        <x:f>IF(INDEX(대장!$A$1:$A$501,ROW()-2)="","",ROW()-2)</x:f>
        <x:v>#NAME?</x:v>
      </x:c>
      <x:c r="B123" t="e">
        <x:f>IF($A123="","",INDEX(대장!$A$1:$A$501,$A123))</x:f>
        <x:v>#NAME?</x:v>
      </x:c>
      <x:c r="C123" s="46" t="e">
        <x:f>IFERROR(IF($A123="","",INDEX(대장!$F$1:$F$501,$A123)),"")</x:f>
        <x:v>#NAME?</x:v>
      </x:c>
      <x:c r="D123" s="46" t="e">
        <x:f>IFERROR(IF($A123="","",INDEX(대장!$G$1:$G$501,$A123)),"")</x:f>
        <x:v>#NAME?</x:v>
      </x:c>
      <x:c r="E123" t="e">
        <x:f>IF($A123="","",IF(NOT(ISNUMBER(INDEX(대장!$F$1:$F$501,$A123))),"확인 필요",IF(AND(INDEX(대장!$G$1:$G$501,$A123)&lt;&gt;"",NOT(ISNUMBER(INDEX(대장!$G$1:$G$501,$A123)))),"확인 필요",IF(AND(ISNUMBER(INDEX(대장!$G$1:$G$501,$A123)),INDEX(대장!$G$1:$G$501,$A123)&lt;INDEX(대장!$F$1:$F$501,$A123)),"확인 필요",IF(INDEX(대장!$L$1:$L$501,$A123)&lt;&gt;"","메모 있음","정상")))))</x:f>
        <x:v>#NAME?</x:v>
      </x:c>
      <x:c r="F123" t="e">
        <x:f>IF($A123="","",IF($E123="확인 필요","시작일·종료일과 기간 순서를 확인해 주세요.",IF($E123="메모 있음",IFERROR(INDEX(대장!$L$1:$L$501,$A123),""),"")))</x:f>
        <x:v>#NAME?</x:v>
      </x:c>
    </x:row>
    <x:row r="124">
      <x:c r="A124" t="e">
        <x:f>IF(INDEX(대장!$A$1:$A$501,ROW()-2)="","",ROW()-2)</x:f>
        <x:v>#NAME?</x:v>
      </x:c>
      <x:c r="B124" t="e">
        <x:f>IF($A124="","",INDEX(대장!$A$1:$A$501,$A124))</x:f>
        <x:v>#NAME?</x:v>
      </x:c>
      <x:c r="C124" s="46" t="e">
        <x:f>IFERROR(IF($A124="","",INDEX(대장!$F$1:$F$501,$A124)),"")</x:f>
        <x:v>#NAME?</x:v>
      </x:c>
      <x:c r="D124" s="46" t="e">
        <x:f>IFERROR(IF($A124="","",INDEX(대장!$G$1:$G$501,$A124)),"")</x:f>
        <x:v>#NAME?</x:v>
      </x:c>
      <x:c r="E124" t="e">
        <x:f>IF($A124="","",IF(NOT(ISNUMBER(INDEX(대장!$F$1:$F$501,$A124))),"확인 필요",IF(AND(INDEX(대장!$G$1:$G$501,$A124)&lt;&gt;"",NOT(ISNUMBER(INDEX(대장!$G$1:$G$501,$A124)))),"확인 필요",IF(AND(ISNUMBER(INDEX(대장!$G$1:$G$501,$A124)),INDEX(대장!$G$1:$G$501,$A124)&lt;INDEX(대장!$F$1:$F$501,$A124)),"확인 필요",IF(INDEX(대장!$L$1:$L$501,$A124)&lt;&gt;"","메모 있음","정상")))))</x:f>
        <x:v>#NAME?</x:v>
      </x:c>
      <x:c r="F124" t="e">
        <x:f>IF($A124="","",IF($E124="확인 필요","시작일·종료일과 기간 순서를 확인해 주세요.",IF($E124="메모 있음",IFERROR(INDEX(대장!$L$1:$L$501,$A124),""),"")))</x:f>
        <x:v>#NAME?</x:v>
      </x:c>
    </x:row>
    <x:row r="125">
      <x:c r="A125" t="e">
        <x:f>IF(INDEX(대장!$A$1:$A$501,ROW()-2)="","",ROW()-2)</x:f>
        <x:v>#NAME?</x:v>
      </x:c>
      <x:c r="B125" t="e">
        <x:f>IF($A125="","",INDEX(대장!$A$1:$A$501,$A125))</x:f>
        <x:v>#NAME?</x:v>
      </x:c>
      <x:c r="C125" s="46" t="e">
        <x:f>IFERROR(IF($A125="","",INDEX(대장!$F$1:$F$501,$A125)),"")</x:f>
        <x:v>#NAME?</x:v>
      </x:c>
      <x:c r="D125" s="46" t="e">
        <x:f>IFERROR(IF($A125="","",INDEX(대장!$G$1:$G$501,$A125)),"")</x:f>
        <x:v>#NAME?</x:v>
      </x:c>
      <x:c r="E125" t="e">
        <x:f>IF($A125="","",IF(NOT(ISNUMBER(INDEX(대장!$F$1:$F$501,$A125))),"확인 필요",IF(AND(INDEX(대장!$G$1:$G$501,$A125)&lt;&gt;"",NOT(ISNUMBER(INDEX(대장!$G$1:$G$501,$A125)))),"확인 필요",IF(AND(ISNUMBER(INDEX(대장!$G$1:$G$501,$A125)),INDEX(대장!$G$1:$G$501,$A125)&lt;INDEX(대장!$F$1:$F$501,$A125)),"확인 필요",IF(INDEX(대장!$L$1:$L$501,$A125)&lt;&gt;"","메모 있음","정상")))))</x:f>
        <x:v>#NAME?</x:v>
      </x:c>
      <x:c r="F125" t="e">
        <x:f>IF($A125="","",IF($E125="확인 필요","시작일·종료일과 기간 순서를 확인해 주세요.",IF($E125="메모 있음",IFERROR(INDEX(대장!$L$1:$L$501,$A125),""),"")))</x:f>
        <x:v>#NAME?</x:v>
      </x:c>
    </x:row>
    <x:row r="126">
      <x:c r="A126" t="e">
        <x:f>IF(INDEX(대장!$A$1:$A$501,ROW()-2)="","",ROW()-2)</x:f>
        <x:v>#NAME?</x:v>
      </x:c>
      <x:c r="B126" t="e">
        <x:f>IF($A126="","",INDEX(대장!$A$1:$A$501,$A126))</x:f>
        <x:v>#NAME?</x:v>
      </x:c>
      <x:c r="C126" s="46" t="e">
        <x:f>IFERROR(IF($A126="","",INDEX(대장!$F$1:$F$501,$A126)),"")</x:f>
        <x:v>#NAME?</x:v>
      </x:c>
      <x:c r="D126" s="46" t="e">
        <x:f>IFERROR(IF($A126="","",INDEX(대장!$G$1:$G$501,$A126)),"")</x:f>
        <x:v>#NAME?</x:v>
      </x:c>
      <x:c r="E126" t="e">
        <x:f>IF($A126="","",IF(NOT(ISNUMBER(INDEX(대장!$F$1:$F$501,$A126))),"확인 필요",IF(AND(INDEX(대장!$G$1:$G$501,$A126)&lt;&gt;"",NOT(ISNUMBER(INDEX(대장!$G$1:$G$501,$A126)))),"확인 필요",IF(AND(ISNUMBER(INDEX(대장!$G$1:$G$501,$A126)),INDEX(대장!$G$1:$G$501,$A126)&lt;INDEX(대장!$F$1:$F$501,$A126)),"확인 필요",IF(INDEX(대장!$L$1:$L$501,$A126)&lt;&gt;"","메모 있음","정상")))))</x:f>
        <x:v>#NAME?</x:v>
      </x:c>
      <x:c r="F126" t="e">
        <x:f>IF($A126="","",IF($E126="확인 필요","시작일·종료일과 기간 순서를 확인해 주세요.",IF($E126="메모 있음",IFERROR(INDEX(대장!$L$1:$L$501,$A126),""),"")))</x:f>
        <x:v>#NAME?</x:v>
      </x:c>
    </x:row>
    <x:row r="127">
      <x:c r="A127" t="e">
        <x:f>IF(INDEX(대장!$A$1:$A$501,ROW()-2)="","",ROW()-2)</x:f>
        <x:v>#NAME?</x:v>
      </x:c>
      <x:c r="B127" t="e">
        <x:f>IF($A127="","",INDEX(대장!$A$1:$A$501,$A127))</x:f>
        <x:v>#NAME?</x:v>
      </x:c>
      <x:c r="C127" s="46" t="e">
        <x:f>IFERROR(IF($A127="","",INDEX(대장!$F$1:$F$501,$A127)),"")</x:f>
        <x:v>#NAME?</x:v>
      </x:c>
      <x:c r="D127" s="46" t="e">
        <x:f>IFERROR(IF($A127="","",INDEX(대장!$G$1:$G$501,$A127)),"")</x:f>
        <x:v>#NAME?</x:v>
      </x:c>
      <x:c r="E127" t="e">
        <x:f>IF($A127="","",IF(NOT(ISNUMBER(INDEX(대장!$F$1:$F$501,$A127))),"확인 필요",IF(AND(INDEX(대장!$G$1:$G$501,$A127)&lt;&gt;"",NOT(ISNUMBER(INDEX(대장!$G$1:$G$501,$A127)))),"확인 필요",IF(AND(ISNUMBER(INDEX(대장!$G$1:$G$501,$A127)),INDEX(대장!$G$1:$G$501,$A127)&lt;INDEX(대장!$F$1:$F$501,$A127)),"확인 필요",IF(INDEX(대장!$L$1:$L$501,$A127)&lt;&gt;"","메모 있음","정상")))))</x:f>
        <x:v>#NAME?</x:v>
      </x:c>
      <x:c r="F127" t="e">
        <x:f>IF($A127="","",IF($E127="확인 필요","시작일·종료일과 기간 순서를 확인해 주세요.",IF($E127="메모 있음",IFERROR(INDEX(대장!$L$1:$L$501,$A127),""),"")))</x:f>
        <x:v>#NAME?</x:v>
      </x:c>
    </x:row>
    <x:row r="128">
      <x:c r="A128" t="e">
        <x:f>IF(INDEX(대장!$A$1:$A$501,ROW()-2)="","",ROW()-2)</x:f>
        <x:v>#NAME?</x:v>
      </x:c>
      <x:c r="B128" t="e">
        <x:f>IF($A128="","",INDEX(대장!$A$1:$A$501,$A128))</x:f>
        <x:v>#NAME?</x:v>
      </x:c>
      <x:c r="C128" s="46" t="e">
        <x:f>IFERROR(IF($A128="","",INDEX(대장!$F$1:$F$501,$A128)),"")</x:f>
        <x:v>#NAME?</x:v>
      </x:c>
      <x:c r="D128" s="46" t="e">
        <x:f>IFERROR(IF($A128="","",INDEX(대장!$G$1:$G$501,$A128)),"")</x:f>
        <x:v>#NAME?</x:v>
      </x:c>
      <x:c r="E128" t="e">
        <x:f>IF($A128="","",IF(NOT(ISNUMBER(INDEX(대장!$F$1:$F$501,$A128))),"확인 필요",IF(AND(INDEX(대장!$G$1:$G$501,$A128)&lt;&gt;"",NOT(ISNUMBER(INDEX(대장!$G$1:$G$501,$A128)))),"확인 필요",IF(AND(ISNUMBER(INDEX(대장!$G$1:$G$501,$A128)),INDEX(대장!$G$1:$G$501,$A128)&lt;INDEX(대장!$F$1:$F$501,$A128)),"확인 필요",IF(INDEX(대장!$L$1:$L$501,$A128)&lt;&gt;"","메모 있음","정상")))))</x:f>
        <x:v>#NAME?</x:v>
      </x:c>
      <x:c r="F128" t="e">
        <x:f>IF($A128="","",IF($E128="확인 필요","시작일·종료일과 기간 순서를 확인해 주세요.",IF($E128="메모 있음",IFERROR(INDEX(대장!$L$1:$L$501,$A128),""),"")))</x:f>
        <x:v>#NAME?</x:v>
      </x:c>
    </x:row>
    <x:row r="129">
      <x:c r="A129" t="e">
        <x:f>IF(INDEX(대장!$A$1:$A$501,ROW()-2)="","",ROW()-2)</x:f>
        <x:v>#NAME?</x:v>
      </x:c>
      <x:c r="B129" t="e">
        <x:f>IF($A129="","",INDEX(대장!$A$1:$A$501,$A129))</x:f>
        <x:v>#NAME?</x:v>
      </x:c>
      <x:c r="C129" s="46" t="e">
        <x:f>IFERROR(IF($A129="","",INDEX(대장!$F$1:$F$501,$A129)),"")</x:f>
        <x:v>#NAME?</x:v>
      </x:c>
      <x:c r="D129" s="46" t="e">
        <x:f>IFERROR(IF($A129="","",INDEX(대장!$G$1:$G$501,$A129)),"")</x:f>
        <x:v>#NAME?</x:v>
      </x:c>
      <x:c r="E129" t="e">
        <x:f>IF($A129="","",IF(NOT(ISNUMBER(INDEX(대장!$F$1:$F$501,$A129))),"확인 필요",IF(AND(INDEX(대장!$G$1:$G$501,$A129)&lt;&gt;"",NOT(ISNUMBER(INDEX(대장!$G$1:$G$501,$A129)))),"확인 필요",IF(AND(ISNUMBER(INDEX(대장!$G$1:$G$501,$A129)),INDEX(대장!$G$1:$G$501,$A129)&lt;INDEX(대장!$F$1:$F$501,$A129)),"확인 필요",IF(INDEX(대장!$L$1:$L$501,$A129)&lt;&gt;"","메모 있음","정상")))))</x:f>
        <x:v>#NAME?</x:v>
      </x:c>
      <x:c r="F129" t="e">
        <x:f>IF($A129="","",IF($E129="확인 필요","시작일·종료일과 기간 순서를 확인해 주세요.",IF($E129="메모 있음",IFERROR(INDEX(대장!$L$1:$L$501,$A129),""),"")))</x:f>
        <x:v>#NAME?</x:v>
      </x:c>
    </x:row>
    <x:row r="130">
      <x:c r="A130" t="e">
        <x:f>IF(INDEX(대장!$A$1:$A$501,ROW()-2)="","",ROW()-2)</x:f>
        <x:v>#NAME?</x:v>
      </x:c>
      <x:c r="B130" t="e">
        <x:f>IF($A130="","",INDEX(대장!$A$1:$A$501,$A130))</x:f>
        <x:v>#NAME?</x:v>
      </x:c>
      <x:c r="C130" s="46" t="e">
        <x:f>IFERROR(IF($A130="","",INDEX(대장!$F$1:$F$501,$A130)),"")</x:f>
        <x:v>#NAME?</x:v>
      </x:c>
      <x:c r="D130" s="46" t="e">
        <x:f>IFERROR(IF($A130="","",INDEX(대장!$G$1:$G$501,$A130)),"")</x:f>
        <x:v>#NAME?</x:v>
      </x:c>
      <x:c r="E130" t="e">
        <x:f>IF($A130="","",IF(NOT(ISNUMBER(INDEX(대장!$F$1:$F$501,$A130))),"확인 필요",IF(AND(INDEX(대장!$G$1:$G$501,$A130)&lt;&gt;"",NOT(ISNUMBER(INDEX(대장!$G$1:$G$501,$A130)))),"확인 필요",IF(AND(ISNUMBER(INDEX(대장!$G$1:$G$501,$A130)),INDEX(대장!$G$1:$G$501,$A130)&lt;INDEX(대장!$F$1:$F$501,$A130)),"확인 필요",IF(INDEX(대장!$L$1:$L$501,$A130)&lt;&gt;"","메모 있음","정상")))))</x:f>
        <x:v>#NAME?</x:v>
      </x:c>
      <x:c r="F130" t="e">
        <x:f>IF($A130="","",IF($E130="확인 필요","시작일·종료일과 기간 순서를 확인해 주세요.",IF($E130="메모 있음",IFERROR(INDEX(대장!$L$1:$L$501,$A130),""),"")))</x:f>
        <x:v>#NAME?</x:v>
      </x:c>
    </x:row>
    <x:row r="131">
      <x:c r="A131" t="e">
        <x:f>IF(INDEX(대장!$A$1:$A$501,ROW()-2)="","",ROW()-2)</x:f>
        <x:v>#NAME?</x:v>
      </x:c>
      <x:c r="B131" t="e">
        <x:f>IF($A131="","",INDEX(대장!$A$1:$A$501,$A131))</x:f>
        <x:v>#NAME?</x:v>
      </x:c>
      <x:c r="C131" s="46" t="e">
        <x:f>IFERROR(IF($A131="","",INDEX(대장!$F$1:$F$501,$A131)),"")</x:f>
        <x:v>#NAME?</x:v>
      </x:c>
      <x:c r="D131" s="46" t="e">
        <x:f>IFERROR(IF($A131="","",INDEX(대장!$G$1:$G$501,$A131)),"")</x:f>
        <x:v>#NAME?</x:v>
      </x:c>
      <x:c r="E131" t="e">
        <x:f>IF($A131="","",IF(NOT(ISNUMBER(INDEX(대장!$F$1:$F$501,$A131))),"확인 필요",IF(AND(INDEX(대장!$G$1:$G$501,$A131)&lt;&gt;"",NOT(ISNUMBER(INDEX(대장!$G$1:$G$501,$A131)))),"확인 필요",IF(AND(ISNUMBER(INDEX(대장!$G$1:$G$501,$A131)),INDEX(대장!$G$1:$G$501,$A131)&lt;INDEX(대장!$F$1:$F$501,$A131)),"확인 필요",IF(INDEX(대장!$L$1:$L$501,$A131)&lt;&gt;"","메모 있음","정상")))))</x:f>
        <x:v>#NAME?</x:v>
      </x:c>
      <x:c r="F131" t="e">
        <x:f>IF($A131="","",IF($E131="확인 필요","시작일·종료일과 기간 순서를 확인해 주세요.",IF($E131="메모 있음",IFERROR(INDEX(대장!$L$1:$L$501,$A131),""),"")))</x:f>
        <x:v>#NAME?</x:v>
      </x:c>
    </x:row>
    <x:row r="132">
      <x:c r="A132" t="e">
        <x:f>IF(INDEX(대장!$A$1:$A$501,ROW()-2)="","",ROW()-2)</x:f>
        <x:v>#NAME?</x:v>
      </x:c>
      <x:c r="B132" t="e">
        <x:f>IF($A132="","",INDEX(대장!$A$1:$A$501,$A132))</x:f>
        <x:v>#NAME?</x:v>
      </x:c>
      <x:c r="C132" s="46" t="e">
        <x:f>IFERROR(IF($A132="","",INDEX(대장!$F$1:$F$501,$A132)),"")</x:f>
        <x:v>#NAME?</x:v>
      </x:c>
      <x:c r="D132" s="46" t="e">
        <x:f>IFERROR(IF($A132="","",INDEX(대장!$G$1:$G$501,$A132)),"")</x:f>
        <x:v>#NAME?</x:v>
      </x:c>
      <x:c r="E132" t="e">
        <x:f>IF($A132="","",IF(NOT(ISNUMBER(INDEX(대장!$F$1:$F$501,$A132))),"확인 필요",IF(AND(INDEX(대장!$G$1:$G$501,$A132)&lt;&gt;"",NOT(ISNUMBER(INDEX(대장!$G$1:$G$501,$A132)))),"확인 필요",IF(AND(ISNUMBER(INDEX(대장!$G$1:$G$501,$A132)),INDEX(대장!$G$1:$G$501,$A132)&lt;INDEX(대장!$F$1:$F$501,$A132)),"확인 필요",IF(INDEX(대장!$L$1:$L$501,$A132)&lt;&gt;"","메모 있음","정상")))))</x:f>
        <x:v>#NAME?</x:v>
      </x:c>
      <x:c r="F132" t="e">
        <x:f>IF($A132="","",IF($E132="확인 필요","시작일·종료일과 기간 순서를 확인해 주세요.",IF($E132="메모 있음",IFERROR(INDEX(대장!$L$1:$L$501,$A132),""),"")))</x:f>
        <x:v>#NAME?</x:v>
      </x:c>
    </x:row>
    <x:row r="133">
      <x:c r="A133" t="e">
        <x:f>IF(INDEX(대장!$A$1:$A$501,ROW()-2)="","",ROW()-2)</x:f>
        <x:v>#NAME?</x:v>
      </x:c>
      <x:c r="B133" t="e">
        <x:f>IF($A133="","",INDEX(대장!$A$1:$A$501,$A133))</x:f>
        <x:v>#NAME?</x:v>
      </x:c>
      <x:c r="C133" s="46" t="e">
        <x:f>IFERROR(IF($A133="","",INDEX(대장!$F$1:$F$501,$A133)),"")</x:f>
        <x:v>#NAME?</x:v>
      </x:c>
      <x:c r="D133" s="46" t="e">
        <x:f>IFERROR(IF($A133="","",INDEX(대장!$G$1:$G$501,$A133)),"")</x:f>
        <x:v>#NAME?</x:v>
      </x:c>
      <x:c r="E133" t="e">
        <x:f>IF($A133="","",IF(NOT(ISNUMBER(INDEX(대장!$F$1:$F$501,$A133))),"확인 필요",IF(AND(INDEX(대장!$G$1:$G$501,$A133)&lt;&gt;"",NOT(ISNUMBER(INDEX(대장!$G$1:$G$501,$A133)))),"확인 필요",IF(AND(ISNUMBER(INDEX(대장!$G$1:$G$501,$A133)),INDEX(대장!$G$1:$G$501,$A133)&lt;INDEX(대장!$F$1:$F$501,$A133)),"확인 필요",IF(INDEX(대장!$L$1:$L$501,$A133)&lt;&gt;"","메모 있음","정상")))))</x:f>
        <x:v>#NAME?</x:v>
      </x:c>
      <x:c r="F133" t="e">
        <x:f>IF($A133="","",IF($E133="확인 필요","시작일·종료일과 기간 순서를 확인해 주세요.",IF($E133="메모 있음",IFERROR(INDEX(대장!$L$1:$L$501,$A133),""),"")))</x:f>
        <x:v>#NAME?</x:v>
      </x:c>
    </x:row>
    <x:row r="134">
      <x:c r="A134" t="e">
        <x:f>IF(INDEX(대장!$A$1:$A$501,ROW()-2)="","",ROW()-2)</x:f>
        <x:v>#NAME?</x:v>
      </x:c>
      <x:c r="B134" t="e">
        <x:f>IF($A134="","",INDEX(대장!$A$1:$A$501,$A134))</x:f>
        <x:v>#NAME?</x:v>
      </x:c>
      <x:c r="C134" s="46" t="e">
        <x:f>IFERROR(IF($A134="","",INDEX(대장!$F$1:$F$501,$A134)),"")</x:f>
        <x:v>#NAME?</x:v>
      </x:c>
      <x:c r="D134" s="46" t="e">
        <x:f>IFERROR(IF($A134="","",INDEX(대장!$G$1:$G$501,$A134)),"")</x:f>
        <x:v>#NAME?</x:v>
      </x:c>
      <x:c r="E134" t="e">
        <x:f>IF($A134="","",IF(NOT(ISNUMBER(INDEX(대장!$F$1:$F$501,$A134))),"확인 필요",IF(AND(INDEX(대장!$G$1:$G$501,$A134)&lt;&gt;"",NOT(ISNUMBER(INDEX(대장!$G$1:$G$501,$A134)))),"확인 필요",IF(AND(ISNUMBER(INDEX(대장!$G$1:$G$501,$A134)),INDEX(대장!$G$1:$G$501,$A134)&lt;INDEX(대장!$F$1:$F$501,$A134)),"확인 필요",IF(INDEX(대장!$L$1:$L$501,$A134)&lt;&gt;"","메모 있음","정상")))))</x:f>
        <x:v>#NAME?</x:v>
      </x:c>
      <x:c r="F134" t="e">
        <x:f>IF($A134="","",IF($E134="확인 필요","시작일·종료일과 기간 순서를 확인해 주세요.",IF($E134="메모 있음",IFERROR(INDEX(대장!$L$1:$L$501,$A134),""),"")))</x:f>
        <x:v>#NAME?</x:v>
      </x:c>
    </x:row>
    <x:row r="135">
      <x:c r="A135" t="e">
        <x:f>IF(INDEX(대장!$A$1:$A$501,ROW()-2)="","",ROW()-2)</x:f>
        <x:v>#NAME?</x:v>
      </x:c>
      <x:c r="B135" t="e">
        <x:f>IF($A135="","",INDEX(대장!$A$1:$A$501,$A135))</x:f>
        <x:v>#NAME?</x:v>
      </x:c>
      <x:c r="C135" s="46" t="e">
        <x:f>IFERROR(IF($A135="","",INDEX(대장!$F$1:$F$501,$A135)),"")</x:f>
        <x:v>#NAME?</x:v>
      </x:c>
      <x:c r="D135" s="46" t="e">
        <x:f>IFERROR(IF($A135="","",INDEX(대장!$G$1:$G$501,$A135)),"")</x:f>
        <x:v>#NAME?</x:v>
      </x:c>
      <x:c r="E135" t="e">
        <x:f>IF($A135="","",IF(NOT(ISNUMBER(INDEX(대장!$F$1:$F$501,$A135))),"확인 필요",IF(AND(INDEX(대장!$G$1:$G$501,$A135)&lt;&gt;"",NOT(ISNUMBER(INDEX(대장!$G$1:$G$501,$A135)))),"확인 필요",IF(AND(ISNUMBER(INDEX(대장!$G$1:$G$501,$A135)),INDEX(대장!$G$1:$G$501,$A135)&lt;INDEX(대장!$F$1:$F$501,$A135)),"확인 필요",IF(INDEX(대장!$L$1:$L$501,$A135)&lt;&gt;"","메모 있음","정상")))))</x:f>
        <x:v>#NAME?</x:v>
      </x:c>
      <x:c r="F135" t="e">
        <x:f>IF($A135="","",IF($E135="확인 필요","시작일·종료일과 기간 순서를 확인해 주세요.",IF($E135="메모 있음",IFERROR(INDEX(대장!$L$1:$L$501,$A135),""),"")))</x:f>
        <x:v>#NAME?</x:v>
      </x:c>
    </x:row>
    <x:row r="136">
      <x:c r="A136" t="e">
        <x:f>IF(INDEX(대장!$A$1:$A$501,ROW()-2)="","",ROW()-2)</x:f>
        <x:v>#NAME?</x:v>
      </x:c>
      <x:c r="B136" t="e">
        <x:f>IF($A136="","",INDEX(대장!$A$1:$A$501,$A136))</x:f>
        <x:v>#NAME?</x:v>
      </x:c>
      <x:c r="C136" s="46" t="e">
        <x:f>IFERROR(IF($A136="","",INDEX(대장!$F$1:$F$501,$A136)),"")</x:f>
        <x:v>#NAME?</x:v>
      </x:c>
      <x:c r="D136" s="46" t="e">
        <x:f>IFERROR(IF($A136="","",INDEX(대장!$G$1:$G$501,$A136)),"")</x:f>
        <x:v>#NAME?</x:v>
      </x:c>
      <x:c r="E136" t="e">
        <x:f>IF($A136="","",IF(NOT(ISNUMBER(INDEX(대장!$F$1:$F$501,$A136))),"확인 필요",IF(AND(INDEX(대장!$G$1:$G$501,$A136)&lt;&gt;"",NOT(ISNUMBER(INDEX(대장!$G$1:$G$501,$A136)))),"확인 필요",IF(AND(ISNUMBER(INDEX(대장!$G$1:$G$501,$A136)),INDEX(대장!$G$1:$G$501,$A136)&lt;INDEX(대장!$F$1:$F$501,$A136)),"확인 필요",IF(INDEX(대장!$L$1:$L$501,$A136)&lt;&gt;"","메모 있음","정상")))))</x:f>
        <x:v>#NAME?</x:v>
      </x:c>
      <x:c r="F136" t="e">
        <x:f>IF($A136="","",IF($E136="확인 필요","시작일·종료일과 기간 순서를 확인해 주세요.",IF($E136="메모 있음",IFERROR(INDEX(대장!$L$1:$L$501,$A136),""),"")))</x:f>
        <x:v>#NAME?</x:v>
      </x:c>
    </x:row>
    <x:row r="137">
      <x:c r="A137" t="e">
        <x:f>IF(INDEX(대장!$A$1:$A$501,ROW()-2)="","",ROW()-2)</x:f>
        <x:v>#NAME?</x:v>
      </x:c>
      <x:c r="B137" t="e">
        <x:f>IF($A137="","",INDEX(대장!$A$1:$A$501,$A137))</x:f>
        <x:v>#NAME?</x:v>
      </x:c>
      <x:c r="C137" s="46" t="e">
        <x:f>IFERROR(IF($A137="","",INDEX(대장!$F$1:$F$501,$A137)),"")</x:f>
        <x:v>#NAME?</x:v>
      </x:c>
      <x:c r="D137" s="46" t="e">
        <x:f>IFERROR(IF($A137="","",INDEX(대장!$G$1:$G$501,$A137)),"")</x:f>
        <x:v>#NAME?</x:v>
      </x:c>
      <x:c r="E137" t="e">
        <x:f>IF($A137="","",IF(NOT(ISNUMBER(INDEX(대장!$F$1:$F$501,$A137))),"확인 필요",IF(AND(INDEX(대장!$G$1:$G$501,$A137)&lt;&gt;"",NOT(ISNUMBER(INDEX(대장!$G$1:$G$501,$A137)))),"확인 필요",IF(AND(ISNUMBER(INDEX(대장!$G$1:$G$501,$A137)),INDEX(대장!$G$1:$G$501,$A137)&lt;INDEX(대장!$F$1:$F$501,$A137)),"확인 필요",IF(INDEX(대장!$L$1:$L$501,$A137)&lt;&gt;"","메모 있음","정상")))))</x:f>
        <x:v>#NAME?</x:v>
      </x:c>
      <x:c r="F137" t="e">
        <x:f>IF($A137="","",IF($E137="확인 필요","시작일·종료일과 기간 순서를 확인해 주세요.",IF($E137="메모 있음",IFERROR(INDEX(대장!$L$1:$L$501,$A137),""),"")))</x:f>
        <x:v>#NAME?</x:v>
      </x:c>
    </x:row>
    <x:row r="138">
      <x:c r="A138" t="e">
        <x:f>IF(INDEX(대장!$A$1:$A$501,ROW()-2)="","",ROW()-2)</x:f>
        <x:v>#NAME?</x:v>
      </x:c>
      <x:c r="B138" t="e">
        <x:f>IF($A138="","",INDEX(대장!$A$1:$A$501,$A138))</x:f>
        <x:v>#NAME?</x:v>
      </x:c>
      <x:c r="C138" s="46" t="e">
        <x:f>IFERROR(IF($A138="","",INDEX(대장!$F$1:$F$501,$A138)),"")</x:f>
        <x:v>#NAME?</x:v>
      </x:c>
      <x:c r="D138" s="46" t="e">
        <x:f>IFERROR(IF($A138="","",INDEX(대장!$G$1:$G$501,$A138)),"")</x:f>
        <x:v>#NAME?</x:v>
      </x:c>
      <x:c r="E138" t="e">
        <x:f>IF($A138="","",IF(NOT(ISNUMBER(INDEX(대장!$F$1:$F$501,$A138))),"확인 필요",IF(AND(INDEX(대장!$G$1:$G$501,$A138)&lt;&gt;"",NOT(ISNUMBER(INDEX(대장!$G$1:$G$501,$A138)))),"확인 필요",IF(AND(ISNUMBER(INDEX(대장!$G$1:$G$501,$A138)),INDEX(대장!$G$1:$G$501,$A138)&lt;INDEX(대장!$F$1:$F$501,$A138)),"확인 필요",IF(INDEX(대장!$L$1:$L$501,$A138)&lt;&gt;"","메모 있음","정상")))))</x:f>
        <x:v>#NAME?</x:v>
      </x:c>
      <x:c r="F138" t="e">
        <x:f>IF($A138="","",IF($E138="확인 필요","시작일·종료일과 기간 순서를 확인해 주세요.",IF($E138="메모 있음",IFERROR(INDEX(대장!$L$1:$L$501,$A138),""),"")))</x:f>
        <x:v>#NAME?</x:v>
      </x:c>
    </x:row>
    <x:row r="139">
      <x:c r="A139" t="e">
        <x:f>IF(INDEX(대장!$A$1:$A$501,ROW()-2)="","",ROW()-2)</x:f>
        <x:v>#NAME?</x:v>
      </x:c>
      <x:c r="B139" t="e">
        <x:f>IF($A139="","",INDEX(대장!$A$1:$A$501,$A139))</x:f>
        <x:v>#NAME?</x:v>
      </x:c>
      <x:c r="C139" s="46" t="e">
        <x:f>IFERROR(IF($A139="","",INDEX(대장!$F$1:$F$501,$A139)),"")</x:f>
        <x:v>#NAME?</x:v>
      </x:c>
      <x:c r="D139" s="46" t="e">
        <x:f>IFERROR(IF($A139="","",INDEX(대장!$G$1:$G$501,$A139)),"")</x:f>
        <x:v>#NAME?</x:v>
      </x:c>
      <x:c r="E139" t="e">
        <x:f>IF($A139="","",IF(NOT(ISNUMBER(INDEX(대장!$F$1:$F$501,$A139))),"확인 필요",IF(AND(INDEX(대장!$G$1:$G$501,$A139)&lt;&gt;"",NOT(ISNUMBER(INDEX(대장!$G$1:$G$501,$A139)))),"확인 필요",IF(AND(ISNUMBER(INDEX(대장!$G$1:$G$501,$A139)),INDEX(대장!$G$1:$G$501,$A139)&lt;INDEX(대장!$F$1:$F$501,$A139)),"확인 필요",IF(INDEX(대장!$L$1:$L$501,$A139)&lt;&gt;"","메모 있음","정상")))))</x:f>
        <x:v>#NAME?</x:v>
      </x:c>
      <x:c r="F139" t="e">
        <x:f>IF($A139="","",IF($E139="확인 필요","시작일·종료일과 기간 순서를 확인해 주세요.",IF($E139="메모 있음",IFERROR(INDEX(대장!$L$1:$L$501,$A139),""),"")))</x:f>
        <x:v>#NAME?</x:v>
      </x:c>
    </x:row>
    <x:row r="140">
      <x:c r="A140" t="e">
        <x:f>IF(INDEX(대장!$A$1:$A$501,ROW()-2)="","",ROW()-2)</x:f>
        <x:v>#NAME?</x:v>
      </x:c>
      <x:c r="B140" t="e">
        <x:f>IF($A140="","",INDEX(대장!$A$1:$A$501,$A140))</x:f>
        <x:v>#NAME?</x:v>
      </x:c>
      <x:c r="C140" s="46" t="e">
        <x:f>IFERROR(IF($A140="","",INDEX(대장!$F$1:$F$501,$A140)),"")</x:f>
        <x:v>#NAME?</x:v>
      </x:c>
      <x:c r="D140" s="46" t="e">
        <x:f>IFERROR(IF($A140="","",INDEX(대장!$G$1:$G$501,$A140)),"")</x:f>
        <x:v>#NAME?</x:v>
      </x:c>
      <x:c r="E140" t="e">
        <x:f>IF($A140="","",IF(NOT(ISNUMBER(INDEX(대장!$F$1:$F$501,$A140))),"확인 필요",IF(AND(INDEX(대장!$G$1:$G$501,$A140)&lt;&gt;"",NOT(ISNUMBER(INDEX(대장!$G$1:$G$501,$A140)))),"확인 필요",IF(AND(ISNUMBER(INDEX(대장!$G$1:$G$501,$A140)),INDEX(대장!$G$1:$G$501,$A140)&lt;INDEX(대장!$F$1:$F$501,$A140)),"확인 필요",IF(INDEX(대장!$L$1:$L$501,$A140)&lt;&gt;"","메모 있음","정상")))))</x:f>
        <x:v>#NAME?</x:v>
      </x:c>
      <x:c r="F140" t="e">
        <x:f>IF($A140="","",IF($E140="확인 필요","시작일·종료일과 기간 순서를 확인해 주세요.",IF($E140="메모 있음",IFERROR(INDEX(대장!$L$1:$L$501,$A140),""),"")))</x:f>
        <x:v>#NAME?</x:v>
      </x:c>
    </x:row>
    <x:row r="141">
      <x:c r="A141" t="e">
        <x:f>IF(INDEX(대장!$A$1:$A$501,ROW()-2)="","",ROW()-2)</x:f>
        <x:v>#NAME?</x:v>
      </x:c>
      <x:c r="B141" t="e">
        <x:f>IF($A141="","",INDEX(대장!$A$1:$A$501,$A141))</x:f>
        <x:v>#NAME?</x:v>
      </x:c>
      <x:c r="C141" s="46" t="e">
        <x:f>IFERROR(IF($A141="","",INDEX(대장!$F$1:$F$501,$A141)),"")</x:f>
        <x:v>#NAME?</x:v>
      </x:c>
      <x:c r="D141" s="46" t="e">
        <x:f>IFERROR(IF($A141="","",INDEX(대장!$G$1:$G$501,$A141)),"")</x:f>
        <x:v>#NAME?</x:v>
      </x:c>
      <x:c r="E141" t="e">
        <x:f>IF($A141="","",IF(NOT(ISNUMBER(INDEX(대장!$F$1:$F$501,$A141))),"확인 필요",IF(AND(INDEX(대장!$G$1:$G$501,$A141)&lt;&gt;"",NOT(ISNUMBER(INDEX(대장!$G$1:$G$501,$A141)))),"확인 필요",IF(AND(ISNUMBER(INDEX(대장!$G$1:$G$501,$A141)),INDEX(대장!$G$1:$G$501,$A141)&lt;INDEX(대장!$F$1:$F$501,$A141)),"확인 필요",IF(INDEX(대장!$L$1:$L$501,$A141)&lt;&gt;"","메모 있음","정상")))))</x:f>
        <x:v>#NAME?</x:v>
      </x:c>
      <x:c r="F141" t="e">
        <x:f>IF($A141="","",IF($E141="확인 필요","시작일·종료일과 기간 순서를 확인해 주세요.",IF($E141="메모 있음",IFERROR(INDEX(대장!$L$1:$L$501,$A141),""),"")))</x:f>
        <x:v>#NAME?</x:v>
      </x:c>
    </x:row>
    <x:row r="142">
      <x:c r="A142" t="e">
        <x:f>IF(INDEX(대장!$A$1:$A$501,ROW()-2)="","",ROW()-2)</x:f>
        <x:v>#NAME?</x:v>
      </x:c>
      <x:c r="B142" t="e">
        <x:f>IF($A142="","",INDEX(대장!$A$1:$A$501,$A142))</x:f>
        <x:v>#NAME?</x:v>
      </x:c>
      <x:c r="C142" s="46" t="e">
        <x:f>IFERROR(IF($A142="","",INDEX(대장!$F$1:$F$501,$A142)),"")</x:f>
        <x:v>#NAME?</x:v>
      </x:c>
      <x:c r="D142" s="46" t="e">
        <x:f>IFERROR(IF($A142="","",INDEX(대장!$G$1:$G$501,$A142)),"")</x:f>
        <x:v>#NAME?</x:v>
      </x:c>
      <x:c r="E142" t="e">
        <x:f>IF($A142="","",IF(NOT(ISNUMBER(INDEX(대장!$F$1:$F$501,$A142))),"확인 필요",IF(AND(INDEX(대장!$G$1:$G$501,$A142)&lt;&gt;"",NOT(ISNUMBER(INDEX(대장!$G$1:$G$501,$A142)))),"확인 필요",IF(AND(ISNUMBER(INDEX(대장!$G$1:$G$501,$A142)),INDEX(대장!$G$1:$G$501,$A142)&lt;INDEX(대장!$F$1:$F$501,$A142)),"확인 필요",IF(INDEX(대장!$L$1:$L$501,$A142)&lt;&gt;"","메모 있음","정상")))))</x:f>
        <x:v>#NAME?</x:v>
      </x:c>
      <x:c r="F142" t="e">
        <x:f>IF($A142="","",IF($E142="확인 필요","시작일·종료일과 기간 순서를 확인해 주세요.",IF($E142="메모 있음",IFERROR(INDEX(대장!$L$1:$L$501,$A142),""),"")))</x:f>
        <x:v>#NAME?</x:v>
      </x:c>
    </x:row>
    <x:row r="143">
      <x:c r="A143" t="e">
        <x:f>IF(INDEX(대장!$A$1:$A$501,ROW()-2)="","",ROW()-2)</x:f>
        <x:v>#NAME?</x:v>
      </x:c>
      <x:c r="B143" t="e">
        <x:f>IF($A143="","",INDEX(대장!$A$1:$A$501,$A143))</x:f>
        <x:v>#NAME?</x:v>
      </x:c>
      <x:c r="C143" s="46" t="e">
        <x:f>IFERROR(IF($A143="","",INDEX(대장!$F$1:$F$501,$A143)),"")</x:f>
        <x:v>#NAME?</x:v>
      </x:c>
      <x:c r="D143" s="46" t="e">
        <x:f>IFERROR(IF($A143="","",INDEX(대장!$G$1:$G$501,$A143)),"")</x:f>
        <x:v>#NAME?</x:v>
      </x:c>
      <x:c r="E143" t="e">
        <x:f>IF($A143="","",IF(NOT(ISNUMBER(INDEX(대장!$F$1:$F$501,$A143))),"확인 필요",IF(AND(INDEX(대장!$G$1:$G$501,$A143)&lt;&gt;"",NOT(ISNUMBER(INDEX(대장!$G$1:$G$501,$A143)))),"확인 필요",IF(AND(ISNUMBER(INDEX(대장!$G$1:$G$501,$A143)),INDEX(대장!$G$1:$G$501,$A143)&lt;INDEX(대장!$F$1:$F$501,$A143)),"확인 필요",IF(INDEX(대장!$L$1:$L$501,$A143)&lt;&gt;"","메모 있음","정상")))))</x:f>
        <x:v>#NAME?</x:v>
      </x:c>
      <x:c r="F143" t="e">
        <x:f>IF($A143="","",IF($E143="확인 필요","시작일·종료일과 기간 순서를 확인해 주세요.",IF($E143="메모 있음",IFERROR(INDEX(대장!$L$1:$L$501,$A143),""),"")))</x:f>
        <x:v>#NAME?</x:v>
      </x:c>
    </x:row>
    <x:row r="144">
      <x:c r="A144" t="e">
        <x:f>IF(INDEX(대장!$A$1:$A$501,ROW()-2)="","",ROW()-2)</x:f>
        <x:v>#NAME?</x:v>
      </x:c>
      <x:c r="B144" t="e">
        <x:f>IF($A144="","",INDEX(대장!$A$1:$A$501,$A144))</x:f>
        <x:v>#NAME?</x:v>
      </x:c>
      <x:c r="C144" s="46" t="e">
        <x:f>IFERROR(IF($A144="","",INDEX(대장!$F$1:$F$501,$A144)),"")</x:f>
        <x:v>#NAME?</x:v>
      </x:c>
      <x:c r="D144" s="46" t="e">
        <x:f>IFERROR(IF($A144="","",INDEX(대장!$G$1:$G$501,$A144)),"")</x:f>
        <x:v>#NAME?</x:v>
      </x:c>
      <x:c r="E144" t="e">
        <x:f>IF($A144="","",IF(NOT(ISNUMBER(INDEX(대장!$F$1:$F$501,$A144))),"확인 필요",IF(AND(INDEX(대장!$G$1:$G$501,$A144)&lt;&gt;"",NOT(ISNUMBER(INDEX(대장!$G$1:$G$501,$A144)))),"확인 필요",IF(AND(ISNUMBER(INDEX(대장!$G$1:$G$501,$A144)),INDEX(대장!$G$1:$G$501,$A144)&lt;INDEX(대장!$F$1:$F$501,$A144)),"확인 필요",IF(INDEX(대장!$L$1:$L$501,$A144)&lt;&gt;"","메모 있음","정상")))))</x:f>
        <x:v>#NAME?</x:v>
      </x:c>
      <x:c r="F144" t="e">
        <x:f>IF($A144="","",IF($E144="확인 필요","시작일·종료일과 기간 순서를 확인해 주세요.",IF($E144="메모 있음",IFERROR(INDEX(대장!$L$1:$L$501,$A144),""),"")))</x:f>
        <x:v>#NAME?</x:v>
      </x:c>
    </x:row>
    <x:row r="145">
      <x:c r="A145" t="e">
        <x:f>IF(INDEX(대장!$A$1:$A$501,ROW()-2)="","",ROW()-2)</x:f>
        <x:v>#NAME?</x:v>
      </x:c>
      <x:c r="B145" t="e">
        <x:f>IF($A145="","",INDEX(대장!$A$1:$A$501,$A145))</x:f>
        <x:v>#NAME?</x:v>
      </x:c>
      <x:c r="C145" s="46" t="e">
        <x:f>IFERROR(IF($A145="","",INDEX(대장!$F$1:$F$501,$A145)),"")</x:f>
        <x:v>#NAME?</x:v>
      </x:c>
      <x:c r="D145" s="46" t="e">
        <x:f>IFERROR(IF($A145="","",INDEX(대장!$G$1:$G$501,$A145)),"")</x:f>
        <x:v>#NAME?</x:v>
      </x:c>
      <x:c r="E145" t="e">
        <x:f>IF($A145="","",IF(NOT(ISNUMBER(INDEX(대장!$F$1:$F$501,$A145))),"확인 필요",IF(AND(INDEX(대장!$G$1:$G$501,$A145)&lt;&gt;"",NOT(ISNUMBER(INDEX(대장!$G$1:$G$501,$A145)))),"확인 필요",IF(AND(ISNUMBER(INDEX(대장!$G$1:$G$501,$A145)),INDEX(대장!$G$1:$G$501,$A145)&lt;INDEX(대장!$F$1:$F$501,$A145)),"확인 필요",IF(INDEX(대장!$L$1:$L$501,$A145)&lt;&gt;"","메모 있음","정상")))))</x:f>
        <x:v>#NAME?</x:v>
      </x:c>
      <x:c r="F145" t="e">
        <x:f>IF($A145="","",IF($E145="확인 필요","시작일·종료일과 기간 순서를 확인해 주세요.",IF($E145="메모 있음",IFERROR(INDEX(대장!$L$1:$L$501,$A145),""),"")))</x:f>
        <x:v>#NAME?</x:v>
      </x:c>
    </x:row>
    <x:row r="146">
      <x:c r="A146" t="e">
        <x:f>IF(INDEX(대장!$A$1:$A$501,ROW()-2)="","",ROW()-2)</x:f>
        <x:v>#NAME?</x:v>
      </x:c>
      <x:c r="B146" t="e">
        <x:f>IF($A146="","",INDEX(대장!$A$1:$A$501,$A146))</x:f>
        <x:v>#NAME?</x:v>
      </x:c>
      <x:c r="C146" s="46" t="e">
        <x:f>IFERROR(IF($A146="","",INDEX(대장!$F$1:$F$501,$A146)),"")</x:f>
        <x:v>#NAME?</x:v>
      </x:c>
      <x:c r="D146" s="46" t="e">
        <x:f>IFERROR(IF($A146="","",INDEX(대장!$G$1:$G$501,$A146)),"")</x:f>
        <x:v>#NAME?</x:v>
      </x:c>
      <x:c r="E146" t="e">
        <x:f>IF($A146="","",IF(NOT(ISNUMBER(INDEX(대장!$F$1:$F$501,$A146))),"확인 필요",IF(AND(INDEX(대장!$G$1:$G$501,$A146)&lt;&gt;"",NOT(ISNUMBER(INDEX(대장!$G$1:$G$501,$A146)))),"확인 필요",IF(AND(ISNUMBER(INDEX(대장!$G$1:$G$501,$A146)),INDEX(대장!$G$1:$G$501,$A146)&lt;INDEX(대장!$F$1:$F$501,$A146)),"확인 필요",IF(INDEX(대장!$L$1:$L$501,$A146)&lt;&gt;"","메모 있음","정상")))))</x:f>
        <x:v>#NAME?</x:v>
      </x:c>
      <x:c r="F146" t="e">
        <x:f>IF($A146="","",IF($E146="확인 필요","시작일·종료일과 기간 순서를 확인해 주세요.",IF($E146="메모 있음",IFERROR(INDEX(대장!$L$1:$L$501,$A146),""),"")))</x:f>
        <x:v>#NAME?</x:v>
      </x:c>
    </x:row>
    <x:row r="147">
      <x:c r="A147" t="e">
        <x:f>IF(INDEX(대장!$A$1:$A$501,ROW()-2)="","",ROW()-2)</x:f>
        <x:v>#NAME?</x:v>
      </x:c>
      <x:c r="B147" t="e">
        <x:f>IF($A147="","",INDEX(대장!$A$1:$A$501,$A147))</x:f>
        <x:v>#NAME?</x:v>
      </x:c>
      <x:c r="C147" s="46" t="e">
        <x:f>IFERROR(IF($A147="","",INDEX(대장!$F$1:$F$501,$A147)),"")</x:f>
        <x:v>#NAME?</x:v>
      </x:c>
      <x:c r="D147" s="46" t="e">
        <x:f>IFERROR(IF($A147="","",INDEX(대장!$G$1:$G$501,$A147)),"")</x:f>
        <x:v>#NAME?</x:v>
      </x:c>
      <x:c r="E147" t="e">
        <x:f>IF($A147="","",IF(NOT(ISNUMBER(INDEX(대장!$F$1:$F$501,$A147))),"확인 필요",IF(AND(INDEX(대장!$G$1:$G$501,$A147)&lt;&gt;"",NOT(ISNUMBER(INDEX(대장!$G$1:$G$501,$A147)))),"확인 필요",IF(AND(ISNUMBER(INDEX(대장!$G$1:$G$501,$A147)),INDEX(대장!$G$1:$G$501,$A147)&lt;INDEX(대장!$F$1:$F$501,$A147)),"확인 필요",IF(INDEX(대장!$L$1:$L$501,$A147)&lt;&gt;"","메모 있음","정상")))))</x:f>
        <x:v>#NAME?</x:v>
      </x:c>
      <x:c r="F147" t="e">
        <x:f>IF($A147="","",IF($E147="확인 필요","시작일·종료일과 기간 순서를 확인해 주세요.",IF($E147="메모 있음",IFERROR(INDEX(대장!$L$1:$L$501,$A147),""),"")))</x:f>
        <x:v>#NAME?</x:v>
      </x:c>
    </x:row>
    <x:row r="148">
      <x:c r="A148" t="e">
        <x:f>IF(INDEX(대장!$A$1:$A$501,ROW()-2)="","",ROW()-2)</x:f>
        <x:v>#NAME?</x:v>
      </x:c>
      <x:c r="B148" t="e">
        <x:f>IF($A148="","",INDEX(대장!$A$1:$A$501,$A148))</x:f>
        <x:v>#NAME?</x:v>
      </x:c>
      <x:c r="C148" s="46" t="e">
        <x:f>IFERROR(IF($A148="","",INDEX(대장!$F$1:$F$501,$A148)),"")</x:f>
        <x:v>#NAME?</x:v>
      </x:c>
      <x:c r="D148" s="46" t="e">
        <x:f>IFERROR(IF($A148="","",INDEX(대장!$G$1:$G$501,$A148)),"")</x:f>
        <x:v>#NAME?</x:v>
      </x:c>
      <x:c r="E148" t="e">
        <x:f>IF($A148="","",IF(NOT(ISNUMBER(INDEX(대장!$F$1:$F$501,$A148))),"확인 필요",IF(AND(INDEX(대장!$G$1:$G$501,$A148)&lt;&gt;"",NOT(ISNUMBER(INDEX(대장!$G$1:$G$501,$A148)))),"확인 필요",IF(AND(ISNUMBER(INDEX(대장!$G$1:$G$501,$A148)),INDEX(대장!$G$1:$G$501,$A148)&lt;INDEX(대장!$F$1:$F$501,$A148)),"확인 필요",IF(INDEX(대장!$L$1:$L$501,$A148)&lt;&gt;"","메모 있음","정상")))))</x:f>
        <x:v>#NAME?</x:v>
      </x:c>
      <x:c r="F148" t="e">
        <x:f>IF($A148="","",IF($E148="확인 필요","시작일·종료일과 기간 순서를 확인해 주세요.",IF($E148="메모 있음",IFERROR(INDEX(대장!$L$1:$L$501,$A148),""),"")))</x:f>
        <x:v>#NAME?</x:v>
      </x:c>
    </x:row>
    <x:row r="149">
      <x:c r="A149" t="e">
        <x:f>IF(INDEX(대장!$A$1:$A$501,ROW()-2)="","",ROW()-2)</x:f>
        <x:v>#NAME?</x:v>
      </x:c>
      <x:c r="B149" t="e">
        <x:f>IF($A149="","",INDEX(대장!$A$1:$A$501,$A149))</x:f>
        <x:v>#NAME?</x:v>
      </x:c>
      <x:c r="C149" s="46" t="e">
        <x:f>IFERROR(IF($A149="","",INDEX(대장!$F$1:$F$501,$A149)),"")</x:f>
        <x:v>#NAME?</x:v>
      </x:c>
      <x:c r="D149" s="46" t="e">
        <x:f>IFERROR(IF($A149="","",INDEX(대장!$G$1:$G$501,$A149)),"")</x:f>
        <x:v>#NAME?</x:v>
      </x:c>
      <x:c r="E149" t="e">
        <x:f>IF($A149="","",IF(NOT(ISNUMBER(INDEX(대장!$F$1:$F$501,$A149))),"확인 필요",IF(AND(INDEX(대장!$G$1:$G$501,$A149)&lt;&gt;"",NOT(ISNUMBER(INDEX(대장!$G$1:$G$501,$A149)))),"확인 필요",IF(AND(ISNUMBER(INDEX(대장!$G$1:$G$501,$A149)),INDEX(대장!$G$1:$G$501,$A149)&lt;INDEX(대장!$F$1:$F$501,$A149)),"확인 필요",IF(INDEX(대장!$L$1:$L$501,$A149)&lt;&gt;"","메모 있음","정상")))))</x:f>
        <x:v>#NAME?</x:v>
      </x:c>
      <x:c r="F149" t="e">
        <x:f>IF($A149="","",IF($E149="확인 필요","시작일·종료일과 기간 순서를 확인해 주세요.",IF($E149="메모 있음",IFERROR(INDEX(대장!$L$1:$L$501,$A149),""),"")))</x:f>
        <x:v>#NAME?</x:v>
      </x:c>
    </x:row>
    <x:row r="150">
      <x:c r="A150" t="e">
        <x:f>IF(INDEX(대장!$A$1:$A$501,ROW()-2)="","",ROW()-2)</x:f>
        <x:v>#NAME?</x:v>
      </x:c>
      <x:c r="B150" t="e">
        <x:f>IF($A150="","",INDEX(대장!$A$1:$A$501,$A150))</x:f>
        <x:v>#NAME?</x:v>
      </x:c>
      <x:c r="C150" s="46" t="e">
        <x:f>IFERROR(IF($A150="","",INDEX(대장!$F$1:$F$501,$A150)),"")</x:f>
        <x:v>#NAME?</x:v>
      </x:c>
      <x:c r="D150" s="46" t="e">
        <x:f>IFERROR(IF($A150="","",INDEX(대장!$G$1:$G$501,$A150)),"")</x:f>
        <x:v>#NAME?</x:v>
      </x:c>
      <x:c r="E150" t="e">
        <x:f>IF($A150="","",IF(NOT(ISNUMBER(INDEX(대장!$F$1:$F$501,$A150))),"확인 필요",IF(AND(INDEX(대장!$G$1:$G$501,$A150)&lt;&gt;"",NOT(ISNUMBER(INDEX(대장!$G$1:$G$501,$A150)))),"확인 필요",IF(AND(ISNUMBER(INDEX(대장!$G$1:$G$501,$A150)),INDEX(대장!$G$1:$G$501,$A150)&lt;INDEX(대장!$F$1:$F$501,$A150)),"확인 필요",IF(INDEX(대장!$L$1:$L$501,$A150)&lt;&gt;"","메모 있음","정상")))))</x:f>
        <x:v>#NAME?</x:v>
      </x:c>
      <x:c r="F150" t="e">
        <x:f>IF($A150="","",IF($E150="확인 필요","시작일·종료일과 기간 순서를 확인해 주세요.",IF($E150="메모 있음",IFERROR(INDEX(대장!$L$1:$L$501,$A150),""),"")))</x:f>
        <x:v>#NAME?</x:v>
      </x:c>
    </x:row>
    <x:row r="151">
      <x:c r="A151" t="e">
        <x:f>IF(INDEX(대장!$A$1:$A$501,ROW()-2)="","",ROW()-2)</x:f>
        <x:v>#NAME?</x:v>
      </x:c>
      <x:c r="B151" t="e">
        <x:f>IF($A151="","",INDEX(대장!$A$1:$A$501,$A151))</x:f>
        <x:v>#NAME?</x:v>
      </x:c>
      <x:c r="C151" s="46" t="e">
        <x:f>IFERROR(IF($A151="","",INDEX(대장!$F$1:$F$501,$A151)),"")</x:f>
        <x:v>#NAME?</x:v>
      </x:c>
      <x:c r="D151" s="46" t="e">
        <x:f>IFERROR(IF($A151="","",INDEX(대장!$G$1:$G$501,$A151)),"")</x:f>
        <x:v>#NAME?</x:v>
      </x:c>
      <x:c r="E151" t="e">
        <x:f>IF($A151="","",IF(NOT(ISNUMBER(INDEX(대장!$F$1:$F$501,$A151))),"확인 필요",IF(AND(INDEX(대장!$G$1:$G$501,$A151)&lt;&gt;"",NOT(ISNUMBER(INDEX(대장!$G$1:$G$501,$A151)))),"확인 필요",IF(AND(ISNUMBER(INDEX(대장!$G$1:$G$501,$A151)),INDEX(대장!$G$1:$G$501,$A151)&lt;INDEX(대장!$F$1:$F$501,$A151)),"확인 필요",IF(INDEX(대장!$L$1:$L$501,$A151)&lt;&gt;"","메모 있음","정상")))))</x:f>
        <x:v>#NAME?</x:v>
      </x:c>
      <x:c r="F151" t="e">
        <x:f>IF($A151="","",IF($E151="확인 필요","시작일·종료일과 기간 순서를 확인해 주세요.",IF($E151="메모 있음",IFERROR(INDEX(대장!$L$1:$L$501,$A151),""),"")))</x:f>
        <x:v>#NAME?</x:v>
      </x:c>
    </x:row>
    <x:row r="152">
      <x:c r="A152" t="e">
        <x:f>IF(INDEX(대장!$A$1:$A$501,ROW()-2)="","",ROW()-2)</x:f>
        <x:v>#NAME?</x:v>
      </x:c>
      <x:c r="B152" t="e">
        <x:f>IF($A152="","",INDEX(대장!$A$1:$A$501,$A152))</x:f>
        <x:v>#NAME?</x:v>
      </x:c>
      <x:c r="C152" s="46" t="e">
        <x:f>IFERROR(IF($A152="","",INDEX(대장!$F$1:$F$501,$A152)),"")</x:f>
        <x:v>#NAME?</x:v>
      </x:c>
      <x:c r="D152" s="46" t="e">
        <x:f>IFERROR(IF($A152="","",INDEX(대장!$G$1:$G$501,$A152)),"")</x:f>
        <x:v>#NAME?</x:v>
      </x:c>
      <x:c r="E152" t="e">
        <x:f>IF($A152="","",IF(NOT(ISNUMBER(INDEX(대장!$F$1:$F$501,$A152))),"확인 필요",IF(AND(INDEX(대장!$G$1:$G$501,$A152)&lt;&gt;"",NOT(ISNUMBER(INDEX(대장!$G$1:$G$501,$A152)))),"확인 필요",IF(AND(ISNUMBER(INDEX(대장!$G$1:$G$501,$A152)),INDEX(대장!$G$1:$G$501,$A152)&lt;INDEX(대장!$F$1:$F$501,$A152)),"확인 필요",IF(INDEX(대장!$L$1:$L$501,$A152)&lt;&gt;"","메모 있음","정상")))))</x:f>
        <x:v>#NAME?</x:v>
      </x:c>
      <x:c r="F152" t="e">
        <x:f>IF($A152="","",IF($E152="확인 필요","시작일·종료일과 기간 순서를 확인해 주세요.",IF($E152="메모 있음",IFERROR(INDEX(대장!$L$1:$L$501,$A152),""),"")))</x:f>
        <x:v>#NAME?</x:v>
      </x:c>
    </x:row>
    <x:row r="153">
      <x:c r="A153" t="e">
        <x:f>IF(INDEX(대장!$A$1:$A$501,ROW()-2)="","",ROW()-2)</x:f>
        <x:v>#NAME?</x:v>
      </x:c>
      <x:c r="B153" t="e">
        <x:f>IF($A153="","",INDEX(대장!$A$1:$A$501,$A153))</x:f>
        <x:v>#NAME?</x:v>
      </x:c>
      <x:c r="C153" s="46" t="e">
        <x:f>IFERROR(IF($A153="","",INDEX(대장!$F$1:$F$501,$A153)),"")</x:f>
        <x:v>#NAME?</x:v>
      </x:c>
      <x:c r="D153" s="46" t="e">
        <x:f>IFERROR(IF($A153="","",INDEX(대장!$G$1:$G$501,$A153)),"")</x:f>
        <x:v>#NAME?</x:v>
      </x:c>
      <x:c r="E153" t="e">
        <x:f>IF($A153="","",IF(NOT(ISNUMBER(INDEX(대장!$F$1:$F$501,$A153))),"확인 필요",IF(AND(INDEX(대장!$G$1:$G$501,$A153)&lt;&gt;"",NOT(ISNUMBER(INDEX(대장!$G$1:$G$501,$A153)))),"확인 필요",IF(AND(ISNUMBER(INDEX(대장!$G$1:$G$501,$A153)),INDEX(대장!$G$1:$G$501,$A153)&lt;INDEX(대장!$F$1:$F$501,$A153)),"확인 필요",IF(INDEX(대장!$L$1:$L$501,$A153)&lt;&gt;"","메모 있음","정상")))))</x:f>
        <x:v>#NAME?</x:v>
      </x:c>
      <x:c r="F153" t="e">
        <x:f>IF($A153="","",IF($E153="확인 필요","시작일·종료일과 기간 순서를 확인해 주세요.",IF($E153="메모 있음",IFERROR(INDEX(대장!$L$1:$L$501,$A153),""),"")))</x:f>
        <x:v>#NAME?</x:v>
      </x:c>
    </x:row>
    <x:row r="154">
      <x:c r="A154" t="e">
        <x:f>IF(INDEX(대장!$A$1:$A$501,ROW()-2)="","",ROW()-2)</x:f>
        <x:v>#NAME?</x:v>
      </x:c>
      <x:c r="B154" t="e">
        <x:f>IF($A154="","",INDEX(대장!$A$1:$A$501,$A154))</x:f>
        <x:v>#NAME?</x:v>
      </x:c>
      <x:c r="C154" s="46" t="e">
        <x:f>IFERROR(IF($A154="","",INDEX(대장!$F$1:$F$501,$A154)),"")</x:f>
        <x:v>#NAME?</x:v>
      </x:c>
      <x:c r="D154" s="46" t="e">
        <x:f>IFERROR(IF($A154="","",INDEX(대장!$G$1:$G$501,$A154)),"")</x:f>
        <x:v>#NAME?</x:v>
      </x:c>
      <x:c r="E154" t="e">
        <x:f>IF($A154="","",IF(NOT(ISNUMBER(INDEX(대장!$F$1:$F$501,$A154))),"확인 필요",IF(AND(INDEX(대장!$G$1:$G$501,$A154)&lt;&gt;"",NOT(ISNUMBER(INDEX(대장!$G$1:$G$501,$A154)))),"확인 필요",IF(AND(ISNUMBER(INDEX(대장!$G$1:$G$501,$A154)),INDEX(대장!$G$1:$G$501,$A154)&lt;INDEX(대장!$F$1:$F$501,$A154)),"확인 필요",IF(INDEX(대장!$L$1:$L$501,$A154)&lt;&gt;"","메모 있음","정상")))))</x:f>
        <x:v>#NAME?</x:v>
      </x:c>
      <x:c r="F154" t="e">
        <x:f>IF($A154="","",IF($E154="확인 필요","시작일·종료일과 기간 순서를 확인해 주세요.",IF($E154="메모 있음",IFERROR(INDEX(대장!$L$1:$L$501,$A154),""),"")))</x:f>
        <x:v>#NAME?</x:v>
      </x:c>
    </x:row>
    <x:row r="155">
      <x:c r="A155" t="e">
        <x:f>IF(INDEX(대장!$A$1:$A$501,ROW()-2)="","",ROW()-2)</x:f>
        <x:v>#NAME?</x:v>
      </x:c>
      <x:c r="B155" t="e">
        <x:f>IF($A155="","",INDEX(대장!$A$1:$A$501,$A155))</x:f>
        <x:v>#NAME?</x:v>
      </x:c>
      <x:c r="C155" s="46" t="e">
        <x:f>IFERROR(IF($A155="","",INDEX(대장!$F$1:$F$501,$A155)),"")</x:f>
        <x:v>#NAME?</x:v>
      </x:c>
      <x:c r="D155" s="46" t="e">
        <x:f>IFERROR(IF($A155="","",INDEX(대장!$G$1:$G$501,$A155)),"")</x:f>
        <x:v>#NAME?</x:v>
      </x:c>
      <x:c r="E155" t="e">
        <x:f>IF($A155="","",IF(NOT(ISNUMBER(INDEX(대장!$F$1:$F$501,$A155))),"확인 필요",IF(AND(INDEX(대장!$G$1:$G$501,$A155)&lt;&gt;"",NOT(ISNUMBER(INDEX(대장!$G$1:$G$501,$A155)))),"확인 필요",IF(AND(ISNUMBER(INDEX(대장!$G$1:$G$501,$A155)),INDEX(대장!$G$1:$G$501,$A155)&lt;INDEX(대장!$F$1:$F$501,$A155)),"확인 필요",IF(INDEX(대장!$L$1:$L$501,$A155)&lt;&gt;"","메모 있음","정상")))))</x:f>
        <x:v>#NAME?</x:v>
      </x:c>
      <x:c r="F155" t="e">
        <x:f>IF($A155="","",IF($E155="확인 필요","시작일·종료일과 기간 순서를 확인해 주세요.",IF($E155="메모 있음",IFERROR(INDEX(대장!$L$1:$L$501,$A155),""),"")))</x:f>
        <x:v>#NAME?</x:v>
      </x:c>
    </x:row>
    <x:row r="156">
      <x:c r="A156" t="e">
        <x:f>IF(INDEX(대장!$A$1:$A$501,ROW()-2)="","",ROW()-2)</x:f>
        <x:v>#NAME?</x:v>
      </x:c>
      <x:c r="B156" t="e">
        <x:f>IF($A156="","",INDEX(대장!$A$1:$A$501,$A156))</x:f>
        <x:v>#NAME?</x:v>
      </x:c>
      <x:c r="C156" s="46" t="e">
        <x:f>IFERROR(IF($A156="","",INDEX(대장!$F$1:$F$501,$A156)),"")</x:f>
        <x:v>#NAME?</x:v>
      </x:c>
      <x:c r="D156" s="46" t="e">
        <x:f>IFERROR(IF($A156="","",INDEX(대장!$G$1:$G$501,$A156)),"")</x:f>
        <x:v>#NAME?</x:v>
      </x:c>
      <x:c r="E156" t="e">
        <x:f>IF($A156="","",IF(NOT(ISNUMBER(INDEX(대장!$F$1:$F$501,$A156))),"확인 필요",IF(AND(INDEX(대장!$G$1:$G$501,$A156)&lt;&gt;"",NOT(ISNUMBER(INDEX(대장!$G$1:$G$501,$A156)))),"확인 필요",IF(AND(ISNUMBER(INDEX(대장!$G$1:$G$501,$A156)),INDEX(대장!$G$1:$G$501,$A156)&lt;INDEX(대장!$F$1:$F$501,$A156)),"확인 필요",IF(INDEX(대장!$L$1:$L$501,$A156)&lt;&gt;"","메모 있음","정상")))))</x:f>
        <x:v>#NAME?</x:v>
      </x:c>
      <x:c r="F156" t="e">
        <x:f>IF($A156="","",IF($E156="확인 필요","시작일·종료일과 기간 순서를 확인해 주세요.",IF($E156="메모 있음",IFERROR(INDEX(대장!$L$1:$L$501,$A156),""),"")))</x:f>
        <x:v>#NAME?</x:v>
      </x:c>
    </x:row>
    <x:row r="157">
      <x:c r="A157" t="e">
        <x:f>IF(INDEX(대장!$A$1:$A$501,ROW()-2)="","",ROW()-2)</x:f>
        <x:v>#NAME?</x:v>
      </x:c>
      <x:c r="B157" t="e">
        <x:f>IF($A157="","",INDEX(대장!$A$1:$A$501,$A157))</x:f>
        <x:v>#NAME?</x:v>
      </x:c>
      <x:c r="C157" s="46" t="e">
        <x:f>IFERROR(IF($A157="","",INDEX(대장!$F$1:$F$501,$A157)),"")</x:f>
        <x:v>#NAME?</x:v>
      </x:c>
      <x:c r="D157" s="46" t="e">
        <x:f>IFERROR(IF($A157="","",INDEX(대장!$G$1:$G$501,$A157)),"")</x:f>
        <x:v>#NAME?</x:v>
      </x:c>
      <x:c r="E157" t="e">
        <x:f>IF($A157="","",IF(NOT(ISNUMBER(INDEX(대장!$F$1:$F$501,$A157))),"확인 필요",IF(AND(INDEX(대장!$G$1:$G$501,$A157)&lt;&gt;"",NOT(ISNUMBER(INDEX(대장!$G$1:$G$501,$A157)))),"확인 필요",IF(AND(ISNUMBER(INDEX(대장!$G$1:$G$501,$A157)),INDEX(대장!$G$1:$G$501,$A157)&lt;INDEX(대장!$F$1:$F$501,$A157)),"확인 필요",IF(INDEX(대장!$L$1:$L$501,$A157)&lt;&gt;"","메모 있음","정상")))))</x:f>
        <x:v>#NAME?</x:v>
      </x:c>
      <x:c r="F157" t="e">
        <x:f>IF($A157="","",IF($E157="확인 필요","시작일·종료일과 기간 순서를 확인해 주세요.",IF($E157="메모 있음",IFERROR(INDEX(대장!$L$1:$L$501,$A157),""),"")))</x:f>
        <x:v>#NAME?</x:v>
      </x:c>
    </x:row>
    <x:row r="158">
      <x:c r="A158" t="e">
        <x:f>IF(INDEX(대장!$A$1:$A$501,ROW()-2)="","",ROW()-2)</x:f>
        <x:v>#NAME?</x:v>
      </x:c>
      <x:c r="B158" t="e">
        <x:f>IF($A158="","",INDEX(대장!$A$1:$A$501,$A158))</x:f>
        <x:v>#NAME?</x:v>
      </x:c>
      <x:c r="C158" s="46" t="e">
        <x:f>IFERROR(IF($A158="","",INDEX(대장!$F$1:$F$501,$A158)),"")</x:f>
        <x:v>#NAME?</x:v>
      </x:c>
      <x:c r="D158" s="46" t="e">
        <x:f>IFERROR(IF($A158="","",INDEX(대장!$G$1:$G$501,$A158)),"")</x:f>
        <x:v>#NAME?</x:v>
      </x:c>
      <x:c r="E158" t="e">
        <x:f>IF($A158="","",IF(NOT(ISNUMBER(INDEX(대장!$F$1:$F$501,$A158))),"확인 필요",IF(AND(INDEX(대장!$G$1:$G$501,$A158)&lt;&gt;"",NOT(ISNUMBER(INDEX(대장!$G$1:$G$501,$A158)))),"확인 필요",IF(AND(ISNUMBER(INDEX(대장!$G$1:$G$501,$A158)),INDEX(대장!$G$1:$G$501,$A158)&lt;INDEX(대장!$F$1:$F$501,$A158)),"확인 필요",IF(INDEX(대장!$L$1:$L$501,$A158)&lt;&gt;"","메모 있음","정상")))))</x:f>
        <x:v>#NAME?</x:v>
      </x:c>
      <x:c r="F158" t="e">
        <x:f>IF($A158="","",IF($E158="확인 필요","시작일·종료일과 기간 순서를 확인해 주세요.",IF($E158="메모 있음",IFERROR(INDEX(대장!$L$1:$L$501,$A158),""),"")))</x:f>
        <x:v>#NAME?</x:v>
      </x:c>
    </x:row>
    <x:row r="159">
      <x:c r="A159" t="e">
        <x:f>IF(INDEX(대장!$A$1:$A$501,ROW()-2)="","",ROW()-2)</x:f>
        <x:v>#NAME?</x:v>
      </x:c>
      <x:c r="B159" t="e">
        <x:f>IF($A159="","",INDEX(대장!$A$1:$A$501,$A159))</x:f>
        <x:v>#NAME?</x:v>
      </x:c>
      <x:c r="C159" s="46" t="e">
        <x:f>IFERROR(IF($A159="","",INDEX(대장!$F$1:$F$501,$A159)),"")</x:f>
        <x:v>#NAME?</x:v>
      </x:c>
      <x:c r="D159" s="46" t="e">
        <x:f>IFERROR(IF($A159="","",INDEX(대장!$G$1:$G$501,$A159)),"")</x:f>
        <x:v>#NAME?</x:v>
      </x:c>
      <x:c r="E159" t="e">
        <x:f>IF($A159="","",IF(NOT(ISNUMBER(INDEX(대장!$F$1:$F$501,$A159))),"확인 필요",IF(AND(INDEX(대장!$G$1:$G$501,$A159)&lt;&gt;"",NOT(ISNUMBER(INDEX(대장!$G$1:$G$501,$A159)))),"확인 필요",IF(AND(ISNUMBER(INDEX(대장!$G$1:$G$501,$A159)),INDEX(대장!$G$1:$G$501,$A159)&lt;INDEX(대장!$F$1:$F$501,$A159)),"확인 필요",IF(INDEX(대장!$L$1:$L$501,$A159)&lt;&gt;"","메모 있음","정상")))))</x:f>
        <x:v>#NAME?</x:v>
      </x:c>
      <x:c r="F159" t="e">
        <x:f>IF($A159="","",IF($E159="확인 필요","시작일·종료일과 기간 순서를 확인해 주세요.",IF($E159="메모 있음",IFERROR(INDEX(대장!$L$1:$L$501,$A159),""),"")))</x:f>
        <x:v>#NAME?</x:v>
      </x:c>
    </x:row>
    <x:row r="160">
      <x:c r="A160" t="e">
        <x:f>IF(INDEX(대장!$A$1:$A$501,ROW()-2)="","",ROW()-2)</x:f>
        <x:v>#NAME?</x:v>
      </x:c>
      <x:c r="B160" t="e">
        <x:f>IF($A160="","",INDEX(대장!$A$1:$A$501,$A160))</x:f>
        <x:v>#NAME?</x:v>
      </x:c>
      <x:c r="C160" s="46" t="e">
        <x:f>IFERROR(IF($A160="","",INDEX(대장!$F$1:$F$501,$A160)),"")</x:f>
        <x:v>#NAME?</x:v>
      </x:c>
      <x:c r="D160" s="46" t="e">
        <x:f>IFERROR(IF($A160="","",INDEX(대장!$G$1:$G$501,$A160)),"")</x:f>
        <x:v>#NAME?</x:v>
      </x:c>
      <x:c r="E160" t="e">
        <x:f>IF($A160="","",IF(NOT(ISNUMBER(INDEX(대장!$F$1:$F$501,$A160))),"확인 필요",IF(AND(INDEX(대장!$G$1:$G$501,$A160)&lt;&gt;"",NOT(ISNUMBER(INDEX(대장!$G$1:$G$501,$A160)))),"확인 필요",IF(AND(ISNUMBER(INDEX(대장!$G$1:$G$501,$A160)),INDEX(대장!$G$1:$G$501,$A160)&lt;INDEX(대장!$F$1:$F$501,$A160)),"확인 필요",IF(INDEX(대장!$L$1:$L$501,$A160)&lt;&gt;"","메모 있음","정상")))))</x:f>
        <x:v>#NAME?</x:v>
      </x:c>
      <x:c r="F160" t="e">
        <x:f>IF($A160="","",IF($E160="확인 필요","시작일·종료일과 기간 순서를 확인해 주세요.",IF($E160="메모 있음",IFERROR(INDEX(대장!$L$1:$L$501,$A160),""),"")))</x:f>
        <x:v>#NAME?</x:v>
      </x:c>
    </x:row>
    <x:row r="161">
      <x:c r="A161" t="e">
        <x:f>IF(INDEX(대장!$A$1:$A$501,ROW()-2)="","",ROW()-2)</x:f>
        <x:v>#NAME?</x:v>
      </x:c>
      <x:c r="B161" t="e">
        <x:f>IF($A161="","",INDEX(대장!$A$1:$A$501,$A161))</x:f>
        <x:v>#NAME?</x:v>
      </x:c>
      <x:c r="C161" s="46" t="e">
        <x:f>IFERROR(IF($A161="","",INDEX(대장!$F$1:$F$501,$A161)),"")</x:f>
        <x:v>#NAME?</x:v>
      </x:c>
      <x:c r="D161" s="46" t="e">
        <x:f>IFERROR(IF($A161="","",INDEX(대장!$G$1:$G$501,$A161)),"")</x:f>
        <x:v>#NAME?</x:v>
      </x:c>
      <x:c r="E161" t="e">
        <x:f>IF($A161="","",IF(NOT(ISNUMBER(INDEX(대장!$F$1:$F$501,$A161))),"확인 필요",IF(AND(INDEX(대장!$G$1:$G$501,$A161)&lt;&gt;"",NOT(ISNUMBER(INDEX(대장!$G$1:$G$501,$A161)))),"확인 필요",IF(AND(ISNUMBER(INDEX(대장!$G$1:$G$501,$A161)),INDEX(대장!$G$1:$G$501,$A161)&lt;INDEX(대장!$F$1:$F$501,$A161)),"확인 필요",IF(INDEX(대장!$L$1:$L$501,$A161)&lt;&gt;"","메모 있음","정상")))))</x:f>
        <x:v>#NAME?</x:v>
      </x:c>
      <x:c r="F161" t="e">
        <x:f>IF($A161="","",IF($E161="확인 필요","시작일·종료일과 기간 순서를 확인해 주세요.",IF($E161="메모 있음",IFERROR(INDEX(대장!$L$1:$L$501,$A161),""),"")))</x:f>
        <x:v>#NAME?</x:v>
      </x:c>
    </x:row>
    <x:row r="162">
      <x:c r="A162" t="e">
        <x:f>IF(INDEX(대장!$A$1:$A$501,ROW()-2)="","",ROW()-2)</x:f>
        <x:v>#NAME?</x:v>
      </x:c>
      <x:c r="B162" t="e">
        <x:f>IF($A162="","",INDEX(대장!$A$1:$A$501,$A162))</x:f>
        <x:v>#NAME?</x:v>
      </x:c>
      <x:c r="C162" s="46" t="e">
        <x:f>IFERROR(IF($A162="","",INDEX(대장!$F$1:$F$501,$A162)),"")</x:f>
        <x:v>#NAME?</x:v>
      </x:c>
      <x:c r="D162" s="46" t="e">
        <x:f>IFERROR(IF($A162="","",INDEX(대장!$G$1:$G$501,$A162)),"")</x:f>
        <x:v>#NAME?</x:v>
      </x:c>
      <x:c r="E162" t="e">
        <x:f>IF($A162="","",IF(NOT(ISNUMBER(INDEX(대장!$F$1:$F$501,$A162))),"확인 필요",IF(AND(INDEX(대장!$G$1:$G$501,$A162)&lt;&gt;"",NOT(ISNUMBER(INDEX(대장!$G$1:$G$501,$A162)))),"확인 필요",IF(AND(ISNUMBER(INDEX(대장!$G$1:$G$501,$A162)),INDEX(대장!$G$1:$G$501,$A162)&lt;INDEX(대장!$F$1:$F$501,$A162)),"확인 필요",IF(INDEX(대장!$L$1:$L$501,$A162)&lt;&gt;"","메모 있음","정상")))))</x:f>
        <x:v>#NAME?</x:v>
      </x:c>
      <x:c r="F162" t="e">
        <x:f>IF($A162="","",IF($E162="확인 필요","시작일·종료일과 기간 순서를 확인해 주세요.",IF($E162="메모 있음",IFERROR(INDEX(대장!$L$1:$L$501,$A162),""),"")))</x:f>
        <x:v>#NAME?</x:v>
      </x:c>
    </x:row>
    <x:row r="163">
      <x:c r="A163" t="e">
        <x:f>IF(INDEX(대장!$A$1:$A$501,ROW()-2)="","",ROW()-2)</x:f>
        <x:v>#NAME?</x:v>
      </x:c>
      <x:c r="B163" t="e">
        <x:f>IF($A163="","",INDEX(대장!$A$1:$A$501,$A163))</x:f>
        <x:v>#NAME?</x:v>
      </x:c>
      <x:c r="C163" s="46" t="e">
        <x:f>IFERROR(IF($A163="","",INDEX(대장!$F$1:$F$501,$A163)),"")</x:f>
        <x:v>#NAME?</x:v>
      </x:c>
      <x:c r="D163" s="46" t="e">
        <x:f>IFERROR(IF($A163="","",INDEX(대장!$G$1:$G$501,$A163)),"")</x:f>
        <x:v>#NAME?</x:v>
      </x:c>
      <x:c r="E163" t="e">
        <x:f>IF($A163="","",IF(NOT(ISNUMBER(INDEX(대장!$F$1:$F$501,$A163))),"확인 필요",IF(AND(INDEX(대장!$G$1:$G$501,$A163)&lt;&gt;"",NOT(ISNUMBER(INDEX(대장!$G$1:$G$501,$A163)))),"확인 필요",IF(AND(ISNUMBER(INDEX(대장!$G$1:$G$501,$A163)),INDEX(대장!$G$1:$G$501,$A163)&lt;INDEX(대장!$F$1:$F$501,$A163)),"확인 필요",IF(INDEX(대장!$L$1:$L$501,$A163)&lt;&gt;"","메모 있음","정상")))))</x:f>
        <x:v>#NAME?</x:v>
      </x:c>
      <x:c r="F163" t="e">
        <x:f>IF($A163="","",IF($E163="확인 필요","시작일·종료일과 기간 순서를 확인해 주세요.",IF($E163="메모 있음",IFERROR(INDEX(대장!$L$1:$L$501,$A163),""),"")))</x:f>
        <x:v>#NAME?</x:v>
      </x:c>
    </x:row>
    <x:row r="164">
      <x:c r="A164" t="e">
        <x:f>IF(INDEX(대장!$A$1:$A$501,ROW()-2)="","",ROW()-2)</x:f>
        <x:v>#NAME?</x:v>
      </x:c>
      <x:c r="B164" t="e">
        <x:f>IF($A164="","",INDEX(대장!$A$1:$A$501,$A164))</x:f>
        <x:v>#NAME?</x:v>
      </x:c>
      <x:c r="C164" s="46" t="e">
        <x:f>IFERROR(IF($A164="","",INDEX(대장!$F$1:$F$501,$A164)),"")</x:f>
        <x:v>#NAME?</x:v>
      </x:c>
      <x:c r="D164" s="46" t="e">
        <x:f>IFERROR(IF($A164="","",INDEX(대장!$G$1:$G$501,$A164)),"")</x:f>
        <x:v>#NAME?</x:v>
      </x:c>
      <x:c r="E164" t="e">
        <x:f>IF($A164="","",IF(NOT(ISNUMBER(INDEX(대장!$F$1:$F$501,$A164))),"확인 필요",IF(AND(INDEX(대장!$G$1:$G$501,$A164)&lt;&gt;"",NOT(ISNUMBER(INDEX(대장!$G$1:$G$501,$A164)))),"확인 필요",IF(AND(ISNUMBER(INDEX(대장!$G$1:$G$501,$A164)),INDEX(대장!$G$1:$G$501,$A164)&lt;INDEX(대장!$F$1:$F$501,$A164)),"확인 필요",IF(INDEX(대장!$L$1:$L$501,$A164)&lt;&gt;"","메모 있음","정상")))))</x:f>
        <x:v>#NAME?</x:v>
      </x:c>
      <x:c r="F164" t="e">
        <x:f>IF($A164="","",IF($E164="확인 필요","시작일·종료일과 기간 순서를 확인해 주세요.",IF($E164="메모 있음",IFERROR(INDEX(대장!$L$1:$L$501,$A164),""),"")))</x:f>
        <x:v>#NAME?</x:v>
      </x:c>
    </x:row>
    <x:row r="165">
      <x:c r="A165" t="e">
        <x:f>IF(INDEX(대장!$A$1:$A$501,ROW()-2)="","",ROW()-2)</x:f>
        <x:v>#NAME?</x:v>
      </x:c>
      <x:c r="B165" t="e">
        <x:f>IF($A165="","",INDEX(대장!$A$1:$A$501,$A165))</x:f>
        <x:v>#NAME?</x:v>
      </x:c>
      <x:c r="C165" s="46" t="e">
        <x:f>IFERROR(IF($A165="","",INDEX(대장!$F$1:$F$501,$A165)),"")</x:f>
        <x:v>#NAME?</x:v>
      </x:c>
      <x:c r="D165" s="46" t="e">
        <x:f>IFERROR(IF($A165="","",INDEX(대장!$G$1:$G$501,$A165)),"")</x:f>
        <x:v>#NAME?</x:v>
      </x:c>
      <x:c r="E165" t="e">
        <x:f>IF($A165="","",IF(NOT(ISNUMBER(INDEX(대장!$F$1:$F$501,$A165))),"확인 필요",IF(AND(INDEX(대장!$G$1:$G$501,$A165)&lt;&gt;"",NOT(ISNUMBER(INDEX(대장!$G$1:$G$501,$A165)))),"확인 필요",IF(AND(ISNUMBER(INDEX(대장!$G$1:$G$501,$A165)),INDEX(대장!$G$1:$G$501,$A165)&lt;INDEX(대장!$F$1:$F$501,$A165)),"확인 필요",IF(INDEX(대장!$L$1:$L$501,$A165)&lt;&gt;"","메모 있음","정상")))))</x:f>
        <x:v>#NAME?</x:v>
      </x:c>
      <x:c r="F165" t="e">
        <x:f>IF($A165="","",IF($E165="확인 필요","시작일·종료일과 기간 순서를 확인해 주세요.",IF($E165="메모 있음",IFERROR(INDEX(대장!$L$1:$L$501,$A165),""),"")))</x:f>
        <x:v>#NAME?</x:v>
      </x:c>
    </x:row>
    <x:row r="166">
      <x:c r="A166" t="e">
        <x:f>IF(INDEX(대장!$A$1:$A$501,ROW()-2)="","",ROW()-2)</x:f>
        <x:v>#NAME?</x:v>
      </x:c>
      <x:c r="B166" t="e">
        <x:f>IF($A166="","",INDEX(대장!$A$1:$A$501,$A166))</x:f>
        <x:v>#NAME?</x:v>
      </x:c>
      <x:c r="C166" s="46" t="e">
        <x:f>IFERROR(IF($A166="","",INDEX(대장!$F$1:$F$501,$A166)),"")</x:f>
        <x:v>#NAME?</x:v>
      </x:c>
      <x:c r="D166" s="46" t="e">
        <x:f>IFERROR(IF($A166="","",INDEX(대장!$G$1:$G$501,$A166)),"")</x:f>
        <x:v>#NAME?</x:v>
      </x:c>
      <x:c r="E166" t="e">
        <x:f>IF($A166="","",IF(NOT(ISNUMBER(INDEX(대장!$F$1:$F$501,$A166))),"확인 필요",IF(AND(INDEX(대장!$G$1:$G$501,$A166)&lt;&gt;"",NOT(ISNUMBER(INDEX(대장!$G$1:$G$501,$A166)))),"확인 필요",IF(AND(ISNUMBER(INDEX(대장!$G$1:$G$501,$A166)),INDEX(대장!$G$1:$G$501,$A166)&lt;INDEX(대장!$F$1:$F$501,$A166)),"확인 필요",IF(INDEX(대장!$L$1:$L$501,$A166)&lt;&gt;"","메모 있음","정상")))))</x:f>
        <x:v>#NAME?</x:v>
      </x:c>
      <x:c r="F166" t="e">
        <x:f>IF($A166="","",IF($E166="확인 필요","시작일·종료일과 기간 순서를 확인해 주세요.",IF($E166="메모 있음",IFERROR(INDEX(대장!$L$1:$L$501,$A166),""),"")))</x:f>
        <x:v>#NAME?</x:v>
      </x:c>
    </x:row>
    <x:row r="167">
      <x:c r="A167" t="e">
        <x:f>IF(INDEX(대장!$A$1:$A$501,ROW()-2)="","",ROW()-2)</x:f>
        <x:v>#NAME?</x:v>
      </x:c>
      <x:c r="B167" t="e">
        <x:f>IF($A167="","",INDEX(대장!$A$1:$A$501,$A167))</x:f>
        <x:v>#NAME?</x:v>
      </x:c>
      <x:c r="C167" s="46" t="e">
        <x:f>IFERROR(IF($A167="","",INDEX(대장!$F$1:$F$501,$A167)),"")</x:f>
        <x:v>#NAME?</x:v>
      </x:c>
      <x:c r="D167" s="46" t="e">
        <x:f>IFERROR(IF($A167="","",INDEX(대장!$G$1:$G$501,$A167)),"")</x:f>
        <x:v>#NAME?</x:v>
      </x:c>
      <x:c r="E167" t="e">
        <x:f>IF($A167="","",IF(NOT(ISNUMBER(INDEX(대장!$F$1:$F$501,$A167))),"확인 필요",IF(AND(INDEX(대장!$G$1:$G$501,$A167)&lt;&gt;"",NOT(ISNUMBER(INDEX(대장!$G$1:$G$501,$A167)))),"확인 필요",IF(AND(ISNUMBER(INDEX(대장!$G$1:$G$501,$A167)),INDEX(대장!$G$1:$G$501,$A167)&lt;INDEX(대장!$F$1:$F$501,$A167)),"확인 필요",IF(INDEX(대장!$L$1:$L$501,$A167)&lt;&gt;"","메모 있음","정상")))))</x:f>
        <x:v>#NAME?</x:v>
      </x:c>
      <x:c r="F167" t="e">
        <x:f>IF($A167="","",IF($E167="확인 필요","시작일·종료일과 기간 순서를 확인해 주세요.",IF($E167="메모 있음",IFERROR(INDEX(대장!$L$1:$L$501,$A167),""),"")))</x:f>
        <x:v>#NAME?</x:v>
      </x:c>
    </x:row>
    <x:row r="168">
      <x:c r="A168" t="e">
        <x:f>IF(INDEX(대장!$A$1:$A$501,ROW()-2)="","",ROW()-2)</x:f>
        <x:v>#NAME?</x:v>
      </x:c>
      <x:c r="B168" t="e">
        <x:f>IF($A168="","",INDEX(대장!$A$1:$A$501,$A168))</x:f>
        <x:v>#NAME?</x:v>
      </x:c>
      <x:c r="C168" s="46" t="e">
        <x:f>IFERROR(IF($A168="","",INDEX(대장!$F$1:$F$501,$A168)),"")</x:f>
        <x:v>#NAME?</x:v>
      </x:c>
      <x:c r="D168" s="46" t="e">
        <x:f>IFERROR(IF($A168="","",INDEX(대장!$G$1:$G$501,$A168)),"")</x:f>
        <x:v>#NAME?</x:v>
      </x:c>
      <x:c r="E168" t="e">
        <x:f>IF($A168="","",IF(NOT(ISNUMBER(INDEX(대장!$F$1:$F$501,$A168))),"확인 필요",IF(AND(INDEX(대장!$G$1:$G$501,$A168)&lt;&gt;"",NOT(ISNUMBER(INDEX(대장!$G$1:$G$501,$A168)))),"확인 필요",IF(AND(ISNUMBER(INDEX(대장!$G$1:$G$501,$A168)),INDEX(대장!$G$1:$G$501,$A168)&lt;INDEX(대장!$F$1:$F$501,$A168)),"확인 필요",IF(INDEX(대장!$L$1:$L$501,$A168)&lt;&gt;"","메모 있음","정상")))))</x:f>
        <x:v>#NAME?</x:v>
      </x:c>
      <x:c r="F168" t="e">
        <x:f>IF($A168="","",IF($E168="확인 필요","시작일·종료일과 기간 순서를 확인해 주세요.",IF($E168="메모 있음",IFERROR(INDEX(대장!$L$1:$L$501,$A168),""),"")))</x:f>
        <x:v>#NAME?</x:v>
      </x:c>
    </x:row>
    <x:row r="169">
      <x:c r="A169" t="e">
        <x:f>IF(INDEX(대장!$A$1:$A$501,ROW()-2)="","",ROW()-2)</x:f>
        <x:v>#NAME?</x:v>
      </x:c>
      <x:c r="B169" t="e">
        <x:f>IF($A169="","",INDEX(대장!$A$1:$A$501,$A169))</x:f>
        <x:v>#NAME?</x:v>
      </x:c>
      <x:c r="C169" s="46" t="e">
        <x:f>IFERROR(IF($A169="","",INDEX(대장!$F$1:$F$501,$A169)),"")</x:f>
        <x:v>#NAME?</x:v>
      </x:c>
      <x:c r="D169" s="46" t="e">
        <x:f>IFERROR(IF($A169="","",INDEX(대장!$G$1:$G$501,$A169)),"")</x:f>
        <x:v>#NAME?</x:v>
      </x:c>
      <x:c r="E169" t="e">
        <x:f>IF($A169="","",IF(NOT(ISNUMBER(INDEX(대장!$F$1:$F$501,$A169))),"확인 필요",IF(AND(INDEX(대장!$G$1:$G$501,$A169)&lt;&gt;"",NOT(ISNUMBER(INDEX(대장!$G$1:$G$501,$A169)))),"확인 필요",IF(AND(ISNUMBER(INDEX(대장!$G$1:$G$501,$A169)),INDEX(대장!$G$1:$G$501,$A169)&lt;INDEX(대장!$F$1:$F$501,$A169)),"확인 필요",IF(INDEX(대장!$L$1:$L$501,$A169)&lt;&gt;"","메모 있음","정상")))))</x:f>
        <x:v>#NAME?</x:v>
      </x:c>
      <x:c r="F169" t="e">
        <x:f>IF($A169="","",IF($E169="확인 필요","시작일·종료일과 기간 순서를 확인해 주세요.",IF($E169="메모 있음",IFERROR(INDEX(대장!$L$1:$L$501,$A169),""),"")))</x:f>
        <x:v>#NAME?</x:v>
      </x:c>
    </x:row>
    <x:row r="170">
      <x:c r="A170" t="e">
        <x:f>IF(INDEX(대장!$A$1:$A$501,ROW()-2)="","",ROW()-2)</x:f>
        <x:v>#NAME?</x:v>
      </x:c>
      <x:c r="B170" t="e">
        <x:f>IF($A170="","",INDEX(대장!$A$1:$A$501,$A170))</x:f>
        <x:v>#NAME?</x:v>
      </x:c>
      <x:c r="C170" s="46" t="e">
        <x:f>IFERROR(IF($A170="","",INDEX(대장!$F$1:$F$501,$A170)),"")</x:f>
        <x:v>#NAME?</x:v>
      </x:c>
      <x:c r="D170" s="46" t="e">
        <x:f>IFERROR(IF($A170="","",INDEX(대장!$G$1:$G$501,$A170)),"")</x:f>
        <x:v>#NAME?</x:v>
      </x:c>
      <x:c r="E170" t="e">
        <x:f>IF($A170="","",IF(NOT(ISNUMBER(INDEX(대장!$F$1:$F$501,$A170))),"확인 필요",IF(AND(INDEX(대장!$G$1:$G$501,$A170)&lt;&gt;"",NOT(ISNUMBER(INDEX(대장!$G$1:$G$501,$A170)))),"확인 필요",IF(AND(ISNUMBER(INDEX(대장!$G$1:$G$501,$A170)),INDEX(대장!$G$1:$G$501,$A170)&lt;INDEX(대장!$F$1:$F$501,$A170)),"확인 필요",IF(INDEX(대장!$L$1:$L$501,$A170)&lt;&gt;"","메모 있음","정상")))))</x:f>
        <x:v>#NAME?</x:v>
      </x:c>
      <x:c r="F170" t="e">
        <x:f>IF($A170="","",IF($E170="확인 필요","시작일·종료일과 기간 순서를 확인해 주세요.",IF($E170="메모 있음",IFERROR(INDEX(대장!$L$1:$L$501,$A170),""),"")))</x:f>
        <x:v>#NAME?</x:v>
      </x:c>
    </x:row>
    <x:row r="171">
      <x:c r="A171" t="e">
        <x:f>IF(INDEX(대장!$A$1:$A$501,ROW()-2)="","",ROW()-2)</x:f>
        <x:v>#NAME?</x:v>
      </x:c>
      <x:c r="B171" t="e">
        <x:f>IF($A171="","",INDEX(대장!$A$1:$A$501,$A171))</x:f>
        <x:v>#NAME?</x:v>
      </x:c>
      <x:c r="C171" s="46" t="e">
        <x:f>IFERROR(IF($A171="","",INDEX(대장!$F$1:$F$501,$A171)),"")</x:f>
        <x:v>#NAME?</x:v>
      </x:c>
      <x:c r="D171" s="46" t="e">
        <x:f>IFERROR(IF($A171="","",INDEX(대장!$G$1:$G$501,$A171)),"")</x:f>
        <x:v>#NAME?</x:v>
      </x:c>
      <x:c r="E171" t="e">
        <x:f>IF($A171="","",IF(NOT(ISNUMBER(INDEX(대장!$F$1:$F$501,$A171))),"확인 필요",IF(AND(INDEX(대장!$G$1:$G$501,$A171)&lt;&gt;"",NOT(ISNUMBER(INDEX(대장!$G$1:$G$501,$A171)))),"확인 필요",IF(AND(ISNUMBER(INDEX(대장!$G$1:$G$501,$A171)),INDEX(대장!$G$1:$G$501,$A171)&lt;INDEX(대장!$F$1:$F$501,$A171)),"확인 필요",IF(INDEX(대장!$L$1:$L$501,$A171)&lt;&gt;"","메모 있음","정상")))))</x:f>
        <x:v>#NAME?</x:v>
      </x:c>
      <x:c r="F171" t="e">
        <x:f>IF($A171="","",IF($E171="확인 필요","시작일·종료일과 기간 순서를 확인해 주세요.",IF($E171="메모 있음",IFERROR(INDEX(대장!$L$1:$L$501,$A171),""),"")))</x:f>
        <x:v>#NAME?</x:v>
      </x:c>
    </x:row>
    <x:row r="172">
      <x:c r="A172" t="e">
        <x:f>IF(INDEX(대장!$A$1:$A$501,ROW()-2)="","",ROW()-2)</x:f>
        <x:v>#NAME?</x:v>
      </x:c>
      <x:c r="B172" t="e">
        <x:f>IF($A172="","",INDEX(대장!$A$1:$A$501,$A172))</x:f>
        <x:v>#NAME?</x:v>
      </x:c>
      <x:c r="C172" s="46" t="e">
        <x:f>IFERROR(IF($A172="","",INDEX(대장!$F$1:$F$501,$A172)),"")</x:f>
        <x:v>#NAME?</x:v>
      </x:c>
      <x:c r="D172" s="46" t="e">
        <x:f>IFERROR(IF($A172="","",INDEX(대장!$G$1:$G$501,$A172)),"")</x:f>
        <x:v>#NAME?</x:v>
      </x:c>
      <x:c r="E172" t="e">
        <x:f>IF($A172="","",IF(NOT(ISNUMBER(INDEX(대장!$F$1:$F$501,$A172))),"확인 필요",IF(AND(INDEX(대장!$G$1:$G$501,$A172)&lt;&gt;"",NOT(ISNUMBER(INDEX(대장!$G$1:$G$501,$A172)))),"확인 필요",IF(AND(ISNUMBER(INDEX(대장!$G$1:$G$501,$A172)),INDEX(대장!$G$1:$G$501,$A172)&lt;INDEX(대장!$F$1:$F$501,$A172)),"확인 필요",IF(INDEX(대장!$L$1:$L$501,$A172)&lt;&gt;"","메모 있음","정상")))))</x:f>
        <x:v>#NAME?</x:v>
      </x:c>
      <x:c r="F172" t="e">
        <x:f>IF($A172="","",IF($E172="확인 필요","시작일·종료일과 기간 순서를 확인해 주세요.",IF($E172="메모 있음",IFERROR(INDEX(대장!$L$1:$L$501,$A172),""),"")))</x:f>
        <x:v>#NAME?</x:v>
      </x:c>
    </x:row>
    <x:row r="173">
      <x:c r="A173" t="e">
        <x:f>IF(INDEX(대장!$A$1:$A$501,ROW()-2)="","",ROW()-2)</x:f>
        <x:v>#NAME?</x:v>
      </x:c>
      <x:c r="B173" t="e">
        <x:f>IF($A173="","",INDEX(대장!$A$1:$A$501,$A173))</x:f>
        <x:v>#NAME?</x:v>
      </x:c>
      <x:c r="C173" s="46" t="e">
        <x:f>IFERROR(IF($A173="","",INDEX(대장!$F$1:$F$501,$A173)),"")</x:f>
        <x:v>#NAME?</x:v>
      </x:c>
      <x:c r="D173" s="46" t="e">
        <x:f>IFERROR(IF($A173="","",INDEX(대장!$G$1:$G$501,$A173)),"")</x:f>
        <x:v>#NAME?</x:v>
      </x:c>
      <x:c r="E173" t="e">
        <x:f>IF($A173="","",IF(NOT(ISNUMBER(INDEX(대장!$F$1:$F$501,$A173))),"확인 필요",IF(AND(INDEX(대장!$G$1:$G$501,$A173)&lt;&gt;"",NOT(ISNUMBER(INDEX(대장!$G$1:$G$501,$A173)))),"확인 필요",IF(AND(ISNUMBER(INDEX(대장!$G$1:$G$501,$A173)),INDEX(대장!$G$1:$G$501,$A173)&lt;INDEX(대장!$F$1:$F$501,$A173)),"확인 필요",IF(INDEX(대장!$L$1:$L$501,$A173)&lt;&gt;"","메모 있음","정상")))))</x:f>
        <x:v>#NAME?</x:v>
      </x:c>
      <x:c r="F173" t="e">
        <x:f>IF($A173="","",IF($E173="확인 필요","시작일·종료일과 기간 순서를 확인해 주세요.",IF($E173="메모 있음",IFERROR(INDEX(대장!$L$1:$L$501,$A173),""),"")))</x:f>
        <x:v>#NAME?</x:v>
      </x:c>
    </x:row>
    <x:row r="174">
      <x:c r="A174" t="e">
        <x:f>IF(INDEX(대장!$A$1:$A$501,ROW()-2)="","",ROW()-2)</x:f>
        <x:v>#NAME?</x:v>
      </x:c>
      <x:c r="B174" t="e">
        <x:f>IF($A174="","",INDEX(대장!$A$1:$A$501,$A174))</x:f>
        <x:v>#NAME?</x:v>
      </x:c>
      <x:c r="C174" s="46" t="e">
        <x:f>IFERROR(IF($A174="","",INDEX(대장!$F$1:$F$501,$A174)),"")</x:f>
        <x:v>#NAME?</x:v>
      </x:c>
      <x:c r="D174" s="46" t="e">
        <x:f>IFERROR(IF($A174="","",INDEX(대장!$G$1:$G$501,$A174)),"")</x:f>
        <x:v>#NAME?</x:v>
      </x:c>
      <x:c r="E174" t="e">
        <x:f>IF($A174="","",IF(NOT(ISNUMBER(INDEX(대장!$F$1:$F$501,$A174))),"확인 필요",IF(AND(INDEX(대장!$G$1:$G$501,$A174)&lt;&gt;"",NOT(ISNUMBER(INDEX(대장!$G$1:$G$501,$A174)))),"확인 필요",IF(AND(ISNUMBER(INDEX(대장!$G$1:$G$501,$A174)),INDEX(대장!$G$1:$G$501,$A174)&lt;INDEX(대장!$F$1:$F$501,$A174)),"확인 필요",IF(INDEX(대장!$L$1:$L$501,$A174)&lt;&gt;"","메모 있음","정상")))))</x:f>
        <x:v>#NAME?</x:v>
      </x:c>
      <x:c r="F174" t="e">
        <x:f>IF($A174="","",IF($E174="확인 필요","시작일·종료일과 기간 순서를 확인해 주세요.",IF($E174="메모 있음",IFERROR(INDEX(대장!$L$1:$L$501,$A174),""),"")))</x:f>
        <x:v>#NAME?</x:v>
      </x:c>
    </x:row>
    <x:row r="175">
      <x:c r="A175" t="e">
        <x:f>IF(INDEX(대장!$A$1:$A$501,ROW()-2)="","",ROW()-2)</x:f>
        <x:v>#NAME?</x:v>
      </x:c>
      <x:c r="B175" t="e">
        <x:f>IF($A175="","",INDEX(대장!$A$1:$A$501,$A175))</x:f>
        <x:v>#NAME?</x:v>
      </x:c>
      <x:c r="C175" s="46" t="e">
        <x:f>IFERROR(IF($A175="","",INDEX(대장!$F$1:$F$501,$A175)),"")</x:f>
        <x:v>#NAME?</x:v>
      </x:c>
      <x:c r="D175" s="46" t="e">
        <x:f>IFERROR(IF($A175="","",INDEX(대장!$G$1:$G$501,$A175)),"")</x:f>
        <x:v>#NAME?</x:v>
      </x:c>
      <x:c r="E175" t="e">
        <x:f>IF($A175="","",IF(NOT(ISNUMBER(INDEX(대장!$F$1:$F$501,$A175))),"확인 필요",IF(AND(INDEX(대장!$G$1:$G$501,$A175)&lt;&gt;"",NOT(ISNUMBER(INDEX(대장!$G$1:$G$501,$A175)))),"확인 필요",IF(AND(ISNUMBER(INDEX(대장!$G$1:$G$501,$A175)),INDEX(대장!$G$1:$G$501,$A175)&lt;INDEX(대장!$F$1:$F$501,$A175)),"확인 필요",IF(INDEX(대장!$L$1:$L$501,$A175)&lt;&gt;"","메모 있음","정상")))))</x:f>
        <x:v>#NAME?</x:v>
      </x:c>
      <x:c r="F175" t="e">
        <x:f>IF($A175="","",IF($E175="확인 필요","시작일·종료일과 기간 순서를 확인해 주세요.",IF($E175="메모 있음",IFERROR(INDEX(대장!$L$1:$L$501,$A175),""),"")))</x:f>
        <x:v>#NAME?</x:v>
      </x:c>
    </x:row>
    <x:row r="176">
      <x:c r="A176" t="e">
        <x:f>IF(INDEX(대장!$A$1:$A$501,ROW()-2)="","",ROW()-2)</x:f>
        <x:v>#NAME?</x:v>
      </x:c>
      <x:c r="B176" t="e">
        <x:f>IF($A176="","",INDEX(대장!$A$1:$A$501,$A176))</x:f>
        <x:v>#NAME?</x:v>
      </x:c>
      <x:c r="C176" s="46" t="e">
        <x:f>IFERROR(IF($A176="","",INDEX(대장!$F$1:$F$501,$A176)),"")</x:f>
        <x:v>#NAME?</x:v>
      </x:c>
      <x:c r="D176" s="46" t="e">
        <x:f>IFERROR(IF($A176="","",INDEX(대장!$G$1:$G$501,$A176)),"")</x:f>
        <x:v>#NAME?</x:v>
      </x:c>
      <x:c r="E176" t="e">
        <x:f>IF($A176="","",IF(NOT(ISNUMBER(INDEX(대장!$F$1:$F$501,$A176))),"확인 필요",IF(AND(INDEX(대장!$G$1:$G$501,$A176)&lt;&gt;"",NOT(ISNUMBER(INDEX(대장!$G$1:$G$501,$A176)))),"확인 필요",IF(AND(ISNUMBER(INDEX(대장!$G$1:$G$501,$A176)),INDEX(대장!$G$1:$G$501,$A176)&lt;INDEX(대장!$F$1:$F$501,$A176)),"확인 필요",IF(INDEX(대장!$L$1:$L$501,$A176)&lt;&gt;"","메모 있음","정상")))))</x:f>
        <x:v>#NAME?</x:v>
      </x:c>
      <x:c r="F176" t="e">
        <x:f>IF($A176="","",IF($E176="확인 필요","시작일·종료일과 기간 순서를 확인해 주세요.",IF($E176="메모 있음",IFERROR(INDEX(대장!$L$1:$L$501,$A176),""),"")))</x:f>
        <x:v>#NAME?</x:v>
      </x:c>
    </x:row>
    <x:row r="177">
      <x:c r="A177" t="e">
        <x:f>IF(INDEX(대장!$A$1:$A$501,ROW()-2)="","",ROW()-2)</x:f>
        <x:v>#NAME?</x:v>
      </x:c>
      <x:c r="B177" t="e">
        <x:f>IF($A177="","",INDEX(대장!$A$1:$A$501,$A177))</x:f>
        <x:v>#NAME?</x:v>
      </x:c>
      <x:c r="C177" s="46" t="e">
        <x:f>IFERROR(IF($A177="","",INDEX(대장!$F$1:$F$501,$A177)),"")</x:f>
        <x:v>#NAME?</x:v>
      </x:c>
      <x:c r="D177" s="46" t="e">
        <x:f>IFERROR(IF($A177="","",INDEX(대장!$G$1:$G$501,$A177)),"")</x:f>
        <x:v>#NAME?</x:v>
      </x:c>
      <x:c r="E177" t="e">
        <x:f>IF($A177="","",IF(NOT(ISNUMBER(INDEX(대장!$F$1:$F$501,$A177))),"확인 필요",IF(AND(INDEX(대장!$G$1:$G$501,$A177)&lt;&gt;"",NOT(ISNUMBER(INDEX(대장!$G$1:$G$501,$A177)))),"확인 필요",IF(AND(ISNUMBER(INDEX(대장!$G$1:$G$501,$A177)),INDEX(대장!$G$1:$G$501,$A177)&lt;INDEX(대장!$F$1:$F$501,$A177)),"확인 필요",IF(INDEX(대장!$L$1:$L$501,$A177)&lt;&gt;"","메모 있음","정상")))))</x:f>
        <x:v>#NAME?</x:v>
      </x:c>
      <x:c r="F177" t="e">
        <x:f>IF($A177="","",IF($E177="확인 필요","시작일·종료일과 기간 순서를 확인해 주세요.",IF($E177="메모 있음",IFERROR(INDEX(대장!$L$1:$L$501,$A177),""),"")))</x:f>
        <x:v>#NAME?</x:v>
      </x:c>
    </x:row>
    <x:row r="178">
      <x:c r="A178" t="e">
        <x:f>IF(INDEX(대장!$A$1:$A$501,ROW()-2)="","",ROW()-2)</x:f>
        <x:v>#NAME?</x:v>
      </x:c>
      <x:c r="B178" t="e">
        <x:f>IF($A178="","",INDEX(대장!$A$1:$A$501,$A178))</x:f>
        <x:v>#NAME?</x:v>
      </x:c>
      <x:c r="C178" s="46" t="e">
        <x:f>IFERROR(IF($A178="","",INDEX(대장!$F$1:$F$501,$A178)),"")</x:f>
        <x:v>#NAME?</x:v>
      </x:c>
      <x:c r="D178" s="46" t="e">
        <x:f>IFERROR(IF($A178="","",INDEX(대장!$G$1:$G$501,$A178)),"")</x:f>
        <x:v>#NAME?</x:v>
      </x:c>
      <x:c r="E178" t="e">
        <x:f>IF($A178="","",IF(NOT(ISNUMBER(INDEX(대장!$F$1:$F$501,$A178))),"확인 필요",IF(AND(INDEX(대장!$G$1:$G$501,$A178)&lt;&gt;"",NOT(ISNUMBER(INDEX(대장!$G$1:$G$501,$A178)))),"확인 필요",IF(AND(ISNUMBER(INDEX(대장!$G$1:$G$501,$A178)),INDEX(대장!$G$1:$G$501,$A178)&lt;INDEX(대장!$F$1:$F$501,$A178)),"확인 필요",IF(INDEX(대장!$L$1:$L$501,$A178)&lt;&gt;"","메모 있음","정상")))))</x:f>
        <x:v>#NAME?</x:v>
      </x:c>
      <x:c r="F178" t="e">
        <x:f>IF($A178="","",IF($E178="확인 필요","시작일·종료일과 기간 순서를 확인해 주세요.",IF($E178="메모 있음",IFERROR(INDEX(대장!$L$1:$L$501,$A178),""),"")))</x:f>
        <x:v>#NAME?</x:v>
      </x:c>
    </x:row>
    <x:row r="179">
      <x:c r="A179" t="e">
        <x:f>IF(INDEX(대장!$A$1:$A$501,ROW()-2)="","",ROW()-2)</x:f>
        <x:v>#NAME?</x:v>
      </x:c>
      <x:c r="B179" t="e">
        <x:f>IF($A179="","",INDEX(대장!$A$1:$A$501,$A179))</x:f>
        <x:v>#NAME?</x:v>
      </x:c>
      <x:c r="C179" s="46" t="e">
        <x:f>IFERROR(IF($A179="","",INDEX(대장!$F$1:$F$501,$A179)),"")</x:f>
        <x:v>#NAME?</x:v>
      </x:c>
      <x:c r="D179" s="46" t="e">
        <x:f>IFERROR(IF($A179="","",INDEX(대장!$G$1:$G$501,$A179)),"")</x:f>
        <x:v>#NAME?</x:v>
      </x:c>
      <x:c r="E179" t="e">
        <x:f>IF($A179="","",IF(NOT(ISNUMBER(INDEX(대장!$F$1:$F$501,$A179))),"확인 필요",IF(AND(INDEX(대장!$G$1:$G$501,$A179)&lt;&gt;"",NOT(ISNUMBER(INDEX(대장!$G$1:$G$501,$A179)))),"확인 필요",IF(AND(ISNUMBER(INDEX(대장!$G$1:$G$501,$A179)),INDEX(대장!$G$1:$G$501,$A179)&lt;INDEX(대장!$F$1:$F$501,$A179)),"확인 필요",IF(INDEX(대장!$L$1:$L$501,$A179)&lt;&gt;"","메모 있음","정상")))))</x:f>
        <x:v>#NAME?</x:v>
      </x:c>
      <x:c r="F179" t="e">
        <x:f>IF($A179="","",IF($E179="확인 필요","시작일·종료일과 기간 순서를 확인해 주세요.",IF($E179="메모 있음",IFERROR(INDEX(대장!$L$1:$L$501,$A179),""),"")))</x:f>
        <x:v>#NAME?</x:v>
      </x:c>
    </x:row>
    <x:row r="180">
      <x:c r="A180" t="e">
        <x:f>IF(INDEX(대장!$A$1:$A$501,ROW()-2)="","",ROW()-2)</x:f>
        <x:v>#NAME?</x:v>
      </x:c>
      <x:c r="B180" t="e">
        <x:f>IF($A180="","",INDEX(대장!$A$1:$A$501,$A180))</x:f>
        <x:v>#NAME?</x:v>
      </x:c>
      <x:c r="C180" s="46" t="e">
        <x:f>IFERROR(IF($A180="","",INDEX(대장!$F$1:$F$501,$A180)),"")</x:f>
        <x:v>#NAME?</x:v>
      </x:c>
      <x:c r="D180" s="46" t="e">
        <x:f>IFERROR(IF($A180="","",INDEX(대장!$G$1:$G$501,$A180)),"")</x:f>
        <x:v>#NAME?</x:v>
      </x:c>
      <x:c r="E180" t="e">
        <x:f>IF($A180="","",IF(NOT(ISNUMBER(INDEX(대장!$F$1:$F$501,$A180))),"확인 필요",IF(AND(INDEX(대장!$G$1:$G$501,$A180)&lt;&gt;"",NOT(ISNUMBER(INDEX(대장!$G$1:$G$501,$A180)))),"확인 필요",IF(AND(ISNUMBER(INDEX(대장!$G$1:$G$501,$A180)),INDEX(대장!$G$1:$G$501,$A180)&lt;INDEX(대장!$F$1:$F$501,$A180)),"확인 필요",IF(INDEX(대장!$L$1:$L$501,$A180)&lt;&gt;"","메모 있음","정상")))))</x:f>
        <x:v>#NAME?</x:v>
      </x:c>
      <x:c r="F180" t="e">
        <x:f>IF($A180="","",IF($E180="확인 필요","시작일·종료일과 기간 순서를 확인해 주세요.",IF($E180="메모 있음",IFERROR(INDEX(대장!$L$1:$L$501,$A180),""),"")))</x:f>
        <x:v>#NAME?</x:v>
      </x:c>
    </x:row>
    <x:row r="181">
      <x:c r="A181" t="e">
        <x:f>IF(INDEX(대장!$A$1:$A$501,ROW()-2)="","",ROW()-2)</x:f>
        <x:v>#NAME?</x:v>
      </x:c>
      <x:c r="B181" t="e">
        <x:f>IF($A181="","",INDEX(대장!$A$1:$A$501,$A181))</x:f>
        <x:v>#NAME?</x:v>
      </x:c>
      <x:c r="C181" s="46" t="e">
        <x:f>IFERROR(IF($A181="","",INDEX(대장!$F$1:$F$501,$A181)),"")</x:f>
        <x:v>#NAME?</x:v>
      </x:c>
      <x:c r="D181" s="46" t="e">
        <x:f>IFERROR(IF($A181="","",INDEX(대장!$G$1:$G$501,$A181)),"")</x:f>
        <x:v>#NAME?</x:v>
      </x:c>
      <x:c r="E181" t="e">
        <x:f>IF($A181="","",IF(NOT(ISNUMBER(INDEX(대장!$F$1:$F$501,$A181))),"확인 필요",IF(AND(INDEX(대장!$G$1:$G$501,$A181)&lt;&gt;"",NOT(ISNUMBER(INDEX(대장!$G$1:$G$501,$A181)))),"확인 필요",IF(AND(ISNUMBER(INDEX(대장!$G$1:$G$501,$A181)),INDEX(대장!$G$1:$G$501,$A181)&lt;INDEX(대장!$F$1:$F$501,$A181)),"확인 필요",IF(INDEX(대장!$L$1:$L$501,$A181)&lt;&gt;"","메모 있음","정상")))))</x:f>
        <x:v>#NAME?</x:v>
      </x:c>
      <x:c r="F181" t="e">
        <x:f>IF($A181="","",IF($E181="확인 필요","시작일·종료일과 기간 순서를 확인해 주세요.",IF($E181="메모 있음",IFERROR(INDEX(대장!$L$1:$L$501,$A181),""),"")))</x:f>
        <x:v>#NAME?</x:v>
      </x:c>
    </x:row>
    <x:row r="182">
      <x:c r="A182" t="e">
        <x:f>IF(INDEX(대장!$A$1:$A$501,ROW()-2)="","",ROW()-2)</x:f>
        <x:v>#NAME?</x:v>
      </x:c>
      <x:c r="B182" t="e">
        <x:f>IF($A182="","",INDEX(대장!$A$1:$A$501,$A182))</x:f>
        <x:v>#NAME?</x:v>
      </x:c>
      <x:c r="C182" s="46" t="e">
        <x:f>IFERROR(IF($A182="","",INDEX(대장!$F$1:$F$501,$A182)),"")</x:f>
        <x:v>#NAME?</x:v>
      </x:c>
      <x:c r="D182" s="46" t="e">
        <x:f>IFERROR(IF($A182="","",INDEX(대장!$G$1:$G$501,$A182)),"")</x:f>
        <x:v>#NAME?</x:v>
      </x:c>
      <x:c r="E182" t="e">
        <x:f>IF($A182="","",IF(NOT(ISNUMBER(INDEX(대장!$F$1:$F$501,$A182))),"확인 필요",IF(AND(INDEX(대장!$G$1:$G$501,$A182)&lt;&gt;"",NOT(ISNUMBER(INDEX(대장!$G$1:$G$501,$A182)))),"확인 필요",IF(AND(ISNUMBER(INDEX(대장!$G$1:$G$501,$A182)),INDEX(대장!$G$1:$G$501,$A182)&lt;INDEX(대장!$F$1:$F$501,$A182)),"확인 필요",IF(INDEX(대장!$L$1:$L$501,$A182)&lt;&gt;"","메모 있음","정상")))))</x:f>
        <x:v>#NAME?</x:v>
      </x:c>
      <x:c r="F182" t="e">
        <x:f>IF($A182="","",IF($E182="확인 필요","시작일·종료일과 기간 순서를 확인해 주세요.",IF($E182="메모 있음",IFERROR(INDEX(대장!$L$1:$L$501,$A182),""),"")))</x:f>
        <x:v>#NAME?</x:v>
      </x:c>
    </x:row>
    <x:row r="183">
      <x:c r="A183" t="e">
        <x:f>IF(INDEX(대장!$A$1:$A$501,ROW()-2)="","",ROW()-2)</x:f>
        <x:v>#NAME?</x:v>
      </x:c>
      <x:c r="B183" t="e">
        <x:f>IF($A183="","",INDEX(대장!$A$1:$A$501,$A183))</x:f>
        <x:v>#NAME?</x:v>
      </x:c>
      <x:c r="C183" s="46" t="e">
        <x:f>IFERROR(IF($A183="","",INDEX(대장!$F$1:$F$501,$A183)),"")</x:f>
        <x:v>#NAME?</x:v>
      </x:c>
      <x:c r="D183" s="46" t="e">
        <x:f>IFERROR(IF($A183="","",INDEX(대장!$G$1:$G$501,$A183)),"")</x:f>
        <x:v>#NAME?</x:v>
      </x:c>
      <x:c r="E183" t="e">
        <x:f>IF($A183="","",IF(NOT(ISNUMBER(INDEX(대장!$F$1:$F$501,$A183))),"확인 필요",IF(AND(INDEX(대장!$G$1:$G$501,$A183)&lt;&gt;"",NOT(ISNUMBER(INDEX(대장!$G$1:$G$501,$A183)))),"확인 필요",IF(AND(ISNUMBER(INDEX(대장!$G$1:$G$501,$A183)),INDEX(대장!$G$1:$G$501,$A183)&lt;INDEX(대장!$F$1:$F$501,$A183)),"확인 필요",IF(INDEX(대장!$L$1:$L$501,$A183)&lt;&gt;"","메모 있음","정상")))))</x:f>
        <x:v>#NAME?</x:v>
      </x:c>
      <x:c r="F183" t="e">
        <x:f>IF($A183="","",IF($E183="확인 필요","시작일·종료일과 기간 순서를 확인해 주세요.",IF($E183="메모 있음",IFERROR(INDEX(대장!$L$1:$L$501,$A183),""),"")))</x:f>
        <x:v>#NAME?</x:v>
      </x:c>
    </x:row>
    <x:row r="184">
      <x:c r="A184" t="e">
        <x:f>IF(INDEX(대장!$A$1:$A$501,ROW()-2)="","",ROW()-2)</x:f>
        <x:v>#NAME?</x:v>
      </x:c>
      <x:c r="B184" t="e">
        <x:f>IF($A184="","",INDEX(대장!$A$1:$A$501,$A184))</x:f>
        <x:v>#NAME?</x:v>
      </x:c>
      <x:c r="C184" s="46" t="e">
        <x:f>IFERROR(IF($A184="","",INDEX(대장!$F$1:$F$501,$A184)),"")</x:f>
        <x:v>#NAME?</x:v>
      </x:c>
      <x:c r="D184" s="46" t="e">
        <x:f>IFERROR(IF($A184="","",INDEX(대장!$G$1:$G$501,$A184)),"")</x:f>
        <x:v>#NAME?</x:v>
      </x:c>
      <x:c r="E184" t="e">
        <x:f>IF($A184="","",IF(NOT(ISNUMBER(INDEX(대장!$F$1:$F$501,$A184))),"확인 필요",IF(AND(INDEX(대장!$G$1:$G$501,$A184)&lt;&gt;"",NOT(ISNUMBER(INDEX(대장!$G$1:$G$501,$A184)))),"확인 필요",IF(AND(ISNUMBER(INDEX(대장!$G$1:$G$501,$A184)),INDEX(대장!$G$1:$G$501,$A184)&lt;INDEX(대장!$F$1:$F$501,$A184)),"확인 필요",IF(INDEX(대장!$L$1:$L$501,$A184)&lt;&gt;"","메모 있음","정상")))))</x:f>
        <x:v>#NAME?</x:v>
      </x:c>
      <x:c r="F184" t="e">
        <x:f>IF($A184="","",IF($E184="확인 필요","시작일·종료일과 기간 순서를 확인해 주세요.",IF($E184="메모 있음",IFERROR(INDEX(대장!$L$1:$L$501,$A184),""),"")))</x:f>
        <x:v>#NAME?</x:v>
      </x:c>
    </x:row>
    <x:row r="185">
      <x:c r="A185" t="e">
        <x:f>IF(INDEX(대장!$A$1:$A$501,ROW()-2)="","",ROW()-2)</x:f>
        <x:v>#NAME?</x:v>
      </x:c>
      <x:c r="B185" t="e">
        <x:f>IF($A185="","",INDEX(대장!$A$1:$A$501,$A185))</x:f>
        <x:v>#NAME?</x:v>
      </x:c>
      <x:c r="C185" s="46" t="e">
        <x:f>IFERROR(IF($A185="","",INDEX(대장!$F$1:$F$501,$A185)),"")</x:f>
        <x:v>#NAME?</x:v>
      </x:c>
      <x:c r="D185" s="46" t="e">
        <x:f>IFERROR(IF($A185="","",INDEX(대장!$G$1:$G$501,$A185)),"")</x:f>
        <x:v>#NAME?</x:v>
      </x:c>
      <x:c r="E185" t="e">
        <x:f>IF($A185="","",IF(NOT(ISNUMBER(INDEX(대장!$F$1:$F$501,$A185))),"확인 필요",IF(AND(INDEX(대장!$G$1:$G$501,$A185)&lt;&gt;"",NOT(ISNUMBER(INDEX(대장!$G$1:$G$501,$A185)))),"확인 필요",IF(AND(ISNUMBER(INDEX(대장!$G$1:$G$501,$A185)),INDEX(대장!$G$1:$G$501,$A185)&lt;INDEX(대장!$F$1:$F$501,$A185)),"확인 필요",IF(INDEX(대장!$L$1:$L$501,$A185)&lt;&gt;"","메모 있음","정상")))))</x:f>
        <x:v>#NAME?</x:v>
      </x:c>
      <x:c r="F185" t="e">
        <x:f>IF($A185="","",IF($E185="확인 필요","시작일·종료일과 기간 순서를 확인해 주세요.",IF($E185="메모 있음",IFERROR(INDEX(대장!$L$1:$L$501,$A185),""),"")))</x:f>
        <x:v>#NAME?</x:v>
      </x:c>
    </x:row>
    <x:row r="186">
      <x:c r="A186" t="e">
        <x:f>IF(INDEX(대장!$A$1:$A$501,ROW()-2)="","",ROW()-2)</x:f>
        <x:v>#NAME?</x:v>
      </x:c>
      <x:c r="B186" t="e">
        <x:f>IF($A186="","",INDEX(대장!$A$1:$A$501,$A186))</x:f>
        <x:v>#NAME?</x:v>
      </x:c>
      <x:c r="C186" s="46" t="e">
        <x:f>IFERROR(IF($A186="","",INDEX(대장!$F$1:$F$501,$A186)),"")</x:f>
        <x:v>#NAME?</x:v>
      </x:c>
      <x:c r="D186" s="46" t="e">
        <x:f>IFERROR(IF($A186="","",INDEX(대장!$G$1:$G$501,$A186)),"")</x:f>
        <x:v>#NAME?</x:v>
      </x:c>
      <x:c r="E186" t="e">
        <x:f>IF($A186="","",IF(NOT(ISNUMBER(INDEX(대장!$F$1:$F$501,$A186))),"확인 필요",IF(AND(INDEX(대장!$G$1:$G$501,$A186)&lt;&gt;"",NOT(ISNUMBER(INDEX(대장!$G$1:$G$501,$A186)))),"확인 필요",IF(AND(ISNUMBER(INDEX(대장!$G$1:$G$501,$A186)),INDEX(대장!$G$1:$G$501,$A186)&lt;INDEX(대장!$F$1:$F$501,$A186)),"확인 필요",IF(INDEX(대장!$L$1:$L$501,$A186)&lt;&gt;"","메모 있음","정상")))))</x:f>
        <x:v>#NAME?</x:v>
      </x:c>
      <x:c r="F186" t="e">
        <x:f>IF($A186="","",IF($E186="확인 필요","시작일·종료일과 기간 순서를 확인해 주세요.",IF($E186="메모 있음",IFERROR(INDEX(대장!$L$1:$L$501,$A186),""),"")))</x:f>
        <x:v>#NAME?</x:v>
      </x:c>
    </x:row>
    <x:row r="187">
      <x:c r="A187" t="e">
        <x:f>IF(INDEX(대장!$A$1:$A$501,ROW()-2)="","",ROW()-2)</x:f>
        <x:v>#NAME?</x:v>
      </x:c>
      <x:c r="B187" t="e">
        <x:f>IF($A187="","",INDEX(대장!$A$1:$A$501,$A187))</x:f>
        <x:v>#NAME?</x:v>
      </x:c>
      <x:c r="C187" s="46" t="e">
        <x:f>IFERROR(IF($A187="","",INDEX(대장!$F$1:$F$501,$A187)),"")</x:f>
        <x:v>#NAME?</x:v>
      </x:c>
      <x:c r="D187" s="46" t="e">
        <x:f>IFERROR(IF($A187="","",INDEX(대장!$G$1:$G$501,$A187)),"")</x:f>
        <x:v>#NAME?</x:v>
      </x:c>
      <x:c r="E187" t="e">
        <x:f>IF($A187="","",IF(NOT(ISNUMBER(INDEX(대장!$F$1:$F$501,$A187))),"확인 필요",IF(AND(INDEX(대장!$G$1:$G$501,$A187)&lt;&gt;"",NOT(ISNUMBER(INDEX(대장!$G$1:$G$501,$A187)))),"확인 필요",IF(AND(ISNUMBER(INDEX(대장!$G$1:$G$501,$A187)),INDEX(대장!$G$1:$G$501,$A187)&lt;INDEX(대장!$F$1:$F$501,$A187)),"확인 필요",IF(INDEX(대장!$L$1:$L$501,$A187)&lt;&gt;"","메모 있음","정상")))))</x:f>
        <x:v>#NAME?</x:v>
      </x:c>
      <x:c r="F187" t="e">
        <x:f>IF($A187="","",IF($E187="확인 필요","시작일·종료일과 기간 순서를 확인해 주세요.",IF($E187="메모 있음",IFERROR(INDEX(대장!$L$1:$L$501,$A187),""),"")))</x:f>
        <x:v>#NAME?</x:v>
      </x:c>
    </x:row>
    <x:row r="188">
      <x:c r="A188" t="e">
        <x:f>IF(INDEX(대장!$A$1:$A$501,ROW()-2)="","",ROW()-2)</x:f>
        <x:v>#NAME?</x:v>
      </x:c>
      <x:c r="B188" t="e">
        <x:f>IF($A188="","",INDEX(대장!$A$1:$A$501,$A188))</x:f>
        <x:v>#NAME?</x:v>
      </x:c>
      <x:c r="C188" s="46" t="e">
        <x:f>IFERROR(IF($A188="","",INDEX(대장!$F$1:$F$501,$A188)),"")</x:f>
        <x:v>#NAME?</x:v>
      </x:c>
      <x:c r="D188" s="46" t="e">
        <x:f>IFERROR(IF($A188="","",INDEX(대장!$G$1:$G$501,$A188)),"")</x:f>
        <x:v>#NAME?</x:v>
      </x:c>
      <x:c r="E188" t="e">
        <x:f>IF($A188="","",IF(NOT(ISNUMBER(INDEX(대장!$F$1:$F$501,$A188))),"확인 필요",IF(AND(INDEX(대장!$G$1:$G$501,$A188)&lt;&gt;"",NOT(ISNUMBER(INDEX(대장!$G$1:$G$501,$A188)))),"확인 필요",IF(AND(ISNUMBER(INDEX(대장!$G$1:$G$501,$A188)),INDEX(대장!$G$1:$G$501,$A188)&lt;INDEX(대장!$F$1:$F$501,$A188)),"확인 필요",IF(INDEX(대장!$L$1:$L$501,$A188)&lt;&gt;"","메모 있음","정상")))))</x:f>
        <x:v>#NAME?</x:v>
      </x:c>
      <x:c r="F188" t="e">
        <x:f>IF($A188="","",IF($E188="확인 필요","시작일·종료일과 기간 순서를 확인해 주세요.",IF($E188="메모 있음",IFERROR(INDEX(대장!$L$1:$L$501,$A188),""),"")))</x:f>
        <x:v>#NAME?</x:v>
      </x:c>
    </x:row>
    <x:row r="189">
      <x:c r="A189" t="e">
        <x:f>IF(INDEX(대장!$A$1:$A$501,ROW()-2)="","",ROW()-2)</x:f>
        <x:v>#NAME?</x:v>
      </x:c>
      <x:c r="B189" t="e">
        <x:f>IF($A189="","",INDEX(대장!$A$1:$A$501,$A189))</x:f>
        <x:v>#NAME?</x:v>
      </x:c>
      <x:c r="C189" s="46" t="e">
        <x:f>IFERROR(IF($A189="","",INDEX(대장!$F$1:$F$501,$A189)),"")</x:f>
        <x:v>#NAME?</x:v>
      </x:c>
      <x:c r="D189" s="46" t="e">
        <x:f>IFERROR(IF($A189="","",INDEX(대장!$G$1:$G$501,$A189)),"")</x:f>
        <x:v>#NAME?</x:v>
      </x:c>
      <x:c r="E189" t="e">
        <x:f>IF($A189="","",IF(NOT(ISNUMBER(INDEX(대장!$F$1:$F$501,$A189))),"확인 필요",IF(AND(INDEX(대장!$G$1:$G$501,$A189)&lt;&gt;"",NOT(ISNUMBER(INDEX(대장!$G$1:$G$501,$A189)))),"확인 필요",IF(AND(ISNUMBER(INDEX(대장!$G$1:$G$501,$A189)),INDEX(대장!$G$1:$G$501,$A189)&lt;INDEX(대장!$F$1:$F$501,$A189)),"확인 필요",IF(INDEX(대장!$L$1:$L$501,$A189)&lt;&gt;"","메모 있음","정상")))))</x:f>
        <x:v>#NAME?</x:v>
      </x:c>
      <x:c r="F189" t="e">
        <x:f>IF($A189="","",IF($E189="확인 필요","시작일·종료일과 기간 순서를 확인해 주세요.",IF($E189="메모 있음",IFERROR(INDEX(대장!$L$1:$L$501,$A189),""),"")))</x:f>
        <x:v>#NAME?</x:v>
      </x:c>
    </x:row>
    <x:row r="190">
      <x:c r="A190" t="e">
        <x:f>IF(INDEX(대장!$A$1:$A$501,ROW()-2)="","",ROW()-2)</x:f>
        <x:v>#NAME?</x:v>
      </x:c>
      <x:c r="B190" t="e">
        <x:f>IF($A190="","",INDEX(대장!$A$1:$A$501,$A190))</x:f>
        <x:v>#NAME?</x:v>
      </x:c>
      <x:c r="C190" s="46" t="e">
        <x:f>IFERROR(IF($A190="","",INDEX(대장!$F$1:$F$501,$A190)),"")</x:f>
        <x:v>#NAME?</x:v>
      </x:c>
      <x:c r="D190" s="46" t="e">
        <x:f>IFERROR(IF($A190="","",INDEX(대장!$G$1:$G$501,$A190)),"")</x:f>
        <x:v>#NAME?</x:v>
      </x:c>
      <x:c r="E190" t="e">
        <x:f>IF($A190="","",IF(NOT(ISNUMBER(INDEX(대장!$F$1:$F$501,$A190))),"확인 필요",IF(AND(INDEX(대장!$G$1:$G$501,$A190)&lt;&gt;"",NOT(ISNUMBER(INDEX(대장!$G$1:$G$501,$A190)))),"확인 필요",IF(AND(ISNUMBER(INDEX(대장!$G$1:$G$501,$A190)),INDEX(대장!$G$1:$G$501,$A190)&lt;INDEX(대장!$F$1:$F$501,$A190)),"확인 필요",IF(INDEX(대장!$L$1:$L$501,$A190)&lt;&gt;"","메모 있음","정상")))))</x:f>
        <x:v>#NAME?</x:v>
      </x:c>
      <x:c r="F190" t="e">
        <x:f>IF($A190="","",IF($E190="확인 필요","시작일·종료일과 기간 순서를 확인해 주세요.",IF($E190="메모 있음",IFERROR(INDEX(대장!$L$1:$L$501,$A190),""),"")))</x:f>
        <x:v>#NAME?</x:v>
      </x:c>
    </x:row>
    <x:row r="191">
      <x:c r="A191" t="e">
        <x:f>IF(INDEX(대장!$A$1:$A$501,ROW()-2)="","",ROW()-2)</x:f>
        <x:v>#NAME?</x:v>
      </x:c>
      <x:c r="B191" t="e">
        <x:f>IF($A191="","",INDEX(대장!$A$1:$A$501,$A191))</x:f>
        <x:v>#NAME?</x:v>
      </x:c>
      <x:c r="C191" s="46" t="e">
        <x:f>IFERROR(IF($A191="","",INDEX(대장!$F$1:$F$501,$A191)),"")</x:f>
        <x:v>#NAME?</x:v>
      </x:c>
      <x:c r="D191" s="46" t="e">
        <x:f>IFERROR(IF($A191="","",INDEX(대장!$G$1:$G$501,$A191)),"")</x:f>
        <x:v>#NAME?</x:v>
      </x:c>
      <x:c r="E191" t="e">
        <x:f>IF($A191="","",IF(NOT(ISNUMBER(INDEX(대장!$F$1:$F$501,$A191))),"확인 필요",IF(AND(INDEX(대장!$G$1:$G$501,$A191)&lt;&gt;"",NOT(ISNUMBER(INDEX(대장!$G$1:$G$501,$A191)))),"확인 필요",IF(AND(ISNUMBER(INDEX(대장!$G$1:$G$501,$A191)),INDEX(대장!$G$1:$G$501,$A191)&lt;INDEX(대장!$F$1:$F$501,$A191)),"확인 필요",IF(INDEX(대장!$L$1:$L$501,$A191)&lt;&gt;"","메모 있음","정상")))))</x:f>
        <x:v>#NAME?</x:v>
      </x:c>
      <x:c r="F191" t="e">
        <x:f>IF($A191="","",IF($E191="확인 필요","시작일·종료일과 기간 순서를 확인해 주세요.",IF($E191="메모 있음",IFERROR(INDEX(대장!$L$1:$L$501,$A191),""),"")))</x:f>
        <x:v>#NAME?</x:v>
      </x:c>
    </x:row>
    <x:row r="192">
      <x:c r="A192" t="e">
        <x:f>IF(INDEX(대장!$A$1:$A$501,ROW()-2)="","",ROW()-2)</x:f>
        <x:v>#NAME?</x:v>
      </x:c>
      <x:c r="B192" t="e">
        <x:f>IF($A192="","",INDEX(대장!$A$1:$A$501,$A192))</x:f>
        <x:v>#NAME?</x:v>
      </x:c>
      <x:c r="C192" s="46" t="e">
        <x:f>IFERROR(IF($A192="","",INDEX(대장!$F$1:$F$501,$A192)),"")</x:f>
        <x:v>#NAME?</x:v>
      </x:c>
      <x:c r="D192" s="46" t="e">
        <x:f>IFERROR(IF($A192="","",INDEX(대장!$G$1:$G$501,$A192)),"")</x:f>
        <x:v>#NAME?</x:v>
      </x:c>
      <x:c r="E192" t="e">
        <x:f>IF($A192="","",IF(NOT(ISNUMBER(INDEX(대장!$F$1:$F$501,$A192))),"확인 필요",IF(AND(INDEX(대장!$G$1:$G$501,$A192)&lt;&gt;"",NOT(ISNUMBER(INDEX(대장!$G$1:$G$501,$A192)))),"확인 필요",IF(AND(ISNUMBER(INDEX(대장!$G$1:$G$501,$A192)),INDEX(대장!$G$1:$G$501,$A192)&lt;INDEX(대장!$F$1:$F$501,$A192)),"확인 필요",IF(INDEX(대장!$L$1:$L$501,$A192)&lt;&gt;"","메모 있음","정상")))))</x:f>
        <x:v>#NAME?</x:v>
      </x:c>
      <x:c r="F192" t="e">
        <x:f>IF($A192="","",IF($E192="확인 필요","시작일·종료일과 기간 순서를 확인해 주세요.",IF($E192="메모 있음",IFERROR(INDEX(대장!$L$1:$L$501,$A192),""),"")))</x:f>
        <x:v>#NAME?</x:v>
      </x:c>
    </x:row>
    <x:row r="193">
      <x:c r="A193" t="e">
        <x:f>IF(INDEX(대장!$A$1:$A$501,ROW()-2)="","",ROW()-2)</x:f>
        <x:v>#NAME?</x:v>
      </x:c>
      <x:c r="B193" t="e">
        <x:f>IF($A193="","",INDEX(대장!$A$1:$A$501,$A193))</x:f>
        <x:v>#NAME?</x:v>
      </x:c>
      <x:c r="C193" s="46" t="e">
        <x:f>IFERROR(IF($A193="","",INDEX(대장!$F$1:$F$501,$A193)),"")</x:f>
        <x:v>#NAME?</x:v>
      </x:c>
      <x:c r="D193" s="46" t="e">
        <x:f>IFERROR(IF($A193="","",INDEX(대장!$G$1:$G$501,$A193)),"")</x:f>
        <x:v>#NAME?</x:v>
      </x:c>
      <x:c r="E193" t="e">
        <x:f>IF($A193="","",IF(NOT(ISNUMBER(INDEX(대장!$F$1:$F$501,$A193))),"확인 필요",IF(AND(INDEX(대장!$G$1:$G$501,$A193)&lt;&gt;"",NOT(ISNUMBER(INDEX(대장!$G$1:$G$501,$A193)))),"확인 필요",IF(AND(ISNUMBER(INDEX(대장!$G$1:$G$501,$A193)),INDEX(대장!$G$1:$G$501,$A193)&lt;INDEX(대장!$F$1:$F$501,$A193)),"확인 필요",IF(INDEX(대장!$L$1:$L$501,$A193)&lt;&gt;"","메모 있음","정상")))))</x:f>
        <x:v>#NAME?</x:v>
      </x:c>
      <x:c r="F193" t="e">
        <x:f>IF($A193="","",IF($E193="확인 필요","시작일·종료일과 기간 순서를 확인해 주세요.",IF($E193="메모 있음",IFERROR(INDEX(대장!$L$1:$L$501,$A193),""),"")))</x:f>
        <x:v>#NAME?</x:v>
      </x:c>
    </x:row>
    <x:row r="194">
      <x:c r="A194" t="e">
        <x:f>IF(INDEX(대장!$A$1:$A$501,ROW()-2)="","",ROW()-2)</x:f>
        <x:v>#NAME?</x:v>
      </x:c>
      <x:c r="B194" t="e">
        <x:f>IF($A194="","",INDEX(대장!$A$1:$A$501,$A194))</x:f>
        <x:v>#NAME?</x:v>
      </x:c>
      <x:c r="C194" s="46" t="e">
        <x:f>IFERROR(IF($A194="","",INDEX(대장!$F$1:$F$501,$A194)),"")</x:f>
        <x:v>#NAME?</x:v>
      </x:c>
      <x:c r="D194" s="46" t="e">
        <x:f>IFERROR(IF($A194="","",INDEX(대장!$G$1:$G$501,$A194)),"")</x:f>
        <x:v>#NAME?</x:v>
      </x:c>
      <x:c r="E194" t="e">
        <x:f>IF($A194="","",IF(NOT(ISNUMBER(INDEX(대장!$F$1:$F$501,$A194))),"확인 필요",IF(AND(INDEX(대장!$G$1:$G$501,$A194)&lt;&gt;"",NOT(ISNUMBER(INDEX(대장!$G$1:$G$501,$A194)))),"확인 필요",IF(AND(ISNUMBER(INDEX(대장!$G$1:$G$501,$A194)),INDEX(대장!$G$1:$G$501,$A194)&lt;INDEX(대장!$F$1:$F$501,$A194)),"확인 필요",IF(INDEX(대장!$L$1:$L$501,$A194)&lt;&gt;"","메모 있음","정상")))))</x:f>
        <x:v>#NAME?</x:v>
      </x:c>
      <x:c r="F194" t="e">
        <x:f>IF($A194="","",IF($E194="확인 필요","시작일·종료일과 기간 순서를 확인해 주세요.",IF($E194="메모 있음",IFERROR(INDEX(대장!$L$1:$L$501,$A194),""),"")))</x:f>
        <x:v>#NAME?</x:v>
      </x:c>
    </x:row>
    <x:row r="195">
      <x:c r="A195" t="e">
        <x:f>IF(INDEX(대장!$A$1:$A$501,ROW()-2)="","",ROW()-2)</x:f>
        <x:v>#NAME?</x:v>
      </x:c>
      <x:c r="B195" t="e">
        <x:f>IF($A195="","",INDEX(대장!$A$1:$A$501,$A195))</x:f>
        <x:v>#NAME?</x:v>
      </x:c>
      <x:c r="C195" s="46" t="e">
        <x:f>IFERROR(IF($A195="","",INDEX(대장!$F$1:$F$501,$A195)),"")</x:f>
        <x:v>#NAME?</x:v>
      </x:c>
      <x:c r="D195" s="46" t="e">
        <x:f>IFERROR(IF($A195="","",INDEX(대장!$G$1:$G$501,$A195)),"")</x:f>
        <x:v>#NAME?</x:v>
      </x:c>
      <x:c r="E195" t="e">
        <x:f>IF($A195="","",IF(NOT(ISNUMBER(INDEX(대장!$F$1:$F$501,$A195))),"확인 필요",IF(AND(INDEX(대장!$G$1:$G$501,$A195)&lt;&gt;"",NOT(ISNUMBER(INDEX(대장!$G$1:$G$501,$A195)))),"확인 필요",IF(AND(ISNUMBER(INDEX(대장!$G$1:$G$501,$A195)),INDEX(대장!$G$1:$G$501,$A195)&lt;INDEX(대장!$F$1:$F$501,$A195)),"확인 필요",IF(INDEX(대장!$L$1:$L$501,$A195)&lt;&gt;"","메모 있음","정상")))))</x:f>
        <x:v>#NAME?</x:v>
      </x:c>
      <x:c r="F195" t="e">
        <x:f>IF($A195="","",IF($E195="확인 필요","시작일·종료일과 기간 순서를 확인해 주세요.",IF($E195="메모 있음",IFERROR(INDEX(대장!$L$1:$L$501,$A195),""),"")))</x:f>
        <x:v>#NAME?</x:v>
      </x:c>
    </x:row>
    <x:row r="196">
      <x:c r="A196" t="e">
        <x:f>IF(INDEX(대장!$A$1:$A$501,ROW()-2)="","",ROW()-2)</x:f>
        <x:v>#NAME?</x:v>
      </x:c>
      <x:c r="B196" t="e">
        <x:f>IF($A196="","",INDEX(대장!$A$1:$A$501,$A196))</x:f>
        <x:v>#NAME?</x:v>
      </x:c>
      <x:c r="C196" s="46" t="e">
        <x:f>IFERROR(IF($A196="","",INDEX(대장!$F$1:$F$501,$A196)),"")</x:f>
        <x:v>#NAME?</x:v>
      </x:c>
      <x:c r="D196" s="46" t="e">
        <x:f>IFERROR(IF($A196="","",INDEX(대장!$G$1:$G$501,$A196)),"")</x:f>
        <x:v>#NAME?</x:v>
      </x:c>
      <x:c r="E196" t="e">
        <x:f>IF($A196="","",IF(NOT(ISNUMBER(INDEX(대장!$F$1:$F$501,$A196))),"확인 필요",IF(AND(INDEX(대장!$G$1:$G$501,$A196)&lt;&gt;"",NOT(ISNUMBER(INDEX(대장!$G$1:$G$501,$A196)))),"확인 필요",IF(AND(ISNUMBER(INDEX(대장!$G$1:$G$501,$A196)),INDEX(대장!$G$1:$G$501,$A196)&lt;INDEX(대장!$F$1:$F$501,$A196)),"확인 필요",IF(INDEX(대장!$L$1:$L$501,$A196)&lt;&gt;"","메모 있음","정상")))))</x:f>
        <x:v>#NAME?</x:v>
      </x:c>
      <x:c r="F196" t="e">
        <x:f>IF($A196="","",IF($E196="확인 필요","시작일·종료일과 기간 순서를 확인해 주세요.",IF($E196="메모 있음",IFERROR(INDEX(대장!$L$1:$L$501,$A196),""),"")))</x:f>
        <x:v>#NAME?</x:v>
      </x:c>
    </x:row>
    <x:row r="197">
      <x:c r="A197" t="e">
        <x:f>IF(INDEX(대장!$A$1:$A$501,ROW()-2)="","",ROW()-2)</x:f>
        <x:v>#NAME?</x:v>
      </x:c>
      <x:c r="B197" t="e">
        <x:f>IF($A197="","",INDEX(대장!$A$1:$A$501,$A197))</x:f>
        <x:v>#NAME?</x:v>
      </x:c>
      <x:c r="C197" s="46" t="e">
        <x:f>IFERROR(IF($A197="","",INDEX(대장!$F$1:$F$501,$A197)),"")</x:f>
        <x:v>#NAME?</x:v>
      </x:c>
      <x:c r="D197" s="46" t="e">
        <x:f>IFERROR(IF($A197="","",INDEX(대장!$G$1:$G$501,$A197)),"")</x:f>
        <x:v>#NAME?</x:v>
      </x:c>
      <x:c r="E197" t="e">
        <x:f>IF($A197="","",IF(NOT(ISNUMBER(INDEX(대장!$F$1:$F$501,$A197))),"확인 필요",IF(AND(INDEX(대장!$G$1:$G$501,$A197)&lt;&gt;"",NOT(ISNUMBER(INDEX(대장!$G$1:$G$501,$A197)))),"확인 필요",IF(AND(ISNUMBER(INDEX(대장!$G$1:$G$501,$A197)),INDEX(대장!$G$1:$G$501,$A197)&lt;INDEX(대장!$F$1:$F$501,$A197)),"확인 필요",IF(INDEX(대장!$L$1:$L$501,$A197)&lt;&gt;"","메모 있음","정상")))))</x:f>
        <x:v>#NAME?</x:v>
      </x:c>
      <x:c r="F197" t="e">
        <x:f>IF($A197="","",IF($E197="확인 필요","시작일·종료일과 기간 순서를 확인해 주세요.",IF($E197="메모 있음",IFERROR(INDEX(대장!$L$1:$L$501,$A197),""),"")))</x:f>
        <x:v>#NAME?</x:v>
      </x:c>
    </x:row>
    <x:row r="198">
      <x:c r="A198" t="e">
        <x:f>IF(INDEX(대장!$A$1:$A$501,ROW()-2)="","",ROW()-2)</x:f>
        <x:v>#NAME?</x:v>
      </x:c>
      <x:c r="B198" t="e">
        <x:f>IF($A198="","",INDEX(대장!$A$1:$A$501,$A198))</x:f>
        <x:v>#NAME?</x:v>
      </x:c>
      <x:c r="C198" s="46" t="e">
        <x:f>IFERROR(IF($A198="","",INDEX(대장!$F$1:$F$501,$A198)),"")</x:f>
        <x:v>#NAME?</x:v>
      </x:c>
      <x:c r="D198" s="46" t="e">
        <x:f>IFERROR(IF($A198="","",INDEX(대장!$G$1:$G$501,$A198)),"")</x:f>
        <x:v>#NAME?</x:v>
      </x:c>
      <x:c r="E198" t="e">
        <x:f>IF($A198="","",IF(NOT(ISNUMBER(INDEX(대장!$F$1:$F$501,$A198))),"확인 필요",IF(AND(INDEX(대장!$G$1:$G$501,$A198)&lt;&gt;"",NOT(ISNUMBER(INDEX(대장!$G$1:$G$501,$A198)))),"확인 필요",IF(AND(ISNUMBER(INDEX(대장!$G$1:$G$501,$A198)),INDEX(대장!$G$1:$G$501,$A198)&lt;INDEX(대장!$F$1:$F$501,$A198)),"확인 필요",IF(INDEX(대장!$L$1:$L$501,$A198)&lt;&gt;"","메모 있음","정상")))))</x:f>
        <x:v>#NAME?</x:v>
      </x:c>
      <x:c r="F198" t="e">
        <x:f>IF($A198="","",IF($E198="확인 필요","시작일·종료일과 기간 순서를 확인해 주세요.",IF($E198="메모 있음",IFERROR(INDEX(대장!$L$1:$L$501,$A198),""),"")))</x:f>
        <x:v>#NAME?</x:v>
      </x:c>
    </x:row>
    <x:row r="199">
      <x:c r="A199" t="e">
        <x:f>IF(INDEX(대장!$A$1:$A$501,ROW()-2)="","",ROW()-2)</x:f>
        <x:v>#NAME?</x:v>
      </x:c>
      <x:c r="B199" t="e">
        <x:f>IF($A199="","",INDEX(대장!$A$1:$A$501,$A199))</x:f>
        <x:v>#NAME?</x:v>
      </x:c>
      <x:c r="C199" s="46" t="e">
        <x:f>IFERROR(IF($A199="","",INDEX(대장!$F$1:$F$501,$A199)),"")</x:f>
        <x:v>#NAME?</x:v>
      </x:c>
      <x:c r="D199" s="46" t="e">
        <x:f>IFERROR(IF($A199="","",INDEX(대장!$G$1:$G$501,$A199)),"")</x:f>
        <x:v>#NAME?</x:v>
      </x:c>
      <x:c r="E199" t="e">
        <x:f>IF($A199="","",IF(NOT(ISNUMBER(INDEX(대장!$F$1:$F$501,$A199))),"확인 필요",IF(AND(INDEX(대장!$G$1:$G$501,$A199)&lt;&gt;"",NOT(ISNUMBER(INDEX(대장!$G$1:$G$501,$A199)))),"확인 필요",IF(AND(ISNUMBER(INDEX(대장!$G$1:$G$501,$A199)),INDEX(대장!$G$1:$G$501,$A199)&lt;INDEX(대장!$F$1:$F$501,$A199)),"확인 필요",IF(INDEX(대장!$L$1:$L$501,$A199)&lt;&gt;"","메모 있음","정상")))))</x:f>
        <x:v>#NAME?</x:v>
      </x:c>
      <x:c r="F199" t="e">
        <x:f>IF($A199="","",IF($E199="확인 필요","시작일·종료일과 기간 순서를 확인해 주세요.",IF($E199="메모 있음",IFERROR(INDEX(대장!$L$1:$L$501,$A199),""),"")))</x:f>
        <x:v>#NAME?</x:v>
      </x:c>
    </x:row>
    <x:row r="200">
      <x:c r="A200" t="e">
        <x:f>IF(INDEX(대장!$A$1:$A$501,ROW()-2)="","",ROW()-2)</x:f>
        <x:v>#NAME?</x:v>
      </x:c>
      <x:c r="B200" t="e">
        <x:f>IF($A200="","",INDEX(대장!$A$1:$A$501,$A200))</x:f>
        <x:v>#NAME?</x:v>
      </x:c>
      <x:c r="C200" s="46" t="e">
        <x:f>IFERROR(IF($A200="","",INDEX(대장!$F$1:$F$501,$A200)),"")</x:f>
        <x:v>#NAME?</x:v>
      </x:c>
      <x:c r="D200" s="46" t="e">
        <x:f>IFERROR(IF($A200="","",INDEX(대장!$G$1:$G$501,$A200)),"")</x:f>
        <x:v>#NAME?</x:v>
      </x:c>
      <x:c r="E200" t="e">
        <x:f>IF($A200="","",IF(NOT(ISNUMBER(INDEX(대장!$F$1:$F$501,$A200))),"확인 필요",IF(AND(INDEX(대장!$G$1:$G$501,$A200)&lt;&gt;"",NOT(ISNUMBER(INDEX(대장!$G$1:$G$501,$A200)))),"확인 필요",IF(AND(ISNUMBER(INDEX(대장!$G$1:$G$501,$A200)),INDEX(대장!$G$1:$G$501,$A200)&lt;INDEX(대장!$F$1:$F$501,$A200)),"확인 필요",IF(INDEX(대장!$L$1:$L$501,$A200)&lt;&gt;"","메모 있음","정상")))))</x:f>
        <x:v>#NAME?</x:v>
      </x:c>
      <x:c r="F200" t="e">
        <x:f>IF($A200="","",IF($E200="확인 필요","시작일·종료일과 기간 순서를 확인해 주세요.",IF($E200="메모 있음",IFERROR(INDEX(대장!$L$1:$L$501,$A200),""),"")))</x:f>
        <x:v>#NAME?</x:v>
      </x:c>
    </x:row>
    <x:row r="201">
      <x:c r="A201" t="e">
        <x:f>IF(INDEX(대장!$A$1:$A$501,ROW()-2)="","",ROW()-2)</x:f>
        <x:v>#NAME?</x:v>
      </x:c>
      <x:c r="B201" t="e">
        <x:f>IF($A201="","",INDEX(대장!$A$1:$A$501,$A201))</x:f>
        <x:v>#NAME?</x:v>
      </x:c>
      <x:c r="C201" s="46" t="e">
        <x:f>IFERROR(IF($A201="","",INDEX(대장!$F$1:$F$501,$A201)),"")</x:f>
        <x:v>#NAME?</x:v>
      </x:c>
      <x:c r="D201" s="46" t="e">
        <x:f>IFERROR(IF($A201="","",INDEX(대장!$G$1:$G$501,$A201)),"")</x:f>
        <x:v>#NAME?</x:v>
      </x:c>
      <x:c r="E201" t="e">
        <x:f>IF($A201="","",IF(NOT(ISNUMBER(INDEX(대장!$F$1:$F$501,$A201))),"확인 필요",IF(AND(INDEX(대장!$G$1:$G$501,$A201)&lt;&gt;"",NOT(ISNUMBER(INDEX(대장!$G$1:$G$501,$A201)))),"확인 필요",IF(AND(ISNUMBER(INDEX(대장!$G$1:$G$501,$A201)),INDEX(대장!$G$1:$G$501,$A201)&lt;INDEX(대장!$F$1:$F$501,$A201)),"확인 필요",IF(INDEX(대장!$L$1:$L$501,$A201)&lt;&gt;"","메모 있음","정상")))))</x:f>
        <x:v>#NAME?</x:v>
      </x:c>
      <x:c r="F201" t="e">
        <x:f>IF($A201="","",IF($E201="확인 필요","시작일·종료일과 기간 순서를 확인해 주세요.",IF($E201="메모 있음",IFERROR(INDEX(대장!$L$1:$L$501,$A201),""),"")))</x:f>
        <x:v>#NAME?</x:v>
      </x:c>
    </x:row>
    <x:row r="202">
      <x:c r="A202" t="e">
        <x:f>IF(INDEX(대장!$A$1:$A$501,ROW()-2)="","",ROW()-2)</x:f>
        <x:v>#NAME?</x:v>
      </x:c>
      <x:c r="B202" t="e">
        <x:f>IF($A202="","",INDEX(대장!$A$1:$A$501,$A202))</x:f>
        <x:v>#NAME?</x:v>
      </x:c>
      <x:c r="C202" s="46" t="e">
        <x:f>IFERROR(IF($A202="","",INDEX(대장!$F$1:$F$501,$A202)),"")</x:f>
        <x:v>#NAME?</x:v>
      </x:c>
      <x:c r="D202" s="46" t="e">
        <x:f>IFERROR(IF($A202="","",INDEX(대장!$G$1:$G$501,$A202)),"")</x:f>
        <x:v>#NAME?</x:v>
      </x:c>
      <x:c r="E202" t="e">
        <x:f>IF($A202="","",IF(NOT(ISNUMBER(INDEX(대장!$F$1:$F$501,$A202))),"확인 필요",IF(AND(INDEX(대장!$G$1:$G$501,$A202)&lt;&gt;"",NOT(ISNUMBER(INDEX(대장!$G$1:$G$501,$A202)))),"확인 필요",IF(AND(ISNUMBER(INDEX(대장!$G$1:$G$501,$A202)),INDEX(대장!$G$1:$G$501,$A202)&lt;INDEX(대장!$F$1:$F$501,$A202)),"확인 필요",IF(INDEX(대장!$L$1:$L$501,$A202)&lt;&gt;"","메모 있음","정상")))))</x:f>
        <x:v>#NAME?</x:v>
      </x:c>
      <x:c r="F202" t="e">
        <x:f>IF($A202="","",IF($E202="확인 필요","시작일·종료일과 기간 순서를 확인해 주세요.",IF($E202="메모 있음",IFERROR(INDEX(대장!$L$1:$L$501,$A202),""),"")))</x:f>
        <x:v>#NAME?</x:v>
      </x:c>
    </x:row>
    <x:row r="203">
      <x:c r="A203" t="e">
        <x:f>IF(INDEX(대장!$A$1:$A$501,ROW()-2)="","",ROW()-2)</x:f>
        <x:v>#NAME?</x:v>
      </x:c>
      <x:c r="B203" t="e">
        <x:f>IF($A203="","",INDEX(대장!$A$1:$A$501,$A203))</x:f>
        <x:v>#NAME?</x:v>
      </x:c>
      <x:c r="C203" s="46" t="e">
        <x:f>IFERROR(IF($A203="","",INDEX(대장!$F$1:$F$501,$A203)),"")</x:f>
        <x:v>#NAME?</x:v>
      </x:c>
      <x:c r="D203" s="46" t="e">
        <x:f>IFERROR(IF($A203="","",INDEX(대장!$G$1:$G$501,$A203)),"")</x:f>
        <x:v>#NAME?</x:v>
      </x:c>
      <x:c r="E203" t="e">
        <x:f>IF($A203="","",IF(NOT(ISNUMBER(INDEX(대장!$F$1:$F$501,$A203))),"확인 필요",IF(AND(INDEX(대장!$G$1:$G$501,$A203)&lt;&gt;"",NOT(ISNUMBER(INDEX(대장!$G$1:$G$501,$A203)))),"확인 필요",IF(AND(ISNUMBER(INDEX(대장!$G$1:$G$501,$A203)),INDEX(대장!$G$1:$G$501,$A203)&lt;INDEX(대장!$F$1:$F$501,$A203)),"확인 필요",IF(INDEX(대장!$L$1:$L$501,$A203)&lt;&gt;"","메모 있음","정상")))))</x:f>
        <x:v>#NAME?</x:v>
      </x:c>
      <x:c r="F203" t="e">
        <x:f>IF($A203="","",IF($E203="확인 필요","시작일·종료일과 기간 순서를 확인해 주세요.",IF($E203="메모 있음",IFERROR(INDEX(대장!$L$1:$L$501,$A203),""),"")))</x:f>
        <x:v>#NAME?</x:v>
      </x:c>
    </x:row>
    <x:row r="204">
      <x:c r="A204" t="e">
        <x:f>IF(INDEX(대장!$A$1:$A$501,ROW()-2)="","",ROW()-2)</x:f>
        <x:v>#NAME?</x:v>
      </x:c>
      <x:c r="B204" t="e">
        <x:f>IF($A204="","",INDEX(대장!$A$1:$A$501,$A204))</x:f>
        <x:v>#NAME?</x:v>
      </x:c>
      <x:c r="C204" s="46" t="e">
        <x:f>IFERROR(IF($A204="","",INDEX(대장!$F$1:$F$501,$A204)),"")</x:f>
        <x:v>#NAME?</x:v>
      </x:c>
      <x:c r="D204" s="46" t="e">
        <x:f>IFERROR(IF($A204="","",INDEX(대장!$G$1:$G$501,$A204)),"")</x:f>
        <x:v>#NAME?</x:v>
      </x:c>
      <x:c r="E204" t="e">
        <x:f>IF($A204="","",IF(NOT(ISNUMBER(INDEX(대장!$F$1:$F$501,$A204))),"확인 필요",IF(AND(INDEX(대장!$G$1:$G$501,$A204)&lt;&gt;"",NOT(ISNUMBER(INDEX(대장!$G$1:$G$501,$A204)))),"확인 필요",IF(AND(ISNUMBER(INDEX(대장!$G$1:$G$501,$A204)),INDEX(대장!$G$1:$G$501,$A204)&lt;INDEX(대장!$F$1:$F$501,$A204)),"확인 필요",IF(INDEX(대장!$L$1:$L$501,$A204)&lt;&gt;"","메모 있음","정상")))))</x:f>
        <x:v>#NAME?</x:v>
      </x:c>
      <x:c r="F204" t="e">
        <x:f>IF($A204="","",IF($E204="확인 필요","시작일·종료일과 기간 순서를 확인해 주세요.",IF($E204="메모 있음",IFERROR(INDEX(대장!$L$1:$L$501,$A204),""),"")))</x:f>
        <x:v>#NAME?</x:v>
      </x:c>
    </x:row>
    <x:row r="205">
      <x:c r="A205" t="e">
        <x:f>IF(INDEX(대장!$A$1:$A$501,ROW()-2)="","",ROW()-2)</x:f>
        <x:v>#NAME?</x:v>
      </x:c>
      <x:c r="B205" t="e">
        <x:f>IF($A205="","",INDEX(대장!$A$1:$A$501,$A205))</x:f>
        <x:v>#NAME?</x:v>
      </x:c>
      <x:c r="C205" s="46" t="e">
        <x:f>IFERROR(IF($A205="","",INDEX(대장!$F$1:$F$501,$A205)),"")</x:f>
        <x:v>#NAME?</x:v>
      </x:c>
      <x:c r="D205" s="46" t="e">
        <x:f>IFERROR(IF($A205="","",INDEX(대장!$G$1:$G$501,$A205)),"")</x:f>
        <x:v>#NAME?</x:v>
      </x:c>
      <x:c r="E205" t="e">
        <x:f>IF($A205="","",IF(NOT(ISNUMBER(INDEX(대장!$F$1:$F$501,$A205))),"확인 필요",IF(AND(INDEX(대장!$G$1:$G$501,$A205)&lt;&gt;"",NOT(ISNUMBER(INDEX(대장!$G$1:$G$501,$A205)))),"확인 필요",IF(AND(ISNUMBER(INDEX(대장!$G$1:$G$501,$A205)),INDEX(대장!$G$1:$G$501,$A205)&lt;INDEX(대장!$F$1:$F$501,$A205)),"확인 필요",IF(INDEX(대장!$L$1:$L$501,$A205)&lt;&gt;"","메모 있음","정상")))))</x:f>
        <x:v>#NAME?</x:v>
      </x:c>
      <x:c r="F205" t="e">
        <x:f>IF($A205="","",IF($E205="확인 필요","시작일·종료일과 기간 순서를 확인해 주세요.",IF($E205="메모 있음",IFERROR(INDEX(대장!$L$1:$L$501,$A205),""),"")))</x:f>
        <x:v>#NAME?</x:v>
      </x:c>
    </x:row>
    <x:row r="206">
      <x:c r="A206" t="e">
        <x:f>IF(INDEX(대장!$A$1:$A$501,ROW()-2)="","",ROW()-2)</x:f>
        <x:v>#NAME?</x:v>
      </x:c>
      <x:c r="B206" t="e">
        <x:f>IF($A206="","",INDEX(대장!$A$1:$A$501,$A206))</x:f>
        <x:v>#NAME?</x:v>
      </x:c>
      <x:c r="C206" s="46" t="e">
        <x:f>IFERROR(IF($A206="","",INDEX(대장!$F$1:$F$501,$A206)),"")</x:f>
        <x:v>#NAME?</x:v>
      </x:c>
      <x:c r="D206" s="46" t="e">
        <x:f>IFERROR(IF($A206="","",INDEX(대장!$G$1:$G$501,$A206)),"")</x:f>
        <x:v>#NAME?</x:v>
      </x:c>
      <x:c r="E206" t="e">
        <x:f>IF($A206="","",IF(NOT(ISNUMBER(INDEX(대장!$F$1:$F$501,$A206))),"확인 필요",IF(AND(INDEX(대장!$G$1:$G$501,$A206)&lt;&gt;"",NOT(ISNUMBER(INDEX(대장!$G$1:$G$501,$A206)))),"확인 필요",IF(AND(ISNUMBER(INDEX(대장!$G$1:$G$501,$A206)),INDEX(대장!$G$1:$G$501,$A206)&lt;INDEX(대장!$F$1:$F$501,$A206)),"확인 필요",IF(INDEX(대장!$L$1:$L$501,$A206)&lt;&gt;"","메모 있음","정상")))))</x:f>
        <x:v>#NAME?</x:v>
      </x:c>
      <x:c r="F206" t="e">
        <x:f>IF($A206="","",IF($E206="확인 필요","시작일·종료일과 기간 순서를 확인해 주세요.",IF($E206="메모 있음",IFERROR(INDEX(대장!$L$1:$L$501,$A206),""),"")))</x:f>
        <x:v>#NAME?</x:v>
      </x:c>
    </x:row>
    <x:row r="207">
      <x:c r="A207" t="e">
        <x:f>IF(INDEX(대장!$A$1:$A$501,ROW()-2)="","",ROW()-2)</x:f>
        <x:v>#NAME?</x:v>
      </x:c>
      <x:c r="B207" t="e">
        <x:f>IF($A207="","",INDEX(대장!$A$1:$A$501,$A207))</x:f>
        <x:v>#NAME?</x:v>
      </x:c>
      <x:c r="C207" s="46" t="e">
        <x:f>IFERROR(IF($A207="","",INDEX(대장!$F$1:$F$501,$A207)),"")</x:f>
        <x:v>#NAME?</x:v>
      </x:c>
      <x:c r="D207" s="46" t="e">
        <x:f>IFERROR(IF($A207="","",INDEX(대장!$G$1:$G$501,$A207)),"")</x:f>
        <x:v>#NAME?</x:v>
      </x:c>
      <x:c r="E207" t="e">
        <x:f>IF($A207="","",IF(NOT(ISNUMBER(INDEX(대장!$F$1:$F$501,$A207))),"확인 필요",IF(AND(INDEX(대장!$G$1:$G$501,$A207)&lt;&gt;"",NOT(ISNUMBER(INDEX(대장!$G$1:$G$501,$A207)))),"확인 필요",IF(AND(ISNUMBER(INDEX(대장!$G$1:$G$501,$A207)),INDEX(대장!$G$1:$G$501,$A207)&lt;INDEX(대장!$F$1:$F$501,$A207)),"확인 필요",IF(INDEX(대장!$L$1:$L$501,$A207)&lt;&gt;"","메모 있음","정상")))))</x:f>
        <x:v>#NAME?</x:v>
      </x:c>
      <x:c r="F207" t="e">
        <x:f>IF($A207="","",IF($E207="확인 필요","시작일·종료일과 기간 순서를 확인해 주세요.",IF($E207="메모 있음",IFERROR(INDEX(대장!$L$1:$L$501,$A207),""),"")))</x:f>
        <x:v>#NAME?</x:v>
      </x:c>
    </x:row>
    <x:row r="208">
      <x:c r="A208" t="e">
        <x:f>IF(INDEX(대장!$A$1:$A$501,ROW()-2)="","",ROW()-2)</x:f>
        <x:v>#NAME?</x:v>
      </x:c>
      <x:c r="B208" t="e">
        <x:f>IF($A208="","",INDEX(대장!$A$1:$A$501,$A208))</x:f>
        <x:v>#NAME?</x:v>
      </x:c>
      <x:c r="C208" s="46" t="e">
        <x:f>IFERROR(IF($A208="","",INDEX(대장!$F$1:$F$501,$A208)),"")</x:f>
        <x:v>#NAME?</x:v>
      </x:c>
      <x:c r="D208" s="46" t="e">
        <x:f>IFERROR(IF($A208="","",INDEX(대장!$G$1:$G$501,$A208)),"")</x:f>
        <x:v>#NAME?</x:v>
      </x:c>
      <x:c r="E208" t="e">
        <x:f>IF($A208="","",IF(NOT(ISNUMBER(INDEX(대장!$F$1:$F$501,$A208))),"확인 필요",IF(AND(INDEX(대장!$G$1:$G$501,$A208)&lt;&gt;"",NOT(ISNUMBER(INDEX(대장!$G$1:$G$501,$A208)))),"확인 필요",IF(AND(ISNUMBER(INDEX(대장!$G$1:$G$501,$A208)),INDEX(대장!$G$1:$G$501,$A208)&lt;INDEX(대장!$F$1:$F$501,$A208)),"확인 필요",IF(INDEX(대장!$L$1:$L$501,$A208)&lt;&gt;"","메모 있음","정상")))))</x:f>
        <x:v>#NAME?</x:v>
      </x:c>
      <x:c r="F208" t="e">
        <x:f>IF($A208="","",IF($E208="확인 필요","시작일·종료일과 기간 순서를 확인해 주세요.",IF($E208="메모 있음",IFERROR(INDEX(대장!$L$1:$L$501,$A208),""),"")))</x:f>
        <x:v>#NAME?</x:v>
      </x:c>
    </x:row>
    <x:row r="209">
      <x:c r="A209" t="e">
        <x:f>IF(INDEX(대장!$A$1:$A$501,ROW()-2)="","",ROW()-2)</x:f>
        <x:v>#NAME?</x:v>
      </x:c>
      <x:c r="B209" t="e">
        <x:f>IF($A209="","",INDEX(대장!$A$1:$A$501,$A209))</x:f>
        <x:v>#NAME?</x:v>
      </x:c>
      <x:c r="C209" s="46" t="e">
        <x:f>IFERROR(IF($A209="","",INDEX(대장!$F$1:$F$501,$A209)),"")</x:f>
        <x:v>#NAME?</x:v>
      </x:c>
      <x:c r="D209" s="46" t="e">
        <x:f>IFERROR(IF($A209="","",INDEX(대장!$G$1:$G$501,$A209)),"")</x:f>
        <x:v>#NAME?</x:v>
      </x:c>
      <x:c r="E209" t="e">
        <x:f>IF($A209="","",IF(NOT(ISNUMBER(INDEX(대장!$F$1:$F$501,$A209))),"확인 필요",IF(AND(INDEX(대장!$G$1:$G$501,$A209)&lt;&gt;"",NOT(ISNUMBER(INDEX(대장!$G$1:$G$501,$A209)))),"확인 필요",IF(AND(ISNUMBER(INDEX(대장!$G$1:$G$501,$A209)),INDEX(대장!$G$1:$G$501,$A209)&lt;INDEX(대장!$F$1:$F$501,$A209)),"확인 필요",IF(INDEX(대장!$L$1:$L$501,$A209)&lt;&gt;"","메모 있음","정상")))))</x:f>
        <x:v>#NAME?</x:v>
      </x:c>
      <x:c r="F209" t="e">
        <x:f>IF($A209="","",IF($E209="확인 필요","시작일·종료일과 기간 순서를 확인해 주세요.",IF($E209="메모 있음",IFERROR(INDEX(대장!$L$1:$L$501,$A209),""),"")))</x:f>
        <x:v>#NAME?</x:v>
      </x:c>
    </x:row>
    <x:row r="210">
      <x:c r="A210" t="e">
        <x:f>IF(INDEX(대장!$A$1:$A$501,ROW()-2)="","",ROW()-2)</x:f>
        <x:v>#NAME?</x:v>
      </x:c>
      <x:c r="B210" t="e">
        <x:f>IF($A210="","",INDEX(대장!$A$1:$A$501,$A210))</x:f>
        <x:v>#NAME?</x:v>
      </x:c>
      <x:c r="C210" s="46" t="e">
        <x:f>IFERROR(IF($A210="","",INDEX(대장!$F$1:$F$501,$A210)),"")</x:f>
        <x:v>#NAME?</x:v>
      </x:c>
      <x:c r="D210" s="46" t="e">
        <x:f>IFERROR(IF($A210="","",INDEX(대장!$G$1:$G$501,$A210)),"")</x:f>
        <x:v>#NAME?</x:v>
      </x:c>
      <x:c r="E210" t="e">
        <x:f>IF($A210="","",IF(NOT(ISNUMBER(INDEX(대장!$F$1:$F$501,$A210))),"확인 필요",IF(AND(INDEX(대장!$G$1:$G$501,$A210)&lt;&gt;"",NOT(ISNUMBER(INDEX(대장!$G$1:$G$501,$A210)))),"확인 필요",IF(AND(ISNUMBER(INDEX(대장!$G$1:$G$501,$A210)),INDEX(대장!$G$1:$G$501,$A210)&lt;INDEX(대장!$F$1:$F$501,$A210)),"확인 필요",IF(INDEX(대장!$L$1:$L$501,$A210)&lt;&gt;"","메모 있음","정상")))))</x:f>
        <x:v>#NAME?</x:v>
      </x:c>
      <x:c r="F210" t="e">
        <x:f>IF($A210="","",IF($E210="확인 필요","시작일·종료일과 기간 순서를 확인해 주세요.",IF($E210="메모 있음",IFERROR(INDEX(대장!$L$1:$L$501,$A210),""),"")))</x:f>
        <x:v>#NAME?</x:v>
      </x:c>
    </x:row>
    <x:row r="211">
      <x:c r="A211" t="e">
        <x:f>IF(INDEX(대장!$A$1:$A$501,ROW()-2)="","",ROW()-2)</x:f>
        <x:v>#NAME?</x:v>
      </x:c>
      <x:c r="B211" t="e">
        <x:f>IF($A211="","",INDEX(대장!$A$1:$A$501,$A211))</x:f>
        <x:v>#NAME?</x:v>
      </x:c>
      <x:c r="C211" s="46" t="e">
        <x:f>IFERROR(IF($A211="","",INDEX(대장!$F$1:$F$501,$A211)),"")</x:f>
        <x:v>#NAME?</x:v>
      </x:c>
      <x:c r="D211" s="46" t="e">
        <x:f>IFERROR(IF($A211="","",INDEX(대장!$G$1:$G$501,$A211)),"")</x:f>
        <x:v>#NAME?</x:v>
      </x:c>
      <x:c r="E211" t="e">
        <x:f>IF($A211="","",IF(NOT(ISNUMBER(INDEX(대장!$F$1:$F$501,$A211))),"확인 필요",IF(AND(INDEX(대장!$G$1:$G$501,$A211)&lt;&gt;"",NOT(ISNUMBER(INDEX(대장!$G$1:$G$501,$A211)))),"확인 필요",IF(AND(ISNUMBER(INDEX(대장!$G$1:$G$501,$A211)),INDEX(대장!$G$1:$G$501,$A211)&lt;INDEX(대장!$F$1:$F$501,$A211)),"확인 필요",IF(INDEX(대장!$L$1:$L$501,$A211)&lt;&gt;"","메모 있음","정상")))))</x:f>
        <x:v>#NAME?</x:v>
      </x:c>
      <x:c r="F211" t="e">
        <x:f>IF($A211="","",IF($E211="확인 필요","시작일·종료일과 기간 순서를 확인해 주세요.",IF($E211="메모 있음",IFERROR(INDEX(대장!$L$1:$L$501,$A211),""),"")))</x:f>
        <x:v>#NAME?</x:v>
      </x:c>
    </x:row>
    <x:row r="212">
      <x:c r="A212" t="e">
        <x:f>IF(INDEX(대장!$A$1:$A$501,ROW()-2)="","",ROW()-2)</x:f>
        <x:v>#NAME?</x:v>
      </x:c>
      <x:c r="B212" t="e">
        <x:f>IF($A212="","",INDEX(대장!$A$1:$A$501,$A212))</x:f>
        <x:v>#NAME?</x:v>
      </x:c>
      <x:c r="C212" s="46" t="e">
        <x:f>IFERROR(IF($A212="","",INDEX(대장!$F$1:$F$501,$A212)),"")</x:f>
        <x:v>#NAME?</x:v>
      </x:c>
      <x:c r="D212" s="46" t="e">
        <x:f>IFERROR(IF($A212="","",INDEX(대장!$G$1:$G$501,$A212)),"")</x:f>
        <x:v>#NAME?</x:v>
      </x:c>
      <x:c r="E212" t="e">
        <x:f>IF($A212="","",IF(NOT(ISNUMBER(INDEX(대장!$F$1:$F$501,$A212))),"확인 필요",IF(AND(INDEX(대장!$G$1:$G$501,$A212)&lt;&gt;"",NOT(ISNUMBER(INDEX(대장!$G$1:$G$501,$A212)))),"확인 필요",IF(AND(ISNUMBER(INDEX(대장!$G$1:$G$501,$A212)),INDEX(대장!$G$1:$G$501,$A212)&lt;INDEX(대장!$F$1:$F$501,$A212)),"확인 필요",IF(INDEX(대장!$L$1:$L$501,$A212)&lt;&gt;"","메모 있음","정상")))))</x:f>
        <x:v>#NAME?</x:v>
      </x:c>
      <x:c r="F212" t="e">
        <x:f>IF($A212="","",IF($E212="확인 필요","시작일·종료일과 기간 순서를 확인해 주세요.",IF($E212="메모 있음",IFERROR(INDEX(대장!$L$1:$L$501,$A212),""),"")))</x:f>
        <x:v>#NAME?</x:v>
      </x:c>
    </x:row>
    <x:row r="213">
      <x:c r="A213" t="e">
        <x:f>IF(INDEX(대장!$A$1:$A$501,ROW()-2)="","",ROW()-2)</x:f>
        <x:v>#NAME?</x:v>
      </x:c>
      <x:c r="B213" t="e">
        <x:f>IF($A213="","",INDEX(대장!$A$1:$A$501,$A213))</x:f>
        <x:v>#NAME?</x:v>
      </x:c>
      <x:c r="C213" s="46" t="e">
        <x:f>IFERROR(IF($A213="","",INDEX(대장!$F$1:$F$501,$A213)),"")</x:f>
        <x:v>#NAME?</x:v>
      </x:c>
      <x:c r="D213" s="46" t="e">
        <x:f>IFERROR(IF($A213="","",INDEX(대장!$G$1:$G$501,$A213)),"")</x:f>
        <x:v>#NAME?</x:v>
      </x:c>
      <x:c r="E213" t="e">
        <x:f>IF($A213="","",IF(NOT(ISNUMBER(INDEX(대장!$F$1:$F$501,$A213))),"확인 필요",IF(AND(INDEX(대장!$G$1:$G$501,$A213)&lt;&gt;"",NOT(ISNUMBER(INDEX(대장!$G$1:$G$501,$A213)))),"확인 필요",IF(AND(ISNUMBER(INDEX(대장!$G$1:$G$501,$A213)),INDEX(대장!$G$1:$G$501,$A213)&lt;INDEX(대장!$F$1:$F$501,$A213)),"확인 필요",IF(INDEX(대장!$L$1:$L$501,$A213)&lt;&gt;"","메모 있음","정상")))))</x:f>
        <x:v>#NAME?</x:v>
      </x:c>
      <x:c r="F213" t="e">
        <x:f>IF($A213="","",IF($E213="확인 필요","시작일·종료일과 기간 순서를 확인해 주세요.",IF($E213="메모 있음",IFERROR(INDEX(대장!$L$1:$L$501,$A213),""),"")))</x:f>
        <x:v>#NAME?</x:v>
      </x:c>
    </x:row>
    <x:row r="214">
      <x:c r="A214" t="e">
        <x:f>IF(INDEX(대장!$A$1:$A$501,ROW()-2)="","",ROW()-2)</x:f>
        <x:v>#NAME?</x:v>
      </x:c>
      <x:c r="B214" t="e">
        <x:f>IF($A214="","",INDEX(대장!$A$1:$A$501,$A214))</x:f>
        <x:v>#NAME?</x:v>
      </x:c>
      <x:c r="C214" s="46" t="e">
        <x:f>IFERROR(IF($A214="","",INDEX(대장!$F$1:$F$501,$A214)),"")</x:f>
        <x:v>#NAME?</x:v>
      </x:c>
      <x:c r="D214" s="46" t="e">
        <x:f>IFERROR(IF($A214="","",INDEX(대장!$G$1:$G$501,$A214)),"")</x:f>
        <x:v>#NAME?</x:v>
      </x:c>
      <x:c r="E214" t="e">
        <x:f>IF($A214="","",IF(NOT(ISNUMBER(INDEX(대장!$F$1:$F$501,$A214))),"확인 필요",IF(AND(INDEX(대장!$G$1:$G$501,$A214)&lt;&gt;"",NOT(ISNUMBER(INDEX(대장!$G$1:$G$501,$A214)))),"확인 필요",IF(AND(ISNUMBER(INDEX(대장!$G$1:$G$501,$A214)),INDEX(대장!$G$1:$G$501,$A214)&lt;INDEX(대장!$F$1:$F$501,$A214)),"확인 필요",IF(INDEX(대장!$L$1:$L$501,$A214)&lt;&gt;"","메모 있음","정상")))))</x:f>
        <x:v>#NAME?</x:v>
      </x:c>
      <x:c r="F214" t="e">
        <x:f>IF($A214="","",IF($E214="확인 필요","시작일·종료일과 기간 순서를 확인해 주세요.",IF($E214="메모 있음",IFERROR(INDEX(대장!$L$1:$L$501,$A214),""),"")))</x:f>
        <x:v>#NAME?</x:v>
      </x:c>
    </x:row>
    <x:row r="215">
      <x:c r="A215" t="e">
        <x:f>IF(INDEX(대장!$A$1:$A$501,ROW()-2)="","",ROW()-2)</x:f>
        <x:v>#NAME?</x:v>
      </x:c>
      <x:c r="B215" t="e">
        <x:f>IF($A215="","",INDEX(대장!$A$1:$A$501,$A215))</x:f>
        <x:v>#NAME?</x:v>
      </x:c>
      <x:c r="C215" s="46" t="e">
        <x:f>IFERROR(IF($A215="","",INDEX(대장!$F$1:$F$501,$A215)),"")</x:f>
        <x:v>#NAME?</x:v>
      </x:c>
      <x:c r="D215" s="46" t="e">
        <x:f>IFERROR(IF($A215="","",INDEX(대장!$G$1:$G$501,$A215)),"")</x:f>
        <x:v>#NAME?</x:v>
      </x:c>
      <x:c r="E215" t="e">
        <x:f>IF($A215="","",IF(NOT(ISNUMBER(INDEX(대장!$F$1:$F$501,$A215))),"확인 필요",IF(AND(INDEX(대장!$G$1:$G$501,$A215)&lt;&gt;"",NOT(ISNUMBER(INDEX(대장!$G$1:$G$501,$A215)))),"확인 필요",IF(AND(ISNUMBER(INDEX(대장!$G$1:$G$501,$A215)),INDEX(대장!$G$1:$G$501,$A215)&lt;INDEX(대장!$F$1:$F$501,$A215)),"확인 필요",IF(INDEX(대장!$L$1:$L$501,$A215)&lt;&gt;"","메모 있음","정상")))))</x:f>
        <x:v>#NAME?</x:v>
      </x:c>
      <x:c r="F215" t="e">
        <x:f>IF($A215="","",IF($E215="확인 필요","시작일·종료일과 기간 순서를 확인해 주세요.",IF($E215="메모 있음",IFERROR(INDEX(대장!$L$1:$L$501,$A215),""),"")))</x:f>
        <x:v>#NAME?</x:v>
      </x:c>
    </x:row>
    <x:row r="216">
      <x:c r="A216" t="e">
        <x:f>IF(INDEX(대장!$A$1:$A$501,ROW()-2)="","",ROW()-2)</x:f>
        <x:v>#NAME?</x:v>
      </x:c>
      <x:c r="B216" t="e">
        <x:f>IF($A216="","",INDEX(대장!$A$1:$A$501,$A216))</x:f>
        <x:v>#NAME?</x:v>
      </x:c>
      <x:c r="C216" s="46" t="e">
        <x:f>IFERROR(IF($A216="","",INDEX(대장!$F$1:$F$501,$A216)),"")</x:f>
        <x:v>#NAME?</x:v>
      </x:c>
      <x:c r="D216" s="46" t="e">
        <x:f>IFERROR(IF($A216="","",INDEX(대장!$G$1:$G$501,$A216)),"")</x:f>
        <x:v>#NAME?</x:v>
      </x:c>
      <x:c r="E216" t="e">
        <x:f>IF($A216="","",IF(NOT(ISNUMBER(INDEX(대장!$F$1:$F$501,$A216))),"확인 필요",IF(AND(INDEX(대장!$G$1:$G$501,$A216)&lt;&gt;"",NOT(ISNUMBER(INDEX(대장!$G$1:$G$501,$A216)))),"확인 필요",IF(AND(ISNUMBER(INDEX(대장!$G$1:$G$501,$A216)),INDEX(대장!$G$1:$G$501,$A216)&lt;INDEX(대장!$F$1:$F$501,$A216)),"확인 필요",IF(INDEX(대장!$L$1:$L$501,$A216)&lt;&gt;"","메모 있음","정상")))))</x:f>
        <x:v>#NAME?</x:v>
      </x:c>
      <x:c r="F216" t="e">
        <x:f>IF($A216="","",IF($E216="확인 필요","시작일·종료일과 기간 순서를 확인해 주세요.",IF($E216="메모 있음",IFERROR(INDEX(대장!$L$1:$L$501,$A216),""),"")))</x:f>
        <x:v>#NAME?</x:v>
      </x:c>
    </x:row>
    <x:row r="217">
      <x:c r="A217" t="e">
        <x:f>IF(INDEX(대장!$A$1:$A$501,ROW()-2)="","",ROW()-2)</x:f>
        <x:v>#NAME?</x:v>
      </x:c>
      <x:c r="B217" t="e">
        <x:f>IF($A217="","",INDEX(대장!$A$1:$A$501,$A217))</x:f>
        <x:v>#NAME?</x:v>
      </x:c>
      <x:c r="C217" s="46" t="e">
        <x:f>IFERROR(IF($A217="","",INDEX(대장!$F$1:$F$501,$A217)),"")</x:f>
        <x:v>#NAME?</x:v>
      </x:c>
      <x:c r="D217" s="46" t="e">
        <x:f>IFERROR(IF($A217="","",INDEX(대장!$G$1:$G$501,$A217)),"")</x:f>
        <x:v>#NAME?</x:v>
      </x:c>
      <x:c r="E217" t="e">
        <x:f>IF($A217="","",IF(NOT(ISNUMBER(INDEX(대장!$F$1:$F$501,$A217))),"확인 필요",IF(AND(INDEX(대장!$G$1:$G$501,$A217)&lt;&gt;"",NOT(ISNUMBER(INDEX(대장!$G$1:$G$501,$A217)))),"확인 필요",IF(AND(ISNUMBER(INDEX(대장!$G$1:$G$501,$A217)),INDEX(대장!$G$1:$G$501,$A217)&lt;INDEX(대장!$F$1:$F$501,$A217)),"확인 필요",IF(INDEX(대장!$L$1:$L$501,$A217)&lt;&gt;"","메모 있음","정상")))))</x:f>
        <x:v>#NAME?</x:v>
      </x:c>
      <x:c r="F217" t="e">
        <x:f>IF($A217="","",IF($E217="확인 필요","시작일·종료일과 기간 순서를 확인해 주세요.",IF($E217="메모 있음",IFERROR(INDEX(대장!$L$1:$L$501,$A217),""),"")))</x:f>
        <x:v>#NAME?</x:v>
      </x:c>
    </x:row>
    <x:row r="218">
      <x:c r="A218" t="e">
        <x:f>IF(INDEX(대장!$A$1:$A$501,ROW()-2)="","",ROW()-2)</x:f>
        <x:v>#NAME?</x:v>
      </x:c>
      <x:c r="B218" t="e">
        <x:f>IF($A218="","",INDEX(대장!$A$1:$A$501,$A218))</x:f>
        <x:v>#NAME?</x:v>
      </x:c>
      <x:c r="C218" s="46" t="e">
        <x:f>IFERROR(IF($A218="","",INDEX(대장!$F$1:$F$501,$A218)),"")</x:f>
        <x:v>#NAME?</x:v>
      </x:c>
      <x:c r="D218" s="46" t="e">
        <x:f>IFERROR(IF($A218="","",INDEX(대장!$G$1:$G$501,$A218)),"")</x:f>
        <x:v>#NAME?</x:v>
      </x:c>
      <x:c r="E218" t="e">
        <x:f>IF($A218="","",IF(NOT(ISNUMBER(INDEX(대장!$F$1:$F$501,$A218))),"확인 필요",IF(AND(INDEX(대장!$G$1:$G$501,$A218)&lt;&gt;"",NOT(ISNUMBER(INDEX(대장!$G$1:$G$501,$A218)))),"확인 필요",IF(AND(ISNUMBER(INDEX(대장!$G$1:$G$501,$A218)),INDEX(대장!$G$1:$G$501,$A218)&lt;INDEX(대장!$F$1:$F$501,$A218)),"확인 필요",IF(INDEX(대장!$L$1:$L$501,$A218)&lt;&gt;"","메모 있음","정상")))))</x:f>
        <x:v>#NAME?</x:v>
      </x:c>
      <x:c r="F218" t="e">
        <x:f>IF($A218="","",IF($E218="확인 필요","시작일·종료일과 기간 순서를 확인해 주세요.",IF($E218="메모 있음",IFERROR(INDEX(대장!$L$1:$L$501,$A218),""),"")))</x:f>
        <x:v>#NAME?</x:v>
      </x:c>
    </x:row>
    <x:row r="219">
      <x:c r="A219" t="e">
        <x:f>IF(INDEX(대장!$A$1:$A$501,ROW()-2)="","",ROW()-2)</x:f>
        <x:v>#NAME?</x:v>
      </x:c>
      <x:c r="B219" t="e">
        <x:f>IF($A219="","",INDEX(대장!$A$1:$A$501,$A219))</x:f>
        <x:v>#NAME?</x:v>
      </x:c>
      <x:c r="C219" s="46" t="e">
        <x:f>IFERROR(IF($A219="","",INDEX(대장!$F$1:$F$501,$A219)),"")</x:f>
        <x:v>#NAME?</x:v>
      </x:c>
      <x:c r="D219" s="46" t="e">
        <x:f>IFERROR(IF($A219="","",INDEX(대장!$G$1:$G$501,$A219)),"")</x:f>
        <x:v>#NAME?</x:v>
      </x:c>
      <x:c r="E219" t="e">
        <x:f>IF($A219="","",IF(NOT(ISNUMBER(INDEX(대장!$F$1:$F$501,$A219))),"확인 필요",IF(AND(INDEX(대장!$G$1:$G$501,$A219)&lt;&gt;"",NOT(ISNUMBER(INDEX(대장!$G$1:$G$501,$A219)))),"확인 필요",IF(AND(ISNUMBER(INDEX(대장!$G$1:$G$501,$A219)),INDEX(대장!$G$1:$G$501,$A219)&lt;INDEX(대장!$F$1:$F$501,$A219)),"확인 필요",IF(INDEX(대장!$L$1:$L$501,$A219)&lt;&gt;"","메모 있음","정상")))))</x:f>
        <x:v>#NAME?</x:v>
      </x:c>
      <x:c r="F219" t="e">
        <x:f>IF($A219="","",IF($E219="확인 필요","시작일·종료일과 기간 순서를 확인해 주세요.",IF($E219="메모 있음",IFERROR(INDEX(대장!$L$1:$L$501,$A219),""),"")))</x:f>
        <x:v>#NAME?</x:v>
      </x:c>
    </x:row>
    <x:row r="220">
      <x:c r="A220" t="e">
        <x:f>IF(INDEX(대장!$A$1:$A$501,ROW()-2)="","",ROW()-2)</x:f>
        <x:v>#NAME?</x:v>
      </x:c>
      <x:c r="B220" t="e">
        <x:f>IF($A220="","",INDEX(대장!$A$1:$A$501,$A220))</x:f>
        <x:v>#NAME?</x:v>
      </x:c>
      <x:c r="C220" s="46" t="e">
        <x:f>IFERROR(IF($A220="","",INDEX(대장!$F$1:$F$501,$A220)),"")</x:f>
        <x:v>#NAME?</x:v>
      </x:c>
      <x:c r="D220" s="46" t="e">
        <x:f>IFERROR(IF($A220="","",INDEX(대장!$G$1:$G$501,$A220)),"")</x:f>
        <x:v>#NAME?</x:v>
      </x:c>
      <x:c r="E220" t="e">
        <x:f>IF($A220="","",IF(NOT(ISNUMBER(INDEX(대장!$F$1:$F$501,$A220))),"확인 필요",IF(AND(INDEX(대장!$G$1:$G$501,$A220)&lt;&gt;"",NOT(ISNUMBER(INDEX(대장!$G$1:$G$501,$A220)))),"확인 필요",IF(AND(ISNUMBER(INDEX(대장!$G$1:$G$501,$A220)),INDEX(대장!$G$1:$G$501,$A220)&lt;INDEX(대장!$F$1:$F$501,$A220)),"확인 필요",IF(INDEX(대장!$L$1:$L$501,$A220)&lt;&gt;"","메모 있음","정상")))))</x:f>
        <x:v>#NAME?</x:v>
      </x:c>
      <x:c r="F220" t="e">
        <x:f>IF($A220="","",IF($E220="확인 필요","시작일·종료일과 기간 순서를 확인해 주세요.",IF($E220="메모 있음",IFERROR(INDEX(대장!$L$1:$L$501,$A220),""),"")))</x:f>
        <x:v>#NAME?</x:v>
      </x:c>
    </x:row>
    <x:row r="221">
      <x:c r="A221" t="e">
        <x:f>IF(INDEX(대장!$A$1:$A$501,ROW()-2)="","",ROW()-2)</x:f>
        <x:v>#NAME?</x:v>
      </x:c>
      <x:c r="B221" t="e">
        <x:f>IF($A221="","",INDEX(대장!$A$1:$A$501,$A221))</x:f>
        <x:v>#NAME?</x:v>
      </x:c>
      <x:c r="C221" s="46" t="e">
        <x:f>IFERROR(IF($A221="","",INDEX(대장!$F$1:$F$501,$A221)),"")</x:f>
        <x:v>#NAME?</x:v>
      </x:c>
      <x:c r="D221" s="46" t="e">
        <x:f>IFERROR(IF($A221="","",INDEX(대장!$G$1:$G$501,$A221)),"")</x:f>
        <x:v>#NAME?</x:v>
      </x:c>
      <x:c r="E221" t="e">
        <x:f>IF($A221="","",IF(NOT(ISNUMBER(INDEX(대장!$F$1:$F$501,$A221))),"확인 필요",IF(AND(INDEX(대장!$G$1:$G$501,$A221)&lt;&gt;"",NOT(ISNUMBER(INDEX(대장!$G$1:$G$501,$A221)))),"확인 필요",IF(AND(ISNUMBER(INDEX(대장!$G$1:$G$501,$A221)),INDEX(대장!$G$1:$G$501,$A221)&lt;INDEX(대장!$F$1:$F$501,$A221)),"확인 필요",IF(INDEX(대장!$L$1:$L$501,$A221)&lt;&gt;"","메모 있음","정상")))))</x:f>
        <x:v>#NAME?</x:v>
      </x:c>
      <x:c r="F221" t="e">
        <x:f>IF($A221="","",IF($E221="확인 필요","시작일·종료일과 기간 순서를 확인해 주세요.",IF($E221="메모 있음",IFERROR(INDEX(대장!$L$1:$L$501,$A221),""),"")))</x:f>
        <x:v>#NAME?</x:v>
      </x:c>
    </x:row>
    <x:row r="222">
      <x:c r="A222" t="e">
        <x:f>IF(INDEX(대장!$A$1:$A$501,ROW()-2)="","",ROW()-2)</x:f>
        <x:v>#NAME?</x:v>
      </x:c>
      <x:c r="B222" t="e">
        <x:f>IF($A222="","",INDEX(대장!$A$1:$A$501,$A222))</x:f>
        <x:v>#NAME?</x:v>
      </x:c>
      <x:c r="C222" s="46" t="e">
        <x:f>IFERROR(IF($A222="","",INDEX(대장!$F$1:$F$501,$A222)),"")</x:f>
        <x:v>#NAME?</x:v>
      </x:c>
      <x:c r="D222" s="46" t="e">
        <x:f>IFERROR(IF($A222="","",INDEX(대장!$G$1:$G$501,$A222)),"")</x:f>
        <x:v>#NAME?</x:v>
      </x:c>
      <x:c r="E222" t="e">
        <x:f>IF($A222="","",IF(NOT(ISNUMBER(INDEX(대장!$F$1:$F$501,$A222))),"확인 필요",IF(AND(INDEX(대장!$G$1:$G$501,$A222)&lt;&gt;"",NOT(ISNUMBER(INDEX(대장!$G$1:$G$501,$A222)))),"확인 필요",IF(AND(ISNUMBER(INDEX(대장!$G$1:$G$501,$A222)),INDEX(대장!$G$1:$G$501,$A222)&lt;INDEX(대장!$F$1:$F$501,$A222)),"확인 필요",IF(INDEX(대장!$L$1:$L$501,$A222)&lt;&gt;"","메모 있음","정상")))))</x:f>
        <x:v>#NAME?</x:v>
      </x:c>
      <x:c r="F222" t="e">
        <x:f>IF($A222="","",IF($E222="확인 필요","시작일·종료일과 기간 순서를 확인해 주세요.",IF($E222="메모 있음",IFERROR(INDEX(대장!$L$1:$L$501,$A222),""),"")))</x:f>
        <x:v>#NAME?</x:v>
      </x:c>
    </x:row>
    <x:row r="223">
      <x:c r="A223" t="e">
        <x:f>IF(INDEX(대장!$A$1:$A$501,ROW()-2)="","",ROW()-2)</x:f>
        <x:v>#NAME?</x:v>
      </x:c>
      <x:c r="B223" t="e">
        <x:f>IF($A223="","",INDEX(대장!$A$1:$A$501,$A223))</x:f>
        <x:v>#NAME?</x:v>
      </x:c>
      <x:c r="C223" s="46" t="e">
        <x:f>IFERROR(IF($A223="","",INDEX(대장!$F$1:$F$501,$A223)),"")</x:f>
        <x:v>#NAME?</x:v>
      </x:c>
      <x:c r="D223" s="46" t="e">
        <x:f>IFERROR(IF($A223="","",INDEX(대장!$G$1:$G$501,$A223)),"")</x:f>
        <x:v>#NAME?</x:v>
      </x:c>
      <x:c r="E223" t="e">
        <x:f>IF($A223="","",IF(NOT(ISNUMBER(INDEX(대장!$F$1:$F$501,$A223))),"확인 필요",IF(AND(INDEX(대장!$G$1:$G$501,$A223)&lt;&gt;"",NOT(ISNUMBER(INDEX(대장!$G$1:$G$501,$A223)))),"확인 필요",IF(AND(ISNUMBER(INDEX(대장!$G$1:$G$501,$A223)),INDEX(대장!$G$1:$G$501,$A223)&lt;INDEX(대장!$F$1:$F$501,$A223)),"확인 필요",IF(INDEX(대장!$L$1:$L$501,$A223)&lt;&gt;"","메모 있음","정상")))))</x:f>
        <x:v>#NAME?</x:v>
      </x:c>
      <x:c r="F223" t="e">
        <x:f>IF($A223="","",IF($E223="확인 필요","시작일·종료일과 기간 순서를 확인해 주세요.",IF($E223="메모 있음",IFERROR(INDEX(대장!$L$1:$L$501,$A223),""),"")))</x:f>
        <x:v>#NAME?</x:v>
      </x:c>
    </x:row>
    <x:row r="224">
      <x:c r="A224" t="e">
        <x:f>IF(INDEX(대장!$A$1:$A$501,ROW()-2)="","",ROW()-2)</x:f>
        <x:v>#NAME?</x:v>
      </x:c>
      <x:c r="B224" t="e">
        <x:f>IF($A224="","",INDEX(대장!$A$1:$A$501,$A224))</x:f>
        <x:v>#NAME?</x:v>
      </x:c>
      <x:c r="C224" s="46" t="e">
        <x:f>IFERROR(IF($A224="","",INDEX(대장!$F$1:$F$501,$A224)),"")</x:f>
        <x:v>#NAME?</x:v>
      </x:c>
      <x:c r="D224" s="46" t="e">
        <x:f>IFERROR(IF($A224="","",INDEX(대장!$G$1:$G$501,$A224)),"")</x:f>
        <x:v>#NAME?</x:v>
      </x:c>
      <x:c r="E224" t="e">
        <x:f>IF($A224="","",IF(NOT(ISNUMBER(INDEX(대장!$F$1:$F$501,$A224))),"확인 필요",IF(AND(INDEX(대장!$G$1:$G$501,$A224)&lt;&gt;"",NOT(ISNUMBER(INDEX(대장!$G$1:$G$501,$A224)))),"확인 필요",IF(AND(ISNUMBER(INDEX(대장!$G$1:$G$501,$A224)),INDEX(대장!$G$1:$G$501,$A224)&lt;INDEX(대장!$F$1:$F$501,$A224)),"확인 필요",IF(INDEX(대장!$L$1:$L$501,$A224)&lt;&gt;"","메모 있음","정상")))))</x:f>
        <x:v>#NAME?</x:v>
      </x:c>
      <x:c r="F224" t="e">
        <x:f>IF($A224="","",IF($E224="확인 필요","시작일·종료일과 기간 순서를 확인해 주세요.",IF($E224="메모 있음",IFERROR(INDEX(대장!$L$1:$L$501,$A224),""),"")))</x:f>
        <x:v>#NAME?</x:v>
      </x:c>
    </x:row>
    <x:row r="225">
      <x:c r="A225" t="e">
        <x:f>IF(INDEX(대장!$A$1:$A$501,ROW()-2)="","",ROW()-2)</x:f>
        <x:v>#NAME?</x:v>
      </x:c>
      <x:c r="B225" t="e">
        <x:f>IF($A225="","",INDEX(대장!$A$1:$A$501,$A225))</x:f>
        <x:v>#NAME?</x:v>
      </x:c>
      <x:c r="C225" s="46" t="e">
        <x:f>IFERROR(IF($A225="","",INDEX(대장!$F$1:$F$501,$A225)),"")</x:f>
        <x:v>#NAME?</x:v>
      </x:c>
      <x:c r="D225" s="46" t="e">
        <x:f>IFERROR(IF($A225="","",INDEX(대장!$G$1:$G$501,$A225)),"")</x:f>
        <x:v>#NAME?</x:v>
      </x:c>
      <x:c r="E225" t="e">
        <x:f>IF($A225="","",IF(NOT(ISNUMBER(INDEX(대장!$F$1:$F$501,$A225))),"확인 필요",IF(AND(INDEX(대장!$G$1:$G$501,$A225)&lt;&gt;"",NOT(ISNUMBER(INDEX(대장!$G$1:$G$501,$A225)))),"확인 필요",IF(AND(ISNUMBER(INDEX(대장!$G$1:$G$501,$A225)),INDEX(대장!$G$1:$G$501,$A225)&lt;INDEX(대장!$F$1:$F$501,$A225)),"확인 필요",IF(INDEX(대장!$L$1:$L$501,$A225)&lt;&gt;"","메모 있음","정상")))))</x:f>
        <x:v>#NAME?</x:v>
      </x:c>
      <x:c r="F225" t="e">
        <x:f>IF($A225="","",IF($E225="확인 필요","시작일·종료일과 기간 순서를 확인해 주세요.",IF($E225="메모 있음",IFERROR(INDEX(대장!$L$1:$L$501,$A225),""),"")))</x:f>
        <x:v>#NAME?</x:v>
      </x:c>
    </x:row>
    <x:row r="226">
      <x:c r="A226" t="e">
        <x:f>IF(INDEX(대장!$A$1:$A$501,ROW()-2)="","",ROW()-2)</x:f>
        <x:v>#NAME?</x:v>
      </x:c>
      <x:c r="B226" t="e">
        <x:f>IF($A226="","",INDEX(대장!$A$1:$A$501,$A226))</x:f>
        <x:v>#NAME?</x:v>
      </x:c>
      <x:c r="C226" s="46" t="e">
        <x:f>IFERROR(IF($A226="","",INDEX(대장!$F$1:$F$501,$A226)),"")</x:f>
        <x:v>#NAME?</x:v>
      </x:c>
      <x:c r="D226" s="46" t="e">
        <x:f>IFERROR(IF($A226="","",INDEX(대장!$G$1:$G$501,$A226)),"")</x:f>
        <x:v>#NAME?</x:v>
      </x:c>
      <x:c r="E226" t="e">
        <x:f>IF($A226="","",IF(NOT(ISNUMBER(INDEX(대장!$F$1:$F$501,$A226))),"확인 필요",IF(AND(INDEX(대장!$G$1:$G$501,$A226)&lt;&gt;"",NOT(ISNUMBER(INDEX(대장!$G$1:$G$501,$A226)))),"확인 필요",IF(AND(ISNUMBER(INDEX(대장!$G$1:$G$501,$A226)),INDEX(대장!$G$1:$G$501,$A226)&lt;INDEX(대장!$F$1:$F$501,$A226)),"확인 필요",IF(INDEX(대장!$L$1:$L$501,$A226)&lt;&gt;"","메모 있음","정상")))))</x:f>
        <x:v>#NAME?</x:v>
      </x:c>
      <x:c r="F226" t="e">
        <x:f>IF($A226="","",IF($E226="확인 필요","시작일·종료일과 기간 순서를 확인해 주세요.",IF($E226="메모 있음",IFERROR(INDEX(대장!$L$1:$L$501,$A226),""),"")))</x:f>
        <x:v>#NAME?</x:v>
      </x:c>
    </x:row>
    <x:row r="227">
      <x:c r="A227" t="e">
        <x:f>IF(INDEX(대장!$A$1:$A$501,ROW()-2)="","",ROW()-2)</x:f>
        <x:v>#NAME?</x:v>
      </x:c>
      <x:c r="B227" t="e">
        <x:f>IF($A227="","",INDEX(대장!$A$1:$A$501,$A227))</x:f>
        <x:v>#NAME?</x:v>
      </x:c>
      <x:c r="C227" s="46" t="e">
        <x:f>IFERROR(IF($A227="","",INDEX(대장!$F$1:$F$501,$A227)),"")</x:f>
        <x:v>#NAME?</x:v>
      </x:c>
      <x:c r="D227" s="46" t="e">
        <x:f>IFERROR(IF($A227="","",INDEX(대장!$G$1:$G$501,$A227)),"")</x:f>
        <x:v>#NAME?</x:v>
      </x:c>
      <x:c r="E227" t="e">
        <x:f>IF($A227="","",IF(NOT(ISNUMBER(INDEX(대장!$F$1:$F$501,$A227))),"확인 필요",IF(AND(INDEX(대장!$G$1:$G$501,$A227)&lt;&gt;"",NOT(ISNUMBER(INDEX(대장!$G$1:$G$501,$A227)))),"확인 필요",IF(AND(ISNUMBER(INDEX(대장!$G$1:$G$501,$A227)),INDEX(대장!$G$1:$G$501,$A227)&lt;INDEX(대장!$F$1:$F$501,$A227)),"확인 필요",IF(INDEX(대장!$L$1:$L$501,$A227)&lt;&gt;"","메모 있음","정상")))))</x:f>
        <x:v>#NAME?</x:v>
      </x:c>
      <x:c r="F227" t="e">
        <x:f>IF($A227="","",IF($E227="확인 필요","시작일·종료일과 기간 순서를 확인해 주세요.",IF($E227="메모 있음",IFERROR(INDEX(대장!$L$1:$L$501,$A227),""),"")))</x:f>
        <x:v>#NAME?</x:v>
      </x:c>
    </x:row>
    <x:row r="228">
      <x:c r="A228" t="e">
        <x:f>IF(INDEX(대장!$A$1:$A$501,ROW()-2)="","",ROW()-2)</x:f>
        <x:v>#NAME?</x:v>
      </x:c>
      <x:c r="B228" t="e">
        <x:f>IF($A228="","",INDEX(대장!$A$1:$A$501,$A228))</x:f>
        <x:v>#NAME?</x:v>
      </x:c>
      <x:c r="C228" s="46" t="e">
        <x:f>IFERROR(IF($A228="","",INDEX(대장!$F$1:$F$501,$A228)),"")</x:f>
        <x:v>#NAME?</x:v>
      </x:c>
      <x:c r="D228" s="46" t="e">
        <x:f>IFERROR(IF($A228="","",INDEX(대장!$G$1:$G$501,$A228)),"")</x:f>
        <x:v>#NAME?</x:v>
      </x:c>
      <x:c r="E228" t="e">
        <x:f>IF($A228="","",IF(NOT(ISNUMBER(INDEX(대장!$F$1:$F$501,$A228))),"확인 필요",IF(AND(INDEX(대장!$G$1:$G$501,$A228)&lt;&gt;"",NOT(ISNUMBER(INDEX(대장!$G$1:$G$501,$A228)))),"확인 필요",IF(AND(ISNUMBER(INDEX(대장!$G$1:$G$501,$A228)),INDEX(대장!$G$1:$G$501,$A228)&lt;INDEX(대장!$F$1:$F$501,$A228)),"확인 필요",IF(INDEX(대장!$L$1:$L$501,$A228)&lt;&gt;"","메모 있음","정상")))))</x:f>
        <x:v>#NAME?</x:v>
      </x:c>
      <x:c r="F228" t="e">
        <x:f>IF($A228="","",IF($E228="확인 필요","시작일·종료일과 기간 순서를 확인해 주세요.",IF($E228="메모 있음",IFERROR(INDEX(대장!$L$1:$L$501,$A228),""),"")))</x:f>
        <x:v>#NAME?</x:v>
      </x:c>
    </x:row>
    <x:row r="229">
      <x:c r="A229" t="e">
        <x:f>IF(INDEX(대장!$A$1:$A$501,ROW()-2)="","",ROW()-2)</x:f>
        <x:v>#NAME?</x:v>
      </x:c>
      <x:c r="B229" t="e">
        <x:f>IF($A229="","",INDEX(대장!$A$1:$A$501,$A229))</x:f>
        <x:v>#NAME?</x:v>
      </x:c>
      <x:c r="C229" s="46" t="e">
        <x:f>IFERROR(IF($A229="","",INDEX(대장!$F$1:$F$501,$A229)),"")</x:f>
        <x:v>#NAME?</x:v>
      </x:c>
      <x:c r="D229" s="46" t="e">
        <x:f>IFERROR(IF($A229="","",INDEX(대장!$G$1:$G$501,$A229)),"")</x:f>
        <x:v>#NAME?</x:v>
      </x:c>
      <x:c r="E229" t="e">
        <x:f>IF($A229="","",IF(NOT(ISNUMBER(INDEX(대장!$F$1:$F$501,$A229))),"확인 필요",IF(AND(INDEX(대장!$G$1:$G$501,$A229)&lt;&gt;"",NOT(ISNUMBER(INDEX(대장!$G$1:$G$501,$A229)))),"확인 필요",IF(AND(ISNUMBER(INDEX(대장!$G$1:$G$501,$A229)),INDEX(대장!$G$1:$G$501,$A229)&lt;INDEX(대장!$F$1:$F$501,$A229)),"확인 필요",IF(INDEX(대장!$L$1:$L$501,$A229)&lt;&gt;"","메모 있음","정상")))))</x:f>
        <x:v>#NAME?</x:v>
      </x:c>
      <x:c r="F229" t="e">
        <x:f>IF($A229="","",IF($E229="확인 필요","시작일·종료일과 기간 순서를 확인해 주세요.",IF($E229="메모 있음",IFERROR(INDEX(대장!$L$1:$L$501,$A229),""),"")))</x:f>
        <x:v>#NAME?</x:v>
      </x:c>
    </x:row>
    <x:row r="230">
      <x:c r="A230" t="e">
        <x:f>IF(INDEX(대장!$A$1:$A$501,ROW()-2)="","",ROW()-2)</x:f>
        <x:v>#NAME?</x:v>
      </x:c>
      <x:c r="B230" t="e">
        <x:f>IF($A230="","",INDEX(대장!$A$1:$A$501,$A230))</x:f>
        <x:v>#NAME?</x:v>
      </x:c>
      <x:c r="C230" s="46" t="e">
        <x:f>IFERROR(IF($A230="","",INDEX(대장!$F$1:$F$501,$A230)),"")</x:f>
        <x:v>#NAME?</x:v>
      </x:c>
      <x:c r="D230" s="46" t="e">
        <x:f>IFERROR(IF($A230="","",INDEX(대장!$G$1:$G$501,$A230)),"")</x:f>
        <x:v>#NAME?</x:v>
      </x:c>
      <x:c r="E230" t="e">
        <x:f>IF($A230="","",IF(NOT(ISNUMBER(INDEX(대장!$F$1:$F$501,$A230))),"확인 필요",IF(AND(INDEX(대장!$G$1:$G$501,$A230)&lt;&gt;"",NOT(ISNUMBER(INDEX(대장!$G$1:$G$501,$A230)))),"확인 필요",IF(AND(ISNUMBER(INDEX(대장!$G$1:$G$501,$A230)),INDEX(대장!$G$1:$G$501,$A230)&lt;INDEX(대장!$F$1:$F$501,$A230)),"확인 필요",IF(INDEX(대장!$L$1:$L$501,$A230)&lt;&gt;"","메모 있음","정상")))))</x:f>
        <x:v>#NAME?</x:v>
      </x:c>
      <x:c r="F230" t="e">
        <x:f>IF($A230="","",IF($E230="확인 필요","시작일·종료일과 기간 순서를 확인해 주세요.",IF($E230="메모 있음",IFERROR(INDEX(대장!$L$1:$L$501,$A230),""),"")))</x:f>
        <x:v>#NAME?</x:v>
      </x:c>
    </x:row>
    <x:row r="231">
      <x:c r="A231" t="e">
        <x:f>IF(INDEX(대장!$A$1:$A$501,ROW()-2)="","",ROW()-2)</x:f>
        <x:v>#NAME?</x:v>
      </x:c>
      <x:c r="B231" t="e">
        <x:f>IF($A231="","",INDEX(대장!$A$1:$A$501,$A231))</x:f>
        <x:v>#NAME?</x:v>
      </x:c>
      <x:c r="C231" s="46" t="e">
        <x:f>IFERROR(IF($A231="","",INDEX(대장!$F$1:$F$501,$A231)),"")</x:f>
        <x:v>#NAME?</x:v>
      </x:c>
      <x:c r="D231" s="46" t="e">
        <x:f>IFERROR(IF($A231="","",INDEX(대장!$G$1:$G$501,$A231)),"")</x:f>
        <x:v>#NAME?</x:v>
      </x:c>
      <x:c r="E231" t="e">
        <x:f>IF($A231="","",IF(NOT(ISNUMBER(INDEX(대장!$F$1:$F$501,$A231))),"확인 필요",IF(AND(INDEX(대장!$G$1:$G$501,$A231)&lt;&gt;"",NOT(ISNUMBER(INDEX(대장!$G$1:$G$501,$A231)))),"확인 필요",IF(AND(ISNUMBER(INDEX(대장!$G$1:$G$501,$A231)),INDEX(대장!$G$1:$G$501,$A231)&lt;INDEX(대장!$F$1:$F$501,$A231)),"확인 필요",IF(INDEX(대장!$L$1:$L$501,$A231)&lt;&gt;"","메모 있음","정상")))))</x:f>
        <x:v>#NAME?</x:v>
      </x:c>
      <x:c r="F231" t="e">
        <x:f>IF($A231="","",IF($E231="확인 필요","시작일·종료일과 기간 순서를 확인해 주세요.",IF($E231="메모 있음",IFERROR(INDEX(대장!$L$1:$L$501,$A231),""),"")))</x:f>
        <x:v>#NAME?</x:v>
      </x:c>
    </x:row>
    <x:row r="232">
      <x:c r="A232" t="e">
        <x:f>IF(INDEX(대장!$A$1:$A$501,ROW()-2)="","",ROW()-2)</x:f>
        <x:v>#NAME?</x:v>
      </x:c>
      <x:c r="B232" t="e">
        <x:f>IF($A232="","",INDEX(대장!$A$1:$A$501,$A232))</x:f>
        <x:v>#NAME?</x:v>
      </x:c>
      <x:c r="C232" s="46" t="e">
        <x:f>IFERROR(IF($A232="","",INDEX(대장!$F$1:$F$501,$A232)),"")</x:f>
        <x:v>#NAME?</x:v>
      </x:c>
      <x:c r="D232" s="46" t="e">
        <x:f>IFERROR(IF($A232="","",INDEX(대장!$G$1:$G$501,$A232)),"")</x:f>
        <x:v>#NAME?</x:v>
      </x:c>
      <x:c r="E232" t="e">
        <x:f>IF($A232="","",IF(NOT(ISNUMBER(INDEX(대장!$F$1:$F$501,$A232))),"확인 필요",IF(AND(INDEX(대장!$G$1:$G$501,$A232)&lt;&gt;"",NOT(ISNUMBER(INDEX(대장!$G$1:$G$501,$A232)))),"확인 필요",IF(AND(ISNUMBER(INDEX(대장!$G$1:$G$501,$A232)),INDEX(대장!$G$1:$G$501,$A232)&lt;INDEX(대장!$F$1:$F$501,$A232)),"확인 필요",IF(INDEX(대장!$L$1:$L$501,$A232)&lt;&gt;"","메모 있음","정상")))))</x:f>
        <x:v>#NAME?</x:v>
      </x:c>
      <x:c r="F232" t="e">
        <x:f>IF($A232="","",IF($E232="확인 필요","시작일·종료일과 기간 순서를 확인해 주세요.",IF($E232="메모 있음",IFERROR(INDEX(대장!$L$1:$L$501,$A232),""),"")))</x:f>
        <x:v>#NAME?</x:v>
      </x:c>
    </x:row>
    <x:row r="233">
      <x:c r="A233" t="e">
        <x:f>IF(INDEX(대장!$A$1:$A$501,ROW()-2)="","",ROW()-2)</x:f>
        <x:v>#NAME?</x:v>
      </x:c>
      <x:c r="B233" t="e">
        <x:f>IF($A233="","",INDEX(대장!$A$1:$A$501,$A233))</x:f>
        <x:v>#NAME?</x:v>
      </x:c>
      <x:c r="C233" s="46" t="e">
        <x:f>IFERROR(IF($A233="","",INDEX(대장!$F$1:$F$501,$A233)),"")</x:f>
        <x:v>#NAME?</x:v>
      </x:c>
      <x:c r="D233" s="46" t="e">
        <x:f>IFERROR(IF($A233="","",INDEX(대장!$G$1:$G$501,$A233)),"")</x:f>
        <x:v>#NAME?</x:v>
      </x:c>
      <x:c r="E233" t="e">
        <x:f>IF($A233="","",IF(NOT(ISNUMBER(INDEX(대장!$F$1:$F$501,$A233))),"확인 필요",IF(AND(INDEX(대장!$G$1:$G$501,$A233)&lt;&gt;"",NOT(ISNUMBER(INDEX(대장!$G$1:$G$501,$A233)))),"확인 필요",IF(AND(ISNUMBER(INDEX(대장!$G$1:$G$501,$A233)),INDEX(대장!$G$1:$G$501,$A233)&lt;INDEX(대장!$F$1:$F$501,$A233)),"확인 필요",IF(INDEX(대장!$L$1:$L$501,$A233)&lt;&gt;"","메모 있음","정상")))))</x:f>
        <x:v>#NAME?</x:v>
      </x:c>
      <x:c r="F233" t="e">
        <x:f>IF($A233="","",IF($E233="확인 필요","시작일·종료일과 기간 순서를 확인해 주세요.",IF($E233="메모 있음",IFERROR(INDEX(대장!$L$1:$L$501,$A233),""),"")))</x:f>
        <x:v>#NAME?</x:v>
      </x:c>
    </x:row>
    <x:row r="234">
      <x:c r="A234" t="e">
        <x:f>IF(INDEX(대장!$A$1:$A$501,ROW()-2)="","",ROW()-2)</x:f>
        <x:v>#NAME?</x:v>
      </x:c>
      <x:c r="B234" t="e">
        <x:f>IF($A234="","",INDEX(대장!$A$1:$A$501,$A234))</x:f>
        <x:v>#NAME?</x:v>
      </x:c>
      <x:c r="C234" s="46" t="e">
        <x:f>IFERROR(IF($A234="","",INDEX(대장!$F$1:$F$501,$A234)),"")</x:f>
        <x:v>#NAME?</x:v>
      </x:c>
      <x:c r="D234" s="46" t="e">
        <x:f>IFERROR(IF($A234="","",INDEX(대장!$G$1:$G$501,$A234)),"")</x:f>
        <x:v>#NAME?</x:v>
      </x:c>
      <x:c r="E234" t="e">
        <x:f>IF($A234="","",IF(NOT(ISNUMBER(INDEX(대장!$F$1:$F$501,$A234))),"확인 필요",IF(AND(INDEX(대장!$G$1:$G$501,$A234)&lt;&gt;"",NOT(ISNUMBER(INDEX(대장!$G$1:$G$501,$A234)))),"확인 필요",IF(AND(ISNUMBER(INDEX(대장!$G$1:$G$501,$A234)),INDEX(대장!$G$1:$G$501,$A234)&lt;INDEX(대장!$F$1:$F$501,$A234)),"확인 필요",IF(INDEX(대장!$L$1:$L$501,$A234)&lt;&gt;"","메모 있음","정상")))))</x:f>
        <x:v>#NAME?</x:v>
      </x:c>
      <x:c r="F234" t="e">
        <x:f>IF($A234="","",IF($E234="확인 필요","시작일·종료일과 기간 순서를 확인해 주세요.",IF($E234="메모 있음",IFERROR(INDEX(대장!$L$1:$L$501,$A234),""),"")))</x:f>
        <x:v>#NAME?</x:v>
      </x:c>
    </x:row>
    <x:row r="235">
      <x:c r="A235" t="e">
        <x:f>IF(INDEX(대장!$A$1:$A$501,ROW()-2)="","",ROW()-2)</x:f>
        <x:v>#NAME?</x:v>
      </x:c>
      <x:c r="B235" t="e">
        <x:f>IF($A235="","",INDEX(대장!$A$1:$A$501,$A235))</x:f>
        <x:v>#NAME?</x:v>
      </x:c>
      <x:c r="C235" s="46" t="e">
        <x:f>IFERROR(IF($A235="","",INDEX(대장!$F$1:$F$501,$A235)),"")</x:f>
        <x:v>#NAME?</x:v>
      </x:c>
      <x:c r="D235" s="46" t="e">
        <x:f>IFERROR(IF($A235="","",INDEX(대장!$G$1:$G$501,$A235)),"")</x:f>
        <x:v>#NAME?</x:v>
      </x:c>
      <x:c r="E235" t="e">
        <x:f>IF($A235="","",IF(NOT(ISNUMBER(INDEX(대장!$F$1:$F$501,$A235))),"확인 필요",IF(AND(INDEX(대장!$G$1:$G$501,$A235)&lt;&gt;"",NOT(ISNUMBER(INDEX(대장!$G$1:$G$501,$A235)))),"확인 필요",IF(AND(ISNUMBER(INDEX(대장!$G$1:$G$501,$A235)),INDEX(대장!$G$1:$G$501,$A235)&lt;INDEX(대장!$F$1:$F$501,$A235)),"확인 필요",IF(INDEX(대장!$L$1:$L$501,$A235)&lt;&gt;"","메모 있음","정상")))))</x:f>
        <x:v>#NAME?</x:v>
      </x:c>
      <x:c r="F235" t="e">
        <x:f>IF($A235="","",IF($E235="확인 필요","시작일·종료일과 기간 순서를 확인해 주세요.",IF($E235="메모 있음",IFERROR(INDEX(대장!$L$1:$L$501,$A235),""),"")))</x:f>
        <x:v>#NAME?</x:v>
      </x:c>
    </x:row>
    <x:row r="236">
      <x:c r="A236" t="e">
        <x:f>IF(INDEX(대장!$A$1:$A$501,ROW()-2)="","",ROW()-2)</x:f>
        <x:v>#NAME?</x:v>
      </x:c>
      <x:c r="B236" t="e">
        <x:f>IF($A236="","",INDEX(대장!$A$1:$A$501,$A236))</x:f>
        <x:v>#NAME?</x:v>
      </x:c>
      <x:c r="C236" s="46" t="e">
        <x:f>IFERROR(IF($A236="","",INDEX(대장!$F$1:$F$501,$A236)),"")</x:f>
        <x:v>#NAME?</x:v>
      </x:c>
      <x:c r="D236" s="46" t="e">
        <x:f>IFERROR(IF($A236="","",INDEX(대장!$G$1:$G$501,$A236)),"")</x:f>
        <x:v>#NAME?</x:v>
      </x:c>
      <x:c r="E236" t="e">
        <x:f>IF($A236="","",IF(NOT(ISNUMBER(INDEX(대장!$F$1:$F$501,$A236))),"확인 필요",IF(AND(INDEX(대장!$G$1:$G$501,$A236)&lt;&gt;"",NOT(ISNUMBER(INDEX(대장!$G$1:$G$501,$A236)))),"확인 필요",IF(AND(ISNUMBER(INDEX(대장!$G$1:$G$501,$A236)),INDEX(대장!$G$1:$G$501,$A236)&lt;INDEX(대장!$F$1:$F$501,$A236)),"확인 필요",IF(INDEX(대장!$L$1:$L$501,$A236)&lt;&gt;"","메모 있음","정상")))))</x:f>
        <x:v>#NAME?</x:v>
      </x:c>
      <x:c r="F236" t="e">
        <x:f>IF($A236="","",IF($E236="확인 필요","시작일·종료일과 기간 순서를 확인해 주세요.",IF($E236="메모 있음",IFERROR(INDEX(대장!$L$1:$L$501,$A236),""),"")))</x:f>
        <x:v>#NAME?</x:v>
      </x:c>
    </x:row>
    <x:row r="237">
      <x:c r="A237" t="e">
        <x:f>IF(INDEX(대장!$A$1:$A$501,ROW()-2)="","",ROW()-2)</x:f>
        <x:v>#NAME?</x:v>
      </x:c>
      <x:c r="B237" t="e">
        <x:f>IF($A237="","",INDEX(대장!$A$1:$A$501,$A237))</x:f>
        <x:v>#NAME?</x:v>
      </x:c>
      <x:c r="C237" s="46" t="e">
        <x:f>IFERROR(IF($A237="","",INDEX(대장!$F$1:$F$501,$A237)),"")</x:f>
        <x:v>#NAME?</x:v>
      </x:c>
      <x:c r="D237" s="46" t="e">
        <x:f>IFERROR(IF($A237="","",INDEX(대장!$G$1:$G$501,$A237)),"")</x:f>
        <x:v>#NAME?</x:v>
      </x:c>
      <x:c r="E237" t="e">
        <x:f>IF($A237="","",IF(NOT(ISNUMBER(INDEX(대장!$F$1:$F$501,$A237))),"확인 필요",IF(AND(INDEX(대장!$G$1:$G$501,$A237)&lt;&gt;"",NOT(ISNUMBER(INDEX(대장!$G$1:$G$501,$A237)))),"확인 필요",IF(AND(ISNUMBER(INDEX(대장!$G$1:$G$501,$A237)),INDEX(대장!$G$1:$G$501,$A237)&lt;INDEX(대장!$F$1:$F$501,$A237)),"확인 필요",IF(INDEX(대장!$L$1:$L$501,$A237)&lt;&gt;"","메모 있음","정상")))))</x:f>
        <x:v>#NAME?</x:v>
      </x:c>
      <x:c r="F237" t="e">
        <x:f>IF($A237="","",IF($E237="확인 필요","시작일·종료일과 기간 순서를 확인해 주세요.",IF($E237="메모 있음",IFERROR(INDEX(대장!$L$1:$L$501,$A237),""),"")))</x:f>
        <x:v>#NAME?</x:v>
      </x:c>
    </x:row>
    <x:row r="238">
      <x:c r="A238" t="e">
        <x:f>IF(INDEX(대장!$A$1:$A$501,ROW()-2)="","",ROW()-2)</x:f>
        <x:v>#NAME?</x:v>
      </x:c>
      <x:c r="B238" t="e">
        <x:f>IF($A238="","",INDEX(대장!$A$1:$A$501,$A238))</x:f>
        <x:v>#NAME?</x:v>
      </x:c>
      <x:c r="C238" s="46" t="e">
        <x:f>IFERROR(IF($A238="","",INDEX(대장!$F$1:$F$501,$A238)),"")</x:f>
        <x:v>#NAME?</x:v>
      </x:c>
      <x:c r="D238" s="46" t="e">
        <x:f>IFERROR(IF($A238="","",INDEX(대장!$G$1:$G$501,$A238)),"")</x:f>
        <x:v>#NAME?</x:v>
      </x:c>
      <x:c r="E238" t="e">
        <x:f>IF($A238="","",IF(NOT(ISNUMBER(INDEX(대장!$F$1:$F$501,$A238))),"확인 필요",IF(AND(INDEX(대장!$G$1:$G$501,$A238)&lt;&gt;"",NOT(ISNUMBER(INDEX(대장!$G$1:$G$501,$A238)))),"확인 필요",IF(AND(ISNUMBER(INDEX(대장!$G$1:$G$501,$A238)),INDEX(대장!$G$1:$G$501,$A238)&lt;INDEX(대장!$F$1:$F$501,$A238)),"확인 필요",IF(INDEX(대장!$L$1:$L$501,$A238)&lt;&gt;"","메모 있음","정상")))))</x:f>
        <x:v>#NAME?</x:v>
      </x:c>
      <x:c r="F238" t="e">
        <x:f>IF($A238="","",IF($E238="확인 필요","시작일·종료일과 기간 순서를 확인해 주세요.",IF($E238="메모 있음",IFERROR(INDEX(대장!$L$1:$L$501,$A238),""),"")))</x:f>
        <x:v>#NAME?</x:v>
      </x:c>
    </x:row>
    <x:row r="239">
      <x:c r="A239" t="e">
        <x:f>IF(INDEX(대장!$A$1:$A$501,ROW()-2)="","",ROW()-2)</x:f>
        <x:v>#NAME?</x:v>
      </x:c>
      <x:c r="B239" t="e">
        <x:f>IF($A239="","",INDEX(대장!$A$1:$A$501,$A239))</x:f>
        <x:v>#NAME?</x:v>
      </x:c>
      <x:c r="C239" s="46" t="e">
        <x:f>IFERROR(IF($A239="","",INDEX(대장!$F$1:$F$501,$A239)),"")</x:f>
        <x:v>#NAME?</x:v>
      </x:c>
      <x:c r="D239" s="46" t="e">
        <x:f>IFERROR(IF($A239="","",INDEX(대장!$G$1:$G$501,$A239)),"")</x:f>
        <x:v>#NAME?</x:v>
      </x:c>
      <x:c r="E239" t="e">
        <x:f>IF($A239="","",IF(NOT(ISNUMBER(INDEX(대장!$F$1:$F$501,$A239))),"확인 필요",IF(AND(INDEX(대장!$G$1:$G$501,$A239)&lt;&gt;"",NOT(ISNUMBER(INDEX(대장!$G$1:$G$501,$A239)))),"확인 필요",IF(AND(ISNUMBER(INDEX(대장!$G$1:$G$501,$A239)),INDEX(대장!$G$1:$G$501,$A239)&lt;INDEX(대장!$F$1:$F$501,$A239)),"확인 필요",IF(INDEX(대장!$L$1:$L$501,$A239)&lt;&gt;"","메모 있음","정상")))))</x:f>
        <x:v>#NAME?</x:v>
      </x:c>
      <x:c r="F239" t="e">
        <x:f>IF($A239="","",IF($E239="확인 필요","시작일·종료일과 기간 순서를 확인해 주세요.",IF($E239="메모 있음",IFERROR(INDEX(대장!$L$1:$L$501,$A239),""),"")))</x:f>
        <x:v>#NAME?</x:v>
      </x:c>
    </x:row>
    <x:row r="240">
      <x:c r="A240" t="e">
        <x:f>IF(INDEX(대장!$A$1:$A$501,ROW()-2)="","",ROW()-2)</x:f>
        <x:v>#NAME?</x:v>
      </x:c>
      <x:c r="B240" t="e">
        <x:f>IF($A240="","",INDEX(대장!$A$1:$A$501,$A240))</x:f>
        <x:v>#NAME?</x:v>
      </x:c>
      <x:c r="C240" s="46" t="e">
        <x:f>IFERROR(IF($A240="","",INDEX(대장!$F$1:$F$501,$A240)),"")</x:f>
        <x:v>#NAME?</x:v>
      </x:c>
      <x:c r="D240" s="46" t="e">
        <x:f>IFERROR(IF($A240="","",INDEX(대장!$G$1:$G$501,$A240)),"")</x:f>
        <x:v>#NAME?</x:v>
      </x:c>
      <x:c r="E240" t="e">
        <x:f>IF($A240="","",IF(NOT(ISNUMBER(INDEX(대장!$F$1:$F$501,$A240))),"확인 필요",IF(AND(INDEX(대장!$G$1:$G$501,$A240)&lt;&gt;"",NOT(ISNUMBER(INDEX(대장!$G$1:$G$501,$A240)))),"확인 필요",IF(AND(ISNUMBER(INDEX(대장!$G$1:$G$501,$A240)),INDEX(대장!$G$1:$G$501,$A240)&lt;INDEX(대장!$F$1:$F$501,$A240)),"확인 필요",IF(INDEX(대장!$L$1:$L$501,$A240)&lt;&gt;"","메모 있음","정상")))))</x:f>
        <x:v>#NAME?</x:v>
      </x:c>
      <x:c r="F240" t="e">
        <x:f>IF($A240="","",IF($E240="확인 필요","시작일·종료일과 기간 순서를 확인해 주세요.",IF($E240="메모 있음",IFERROR(INDEX(대장!$L$1:$L$501,$A240),""),"")))</x:f>
        <x:v>#NAME?</x:v>
      </x:c>
    </x:row>
    <x:row r="241">
      <x:c r="A241" t="e">
        <x:f>IF(INDEX(대장!$A$1:$A$501,ROW()-2)="","",ROW()-2)</x:f>
        <x:v>#NAME?</x:v>
      </x:c>
      <x:c r="B241" t="e">
        <x:f>IF($A241="","",INDEX(대장!$A$1:$A$501,$A241))</x:f>
        <x:v>#NAME?</x:v>
      </x:c>
      <x:c r="C241" s="46" t="e">
        <x:f>IFERROR(IF($A241="","",INDEX(대장!$F$1:$F$501,$A241)),"")</x:f>
        <x:v>#NAME?</x:v>
      </x:c>
      <x:c r="D241" s="46" t="e">
        <x:f>IFERROR(IF($A241="","",INDEX(대장!$G$1:$G$501,$A241)),"")</x:f>
        <x:v>#NAME?</x:v>
      </x:c>
      <x:c r="E241" t="e">
        <x:f>IF($A241="","",IF(NOT(ISNUMBER(INDEX(대장!$F$1:$F$501,$A241))),"확인 필요",IF(AND(INDEX(대장!$G$1:$G$501,$A241)&lt;&gt;"",NOT(ISNUMBER(INDEX(대장!$G$1:$G$501,$A241)))),"확인 필요",IF(AND(ISNUMBER(INDEX(대장!$G$1:$G$501,$A241)),INDEX(대장!$G$1:$G$501,$A241)&lt;INDEX(대장!$F$1:$F$501,$A241)),"확인 필요",IF(INDEX(대장!$L$1:$L$501,$A241)&lt;&gt;"","메모 있음","정상")))))</x:f>
        <x:v>#NAME?</x:v>
      </x:c>
      <x:c r="F241" t="e">
        <x:f>IF($A241="","",IF($E241="확인 필요","시작일·종료일과 기간 순서를 확인해 주세요.",IF($E241="메모 있음",IFERROR(INDEX(대장!$L$1:$L$501,$A241),""),"")))</x:f>
        <x:v>#NAME?</x:v>
      </x:c>
    </x:row>
    <x:row r="242">
      <x:c r="A242" t="e">
        <x:f>IF(INDEX(대장!$A$1:$A$501,ROW()-2)="","",ROW()-2)</x:f>
        <x:v>#NAME?</x:v>
      </x:c>
      <x:c r="B242" t="e">
        <x:f>IF($A242="","",INDEX(대장!$A$1:$A$501,$A242))</x:f>
        <x:v>#NAME?</x:v>
      </x:c>
      <x:c r="C242" s="46" t="e">
        <x:f>IFERROR(IF($A242="","",INDEX(대장!$F$1:$F$501,$A242)),"")</x:f>
        <x:v>#NAME?</x:v>
      </x:c>
      <x:c r="D242" s="46" t="e">
        <x:f>IFERROR(IF($A242="","",INDEX(대장!$G$1:$G$501,$A242)),"")</x:f>
        <x:v>#NAME?</x:v>
      </x:c>
      <x:c r="E242" t="e">
        <x:f>IF($A242="","",IF(NOT(ISNUMBER(INDEX(대장!$F$1:$F$501,$A242))),"확인 필요",IF(AND(INDEX(대장!$G$1:$G$501,$A242)&lt;&gt;"",NOT(ISNUMBER(INDEX(대장!$G$1:$G$501,$A242)))),"확인 필요",IF(AND(ISNUMBER(INDEX(대장!$G$1:$G$501,$A242)),INDEX(대장!$G$1:$G$501,$A242)&lt;INDEX(대장!$F$1:$F$501,$A242)),"확인 필요",IF(INDEX(대장!$L$1:$L$501,$A242)&lt;&gt;"","메모 있음","정상")))))</x:f>
        <x:v>#NAME?</x:v>
      </x:c>
      <x:c r="F242" t="e">
        <x:f>IF($A242="","",IF($E242="확인 필요","시작일·종료일과 기간 순서를 확인해 주세요.",IF($E242="메모 있음",IFERROR(INDEX(대장!$L$1:$L$501,$A242),""),"")))</x:f>
        <x:v>#NAME?</x:v>
      </x:c>
    </x:row>
    <x:row r="243">
      <x:c r="A243" t="e">
        <x:f>IF(INDEX(대장!$A$1:$A$501,ROW()-2)="","",ROW()-2)</x:f>
        <x:v>#NAME?</x:v>
      </x:c>
      <x:c r="B243" t="e">
        <x:f>IF($A243="","",INDEX(대장!$A$1:$A$501,$A243))</x:f>
        <x:v>#NAME?</x:v>
      </x:c>
      <x:c r="C243" s="46" t="e">
        <x:f>IFERROR(IF($A243="","",INDEX(대장!$F$1:$F$501,$A243)),"")</x:f>
        <x:v>#NAME?</x:v>
      </x:c>
      <x:c r="D243" s="46" t="e">
        <x:f>IFERROR(IF($A243="","",INDEX(대장!$G$1:$G$501,$A243)),"")</x:f>
        <x:v>#NAME?</x:v>
      </x:c>
      <x:c r="E243" t="e">
        <x:f>IF($A243="","",IF(NOT(ISNUMBER(INDEX(대장!$F$1:$F$501,$A243))),"확인 필요",IF(AND(INDEX(대장!$G$1:$G$501,$A243)&lt;&gt;"",NOT(ISNUMBER(INDEX(대장!$G$1:$G$501,$A243)))),"확인 필요",IF(AND(ISNUMBER(INDEX(대장!$G$1:$G$501,$A243)),INDEX(대장!$G$1:$G$501,$A243)&lt;INDEX(대장!$F$1:$F$501,$A243)),"확인 필요",IF(INDEX(대장!$L$1:$L$501,$A243)&lt;&gt;"","메모 있음","정상")))))</x:f>
        <x:v>#NAME?</x:v>
      </x:c>
      <x:c r="F243" t="e">
        <x:f>IF($A243="","",IF($E243="확인 필요","시작일·종료일과 기간 순서를 확인해 주세요.",IF($E243="메모 있음",IFERROR(INDEX(대장!$L$1:$L$501,$A243),""),"")))</x:f>
        <x:v>#NAME?</x:v>
      </x:c>
    </x:row>
    <x:row r="244">
      <x:c r="A244" t="e">
        <x:f>IF(INDEX(대장!$A$1:$A$501,ROW()-2)="","",ROW()-2)</x:f>
        <x:v>#NAME?</x:v>
      </x:c>
      <x:c r="B244" t="e">
        <x:f>IF($A244="","",INDEX(대장!$A$1:$A$501,$A244))</x:f>
        <x:v>#NAME?</x:v>
      </x:c>
      <x:c r="C244" s="46" t="e">
        <x:f>IFERROR(IF($A244="","",INDEX(대장!$F$1:$F$501,$A244)),"")</x:f>
        <x:v>#NAME?</x:v>
      </x:c>
      <x:c r="D244" s="46" t="e">
        <x:f>IFERROR(IF($A244="","",INDEX(대장!$G$1:$G$501,$A244)),"")</x:f>
        <x:v>#NAME?</x:v>
      </x:c>
      <x:c r="E244" t="e">
        <x:f>IF($A244="","",IF(NOT(ISNUMBER(INDEX(대장!$F$1:$F$501,$A244))),"확인 필요",IF(AND(INDEX(대장!$G$1:$G$501,$A244)&lt;&gt;"",NOT(ISNUMBER(INDEX(대장!$G$1:$G$501,$A244)))),"확인 필요",IF(AND(ISNUMBER(INDEX(대장!$G$1:$G$501,$A244)),INDEX(대장!$G$1:$G$501,$A244)&lt;INDEX(대장!$F$1:$F$501,$A244)),"확인 필요",IF(INDEX(대장!$L$1:$L$501,$A244)&lt;&gt;"","메모 있음","정상")))))</x:f>
        <x:v>#NAME?</x:v>
      </x:c>
      <x:c r="F244" t="e">
        <x:f>IF($A244="","",IF($E244="확인 필요","시작일·종료일과 기간 순서를 확인해 주세요.",IF($E244="메모 있음",IFERROR(INDEX(대장!$L$1:$L$501,$A244),""),"")))</x:f>
        <x:v>#NAME?</x:v>
      </x:c>
    </x:row>
    <x:row r="245">
      <x:c r="A245" t="e">
        <x:f>IF(INDEX(대장!$A$1:$A$501,ROW()-2)="","",ROW()-2)</x:f>
        <x:v>#NAME?</x:v>
      </x:c>
      <x:c r="B245" t="e">
        <x:f>IF($A245="","",INDEX(대장!$A$1:$A$501,$A245))</x:f>
        <x:v>#NAME?</x:v>
      </x:c>
      <x:c r="C245" s="46" t="e">
        <x:f>IFERROR(IF($A245="","",INDEX(대장!$F$1:$F$501,$A245)),"")</x:f>
        <x:v>#NAME?</x:v>
      </x:c>
      <x:c r="D245" s="46" t="e">
        <x:f>IFERROR(IF($A245="","",INDEX(대장!$G$1:$G$501,$A245)),"")</x:f>
        <x:v>#NAME?</x:v>
      </x:c>
      <x:c r="E245" t="e">
        <x:f>IF($A245="","",IF(NOT(ISNUMBER(INDEX(대장!$F$1:$F$501,$A245))),"확인 필요",IF(AND(INDEX(대장!$G$1:$G$501,$A245)&lt;&gt;"",NOT(ISNUMBER(INDEX(대장!$G$1:$G$501,$A245)))),"확인 필요",IF(AND(ISNUMBER(INDEX(대장!$G$1:$G$501,$A245)),INDEX(대장!$G$1:$G$501,$A245)&lt;INDEX(대장!$F$1:$F$501,$A245)),"확인 필요",IF(INDEX(대장!$L$1:$L$501,$A245)&lt;&gt;"","메모 있음","정상")))))</x:f>
        <x:v>#NAME?</x:v>
      </x:c>
      <x:c r="F245" t="e">
        <x:f>IF($A245="","",IF($E245="확인 필요","시작일·종료일과 기간 순서를 확인해 주세요.",IF($E245="메모 있음",IFERROR(INDEX(대장!$L$1:$L$501,$A245),""),"")))</x:f>
        <x:v>#NAME?</x:v>
      </x:c>
    </x:row>
    <x:row r="246">
      <x:c r="A246" t="e">
        <x:f>IF(INDEX(대장!$A$1:$A$501,ROW()-2)="","",ROW()-2)</x:f>
        <x:v>#NAME?</x:v>
      </x:c>
      <x:c r="B246" t="e">
        <x:f>IF($A246="","",INDEX(대장!$A$1:$A$501,$A246))</x:f>
        <x:v>#NAME?</x:v>
      </x:c>
      <x:c r="C246" s="46" t="e">
        <x:f>IFERROR(IF($A246="","",INDEX(대장!$F$1:$F$501,$A246)),"")</x:f>
        <x:v>#NAME?</x:v>
      </x:c>
      <x:c r="D246" s="46" t="e">
        <x:f>IFERROR(IF($A246="","",INDEX(대장!$G$1:$G$501,$A246)),"")</x:f>
        <x:v>#NAME?</x:v>
      </x:c>
      <x:c r="E246" t="e">
        <x:f>IF($A246="","",IF(NOT(ISNUMBER(INDEX(대장!$F$1:$F$501,$A246))),"확인 필요",IF(AND(INDEX(대장!$G$1:$G$501,$A246)&lt;&gt;"",NOT(ISNUMBER(INDEX(대장!$G$1:$G$501,$A246)))),"확인 필요",IF(AND(ISNUMBER(INDEX(대장!$G$1:$G$501,$A246)),INDEX(대장!$G$1:$G$501,$A246)&lt;INDEX(대장!$F$1:$F$501,$A246)),"확인 필요",IF(INDEX(대장!$L$1:$L$501,$A246)&lt;&gt;"","메모 있음","정상")))))</x:f>
        <x:v>#NAME?</x:v>
      </x:c>
      <x:c r="F246" t="e">
        <x:f>IF($A246="","",IF($E246="확인 필요","시작일·종료일과 기간 순서를 확인해 주세요.",IF($E246="메모 있음",IFERROR(INDEX(대장!$L$1:$L$501,$A246),""),"")))</x:f>
        <x:v>#NAME?</x:v>
      </x:c>
    </x:row>
    <x:row r="247">
      <x:c r="A247" t="e">
        <x:f>IF(INDEX(대장!$A$1:$A$501,ROW()-2)="","",ROW()-2)</x:f>
        <x:v>#NAME?</x:v>
      </x:c>
      <x:c r="B247" t="e">
        <x:f>IF($A247="","",INDEX(대장!$A$1:$A$501,$A247))</x:f>
        <x:v>#NAME?</x:v>
      </x:c>
      <x:c r="C247" s="46" t="e">
        <x:f>IFERROR(IF($A247="","",INDEX(대장!$F$1:$F$501,$A247)),"")</x:f>
        <x:v>#NAME?</x:v>
      </x:c>
      <x:c r="D247" s="46" t="e">
        <x:f>IFERROR(IF($A247="","",INDEX(대장!$G$1:$G$501,$A247)),"")</x:f>
        <x:v>#NAME?</x:v>
      </x:c>
      <x:c r="E247" t="e">
        <x:f>IF($A247="","",IF(NOT(ISNUMBER(INDEX(대장!$F$1:$F$501,$A247))),"확인 필요",IF(AND(INDEX(대장!$G$1:$G$501,$A247)&lt;&gt;"",NOT(ISNUMBER(INDEX(대장!$G$1:$G$501,$A247)))),"확인 필요",IF(AND(ISNUMBER(INDEX(대장!$G$1:$G$501,$A247)),INDEX(대장!$G$1:$G$501,$A247)&lt;INDEX(대장!$F$1:$F$501,$A247)),"확인 필요",IF(INDEX(대장!$L$1:$L$501,$A247)&lt;&gt;"","메모 있음","정상")))))</x:f>
        <x:v>#NAME?</x:v>
      </x:c>
      <x:c r="F247" t="e">
        <x:f>IF($A247="","",IF($E247="확인 필요","시작일·종료일과 기간 순서를 확인해 주세요.",IF($E247="메모 있음",IFERROR(INDEX(대장!$L$1:$L$501,$A247),""),"")))</x:f>
        <x:v>#NAME?</x:v>
      </x:c>
    </x:row>
    <x:row r="248">
      <x:c r="A248" t="e">
        <x:f>IF(INDEX(대장!$A$1:$A$501,ROW()-2)="","",ROW()-2)</x:f>
        <x:v>#NAME?</x:v>
      </x:c>
      <x:c r="B248" t="e">
        <x:f>IF($A248="","",INDEX(대장!$A$1:$A$501,$A248))</x:f>
        <x:v>#NAME?</x:v>
      </x:c>
      <x:c r="C248" s="46" t="e">
        <x:f>IFERROR(IF($A248="","",INDEX(대장!$F$1:$F$501,$A248)),"")</x:f>
        <x:v>#NAME?</x:v>
      </x:c>
      <x:c r="D248" s="46" t="e">
        <x:f>IFERROR(IF($A248="","",INDEX(대장!$G$1:$G$501,$A248)),"")</x:f>
        <x:v>#NAME?</x:v>
      </x:c>
      <x:c r="E248" t="e">
        <x:f>IF($A248="","",IF(NOT(ISNUMBER(INDEX(대장!$F$1:$F$501,$A248))),"확인 필요",IF(AND(INDEX(대장!$G$1:$G$501,$A248)&lt;&gt;"",NOT(ISNUMBER(INDEX(대장!$G$1:$G$501,$A248)))),"확인 필요",IF(AND(ISNUMBER(INDEX(대장!$G$1:$G$501,$A248)),INDEX(대장!$G$1:$G$501,$A248)&lt;INDEX(대장!$F$1:$F$501,$A248)),"확인 필요",IF(INDEX(대장!$L$1:$L$501,$A248)&lt;&gt;"","메모 있음","정상")))))</x:f>
        <x:v>#NAME?</x:v>
      </x:c>
      <x:c r="F248" t="e">
        <x:f>IF($A248="","",IF($E248="확인 필요","시작일·종료일과 기간 순서를 확인해 주세요.",IF($E248="메모 있음",IFERROR(INDEX(대장!$L$1:$L$501,$A248),""),"")))</x:f>
        <x:v>#NAME?</x:v>
      </x:c>
    </x:row>
    <x:row r="249">
      <x:c r="A249" t="e">
        <x:f>IF(INDEX(대장!$A$1:$A$501,ROW()-2)="","",ROW()-2)</x:f>
        <x:v>#NAME?</x:v>
      </x:c>
      <x:c r="B249" t="e">
        <x:f>IF($A249="","",INDEX(대장!$A$1:$A$501,$A249))</x:f>
        <x:v>#NAME?</x:v>
      </x:c>
      <x:c r="C249" s="46" t="e">
        <x:f>IFERROR(IF($A249="","",INDEX(대장!$F$1:$F$501,$A249)),"")</x:f>
        <x:v>#NAME?</x:v>
      </x:c>
      <x:c r="D249" s="46" t="e">
        <x:f>IFERROR(IF($A249="","",INDEX(대장!$G$1:$G$501,$A249)),"")</x:f>
        <x:v>#NAME?</x:v>
      </x:c>
      <x:c r="E249" t="e">
        <x:f>IF($A249="","",IF(NOT(ISNUMBER(INDEX(대장!$F$1:$F$501,$A249))),"확인 필요",IF(AND(INDEX(대장!$G$1:$G$501,$A249)&lt;&gt;"",NOT(ISNUMBER(INDEX(대장!$G$1:$G$501,$A249)))),"확인 필요",IF(AND(ISNUMBER(INDEX(대장!$G$1:$G$501,$A249)),INDEX(대장!$G$1:$G$501,$A249)&lt;INDEX(대장!$F$1:$F$501,$A249)),"확인 필요",IF(INDEX(대장!$L$1:$L$501,$A249)&lt;&gt;"","메모 있음","정상")))))</x:f>
        <x:v>#NAME?</x:v>
      </x:c>
      <x:c r="F249" t="e">
        <x:f>IF($A249="","",IF($E249="확인 필요","시작일·종료일과 기간 순서를 확인해 주세요.",IF($E249="메모 있음",IFERROR(INDEX(대장!$L$1:$L$501,$A249),""),"")))</x:f>
        <x:v>#NAME?</x:v>
      </x:c>
    </x:row>
    <x:row r="250">
      <x:c r="A250" t="e">
        <x:f>IF(INDEX(대장!$A$1:$A$501,ROW()-2)="","",ROW()-2)</x:f>
        <x:v>#NAME?</x:v>
      </x:c>
      <x:c r="B250" t="e">
        <x:f>IF($A250="","",INDEX(대장!$A$1:$A$501,$A250))</x:f>
        <x:v>#NAME?</x:v>
      </x:c>
      <x:c r="C250" s="46" t="e">
        <x:f>IFERROR(IF($A250="","",INDEX(대장!$F$1:$F$501,$A250)),"")</x:f>
        <x:v>#NAME?</x:v>
      </x:c>
      <x:c r="D250" s="46" t="e">
        <x:f>IFERROR(IF($A250="","",INDEX(대장!$G$1:$G$501,$A250)),"")</x:f>
        <x:v>#NAME?</x:v>
      </x:c>
      <x:c r="E250" t="e">
        <x:f>IF($A250="","",IF(NOT(ISNUMBER(INDEX(대장!$F$1:$F$501,$A250))),"확인 필요",IF(AND(INDEX(대장!$G$1:$G$501,$A250)&lt;&gt;"",NOT(ISNUMBER(INDEX(대장!$G$1:$G$501,$A250)))),"확인 필요",IF(AND(ISNUMBER(INDEX(대장!$G$1:$G$501,$A250)),INDEX(대장!$G$1:$G$501,$A250)&lt;INDEX(대장!$F$1:$F$501,$A250)),"확인 필요",IF(INDEX(대장!$L$1:$L$501,$A250)&lt;&gt;"","메모 있음","정상")))))</x:f>
        <x:v>#NAME?</x:v>
      </x:c>
      <x:c r="F250" t="e">
        <x:f>IF($A250="","",IF($E250="확인 필요","시작일·종료일과 기간 순서를 확인해 주세요.",IF($E250="메모 있음",IFERROR(INDEX(대장!$L$1:$L$501,$A250),""),"")))</x:f>
        <x:v>#NAME?</x:v>
      </x:c>
    </x:row>
    <x:row r="251">
      <x:c r="A251" t="e">
        <x:f>IF(INDEX(대장!$A$1:$A$501,ROW()-2)="","",ROW()-2)</x:f>
        <x:v>#NAME?</x:v>
      </x:c>
      <x:c r="B251" t="e">
        <x:f>IF($A251="","",INDEX(대장!$A$1:$A$501,$A251))</x:f>
        <x:v>#NAME?</x:v>
      </x:c>
      <x:c r="C251" s="46" t="e">
        <x:f>IFERROR(IF($A251="","",INDEX(대장!$F$1:$F$501,$A251)),"")</x:f>
        <x:v>#NAME?</x:v>
      </x:c>
      <x:c r="D251" s="46" t="e">
        <x:f>IFERROR(IF($A251="","",INDEX(대장!$G$1:$G$501,$A251)),"")</x:f>
        <x:v>#NAME?</x:v>
      </x:c>
      <x:c r="E251" t="e">
        <x:f>IF($A251="","",IF(NOT(ISNUMBER(INDEX(대장!$F$1:$F$501,$A251))),"확인 필요",IF(AND(INDEX(대장!$G$1:$G$501,$A251)&lt;&gt;"",NOT(ISNUMBER(INDEX(대장!$G$1:$G$501,$A251)))),"확인 필요",IF(AND(ISNUMBER(INDEX(대장!$G$1:$G$501,$A251)),INDEX(대장!$G$1:$G$501,$A251)&lt;INDEX(대장!$F$1:$F$501,$A251)),"확인 필요",IF(INDEX(대장!$L$1:$L$501,$A251)&lt;&gt;"","메모 있음","정상")))))</x:f>
        <x:v>#NAME?</x:v>
      </x:c>
      <x:c r="F251" t="e">
        <x:f>IF($A251="","",IF($E251="확인 필요","시작일·종료일과 기간 순서를 확인해 주세요.",IF($E251="메모 있음",IFERROR(INDEX(대장!$L$1:$L$501,$A251),""),"")))</x:f>
        <x:v>#NAME?</x:v>
      </x:c>
    </x:row>
    <x:row r="252">
      <x:c r="A252" t="e">
        <x:f>IF(INDEX(대장!$A$1:$A$501,ROW()-2)="","",ROW()-2)</x:f>
        <x:v>#NAME?</x:v>
      </x:c>
      <x:c r="B252" t="e">
        <x:f>IF($A252="","",INDEX(대장!$A$1:$A$501,$A252))</x:f>
        <x:v>#NAME?</x:v>
      </x:c>
      <x:c r="C252" s="46" t="e">
        <x:f>IFERROR(IF($A252="","",INDEX(대장!$F$1:$F$501,$A252)),"")</x:f>
        <x:v>#NAME?</x:v>
      </x:c>
      <x:c r="D252" s="46" t="e">
        <x:f>IFERROR(IF($A252="","",INDEX(대장!$G$1:$G$501,$A252)),"")</x:f>
        <x:v>#NAME?</x:v>
      </x:c>
      <x:c r="E252" t="e">
        <x:f>IF($A252="","",IF(NOT(ISNUMBER(INDEX(대장!$F$1:$F$501,$A252))),"확인 필요",IF(AND(INDEX(대장!$G$1:$G$501,$A252)&lt;&gt;"",NOT(ISNUMBER(INDEX(대장!$G$1:$G$501,$A252)))),"확인 필요",IF(AND(ISNUMBER(INDEX(대장!$G$1:$G$501,$A252)),INDEX(대장!$G$1:$G$501,$A252)&lt;INDEX(대장!$F$1:$F$501,$A252)),"확인 필요",IF(INDEX(대장!$L$1:$L$501,$A252)&lt;&gt;"","메모 있음","정상")))))</x:f>
        <x:v>#NAME?</x:v>
      </x:c>
      <x:c r="F252" t="e">
        <x:f>IF($A252="","",IF($E252="확인 필요","시작일·종료일과 기간 순서를 확인해 주세요.",IF($E252="메모 있음",IFERROR(INDEX(대장!$L$1:$L$501,$A252),""),"")))</x:f>
        <x:v>#NAME?</x:v>
      </x:c>
    </x:row>
    <x:row r="253">
      <x:c r="A253" t="e">
        <x:f>IF(INDEX(대장!$A$1:$A$501,ROW()-2)="","",ROW()-2)</x:f>
        <x:v>#NAME?</x:v>
      </x:c>
      <x:c r="B253" t="e">
        <x:f>IF($A253="","",INDEX(대장!$A$1:$A$501,$A253))</x:f>
        <x:v>#NAME?</x:v>
      </x:c>
      <x:c r="C253" s="46" t="e">
        <x:f>IFERROR(IF($A253="","",INDEX(대장!$F$1:$F$501,$A253)),"")</x:f>
        <x:v>#NAME?</x:v>
      </x:c>
      <x:c r="D253" s="46" t="e">
        <x:f>IFERROR(IF($A253="","",INDEX(대장!$G$1:$G$501,$A253)),"")</x:f>
        <x:v>#NAME?</x:v>
      </x:c>
      <x:c r="E253" t="e">
        <x:f>IF($A253="","",IF(NOT(ISNUMBER(INDEX(대장!$F$1:$F$501,$A253))),"확인 필요",IF(AND(INDEX(대장!$G$1:$G$501,$A253)&lt;&gt;"",NOT(ISNUMBER(INDEX(대장!$G$1:$G$501,$A253)))),"확인 필요",IF(AND(ISNUMBER(INDEX(대장!$G$1:$G$501,$A253)),INDEX(대장!$G$1:$G$501,$A253)&lt;INDEX(대장!$F$1:$F$501,$A253)),"확인 필요",IF(INDEX(대장!$L$1:$L$501,$A253)&lt;&gt;"","메모 있음","정상")))))</x:f>
        <x:v>#NAME?</x:v>
      </x:c>
      <x:c r="F253" t="e">
        <x:f>IF($A253="","",IF($E253="확인 필요","시작일·종료일과 기간 순서를 확인해 주세요.",IF($E253="메모 있음",IFERROR(INDEX(대장!$L$1:$L$501,$A253),""),"")))</x:f>
        <x:v>#NAME?</x:v>
      </x:c>
    </x:row>
    <x:row r="254">
      <x:c r="A254" t="e">
        <x:f>IF(INDEX(대장!$A$1:$A$501,ROW()-2)="","",ROW()-2)</x:f>
        <x:v>#NAME?</x:v>
      </x:c>
      <x:c r="B254" t="e">
        <x:f>IF($A254="","",INDEX(대장!$A$1:$A$501,$A254))</x:f>
        <x:v>#NAME?</x:v>
      </x:c>
      <x:c r="C254" s="46" t="e">
        <x:f>IFERROR(IF($A254="","",INDEX(대장!$F$1:$F$501,$A254)),"")</x:f>
        <x:v>#NAME?</x:v>
      </x:c>
      <x:c r="D254" s="46" t="e">
        <x:f>IFERROR(IF($A254="","",INDEX(대장!$G$1:$G$501,$A254)),"")</x:f>
        <x:v>#NAME?</x:v>
      </x:c>
      <x:c r="E254" t="e">
        <x:f>IF($A254="","",IF(NOT(ISNUMBER(INDEX(대장!$F$1:$F$501,$A254))),"확인 필요",IF(AND(INDEX(대장!$G$1:$G$501,$A254)&lt;&gt;"",NOT(ISNUMBER(INDEX(대장!$G$1:$G$501,$A254)))),"확인 필요",IF(AND(ISNUMBER(INDEX(대장!$G$1:$G$501,$A254)),INDEX(대장!$G$1:$G$501,$A254)&lt;INDEX(대장!$F$1:$F$501,$A254)),"확인 필요",IF(INDEX(대장!$L$1:$L$501,$A254)&lt;&gt;"","메모 있음","정상")))))</x:f>
        <x:v>#NAME?</x:v>
      </x:c>
      <x:c r="F254" t="e">
        <x:f>IF($A254="","",IF($E254="확인 필요","시작일·종료일과 기간 순서를 확인해 주세요.",IF($E254="메모 있음",IFERROR(INDEX(대장!$L$1:$L$501,$A254),""),"")))</x:f>
        <x:v>#NAME?</x:v>
      </x:c>
    </x:row>
    <x:row r="255">
      <x:c r="A255" t="e">
        <x:f>IF(INDEX(대장!$A$1:$A$501,ROW()-2)="","",ROW()-2)</x:f>
        <x:v>#NAME?</x:v>
      </x:c>
      <x:c r="B255" t="e">
        <x:f>IF($A255="","",INDEX(대장!$A$1:$A$501,$A255))</x:f>
        <x:v>#NAME?</x:v>
      </x:c>
      <x:c r="C255" s="46" t="e">
        <x:f>IFERROR(IF($A255="","",INDEX(대장!$F$1:$F$501,$A255)),"")</x:f>
        <x:v>#NAME?</x:v>
      </x:c>
      <x:c r="D255" s="46" t="e">
        <x:f>IFERROR(IF($A255="","",INDEX(대장!$G$1:$G$501,$A255)),"")</x:f>
        <x:v>#NAME?</x:v>
      </x:c>
      <x:c r="E255" t="e">
        <x:f>IF($A255="","",IF(NOT(ISNUMBER(INDEX(대장!$F$1:$F$501,$A255))),"확인 필요",IF(AND(INDEX(대장!$G$1:$G$501,$A255)&lt;&gt;"",NOT(ISNUMBER(INDEX(대장!$G$1:$G$501,$A255)))),"확인 필요",IF(AND(ISNUMBER(INDEX(대장!$G$1:$G$501,$A255)),INDEX(대장!$G$1:$G$501,$A255)&lt;INDEX(대장!$F$1:$F$501,$A255)),"확인 필요",IF(INDEX(대장!$L$1:$L$501,$A255)&lt;&gt;"","메모 있음","정상")))))</x:f>
        <x:v>#NAME?</x:v>
      </x:c>
      <x:c r="F255" t="e">
        <x:f>IF($A255="","",IF($E255="확인 필요","시작일·종료일과 기간 순서를 확인해 주세요.",IF($E255="메모 있음",IFERROR(INDEX(대장!$L$1:$L$501,$A255),""),"")))</x:f>
        <x:v>#NAME?</x:v>
      </x:c>
    </x:row>
    <x:row r="256">
      <x:c r="A256" t="e">
        <x:f>IF(INDEX(대장!$A$1:$A$501,ROW()-2)="","",ROW()-2)</x:f>
        <x:v>#NAME?</x:v>
      </x:c>
      <x:c r="B256" t="e">
        <x:f>IF($A256="","",INDEX(대장!$A$1:$A$501,$A256))</x:f>
        <x:v>#NAME?</x:v>
      </x:c>
      <x:c r="C256" s="46" t="e">
        <x:f>IFERROR(IF($A256="","",INDEX(대장!$F$1:$F$501,$A256)),"")</x:f>
        <x:v>#NAME?</x:v>
      </x:c>
      <x:c r="D256" s="46" t="e">
        <x:f>IFERROR(IF($A256="","",INDEX(대장!$G$1:$G$501,$A256)),"")</x:f>
        <x:v>#NAME?</x:v>
      </x:c>
      <x:c r="E256" t="e">
        <x:f>IF($A256="","",IF(NOT(ISNUMBER(INDEX(대장!$F$1:$F$501,$A256))),"확인 필요",IF(AND(INDEX(대장!$G$1:$G$501,$A256)&lt;&gt;"",NOT(ISNUMBER(INDEX(대장!$G$1:$G$501,$A256)))),"확인 필요",IF(AND(ISNUMBER(INDEX(대장!$G$1:$G$501,$A256)),INDEX(대장!$G$1:$G$501,$A256)&lt;INDEX(대장!$F$1:$F$501,$A256)),"확인 필요",IF(INDEX(대장!$L$1:$L$501,$A256)&lt;&gt;"","메모 있음","정상")))))</x:f>
        <x:v>#NAME?</x:v>
      </x:c>
      <x:c r="F256" t="e">
        <x:f>IF($A256="","",IF($E256="확인 필요","시작일·종료일과 기간 순서를 확인해 주세요.",IF($E256="메모 있음",IFERROR(INDEX(대장!$L$1:$L$501,$A256),""),"")))</x:f>
        <x:v>#NAME?</x:v>
      </x:c>
    </x:row>
    <x:row r="257">
      <x:c r="A257" t="e">
        <x:f>IF(INDEX(대장!$A$1:$A$501,ROW()-2)="","",ROW()-2)</x:f>
        <x:v>#NAME?</x:v>
      </x:c>
      <x:c r="B257" t="e">
        <x:f>IF($A257="","",INDEX(대장!$A$1:$A$501,$A257))</x:f>
        <x:v>#NAME?</x:v>
      </x:c>
      <x:c r="C257" s="46" t="e">
        <x:f>IFERROR(IF($A257="","",INDEX(대장!$F$1:$F$501,$A257)),"")</x:f>
        <x:v>#NAME?</x:v>
      </x:c>
      <x:c r="D257" s="46" t="e">
        <x:f>IFERROR(IF($A257="","",INDEX(대장!$G$1:$G$501,$A257)),"")</x:f>
        <x:v>#NAME?</x:v>
      </x:c>
      <x:c r="E257" t="e">
        <x:f>IF($A257="","",IF(NOT(ISNUMBER(INDEX(대장!$F$1:$F$501,$A257))),"확인 필요",IF(AND(INDEX(대장!$G$1:$G$501,$A257)&lt;&gt;"",NOT(ISNUMBER(INDEX(대장!$G$1:$G$501,$A257)))),"확인 필요",IF(AND(ISNUMBER(INDEX(대장!$G$1:$G$501,$A257)),INDEX(대장!$G$1:$G$501,$A257)&lt;INDEX(대장!$F$1:$F$501,$A257)),"확인 필요",IF(INDEX(대장!$L$1:$L$501,$A257)&lt;&gt;"","메모 있음","정상")))))</x:f>
        <x:v>#NAME?</x:v>
      </x:c>
      <x:c r="F257" t="e">
        <x:f>IF($A257="","",IF($E257="확인 필요","시작일·종료일과 기간 순서를 확인해 주세요.",IF($E257="메모 있음",IFERROR(INDEX(대장!$L$1:$L$501,$A257),""),"")))</x:f>
        <x:v>#NAME?</x:v>
      </x:c>
    </x:row>
    <x:row r="258">
      <x:c r="A258" t="e">
        <x:f>IF(INDEX(대장!$A$1:$A$501,ROW()-2)="","",ROW()-2)</x:f>
        <x:v>#NAME?</x:v>
      </x:c>
      <x:c r="B258" t="e">
        <x:f>IF($A258="","",INDEX(대장!$A$1:$A$501,$A258))</x:f>
        <x:v>#NAME?</x:v>
      </x:c>
      <x:c r="C258" s="46" t="e">
        <x:f>IFERROR(IF($A258="","",INDEX(대장!$F$1:$F$501,$A258)),"")</x:f>
        <x:v>#NAME?</x:v>
      </x:c>
      <x:c r="D258" s="46" t="e">
        <x:f>IFERROR(IF($A258="","",INDEX(대장!$G$1:$G$501,$A258)),"")</x:f>
        <x:v>#NAME?</x:v>
      </x:c>
      <x:c r="E258" t="e">
        <x:f>IF($A258="","",IF(NOT(ISNUMBER(INDEX(대장!$F$1:$F$501,$A258))),"확인 필요",IF(AND(INDEX(대장!$G$1:$G$501,$A258)&lt;&gt;"",NOT(ISNUMBER(INDEX(대장!$G$1:$G$501,$A258)))),"확인 필요",IF(AND(ISNUMBER(INDEX(대장!$G$1:$G$501,$A258)),INDEX(대장!$G$1:$G$501,$A258)&lt;INDEX(대장!$F$1:$F$501,$A258)),"확인 필요",IF(INDEX(대장!$L$1:$L$501,$A258)&lt;&gt;"","메모 있음","정상")))))</x:f>
        <x:v>#NAME?</x:v>
      </x:c>
      <x:c r="F258" t="e">
        <x:f>IF($A258="","",IF($E258="확인 필요","시작일·종료일과 기간 순서를 확인해 주세요.",IF($E258="메모 있음",IFERROR(INDEX(대장!$L$1:$L$501,$A258),""),"")))</x:f>
        <x:v>#NAME?</x:v>
      </x:c>
    </x:row>
    <x:row r="259">
      <x:c r="A259" t="e">
        <x:f>IF(INDEX(대장!$A$1:$A$501,ROW()-2)="","",ROW()-2)</x:f>
        <x:v>#NAME?</x:v>
      </x:c>
      <x:c r="B259" t="e">
        <x:f>IF($A259="","",INDEX(대장!$A$1:$A$501,$A259))</x:f>
        <x:v>#NAME?</x:v>
      </x:c>
      <x:c r="C259" s="46" t="e">
        <x:f>IFERROR(IF($A259="","",INDEX(대장!$F$1:$F$501,$A259)),"")</x:f>
        <x:v>#NAME?</x:v>
      </x:c>
      <x:c r="D259" s="46" t="e">
        <x:f>IFERROR(IF($A259="","",INDEX(대장!$G$1:$G$501,$A259)),"")</x:f>
        <x:v>#NAME?</x:v>
      </x:c>
      <x:c r="E259" t="e">
        <x:f>IF($A259="","",IF(NOT(ISNUMBER(INDEX(대장!$F$1:$F$501,$A259))),"확인 필요",IF(AND(INDEX(대장!$G$1:$G$501,$A259)&lt;&gt;"",NOT(ISNUMBER(INDEX(대장!$G$1:$G$501,$A259)))),"확인 필요",IF(AND(ISNUMBER(INDEX(대장!$G$1:$G$501,$A259)),INDEX(대장!$G$1:$G$501,$A259)&lt;INDEX(대장!$F$1:$F$501,$A259)),"확인 필요",IF(INDEX(대장!$L$1:$L$501,$A259)&lt;&gt;"","메모 있음","정상")))))</x:f>
        <x:v>#NAME?</x:v>
      </x:c>
      <x:c r="F259" t="e">
        <x:f>IF($A259="","",IF($E259="확인 필요","시작일·종료일과 기간 순서를 확인해 주세요.",IF($E259="메모 있음",IFERROR(INDEX(대장!$L$1:$L$501,$A259),""),"")))</x:f>
        <x:v>#NAME?</x:v>
      </x:c>
    </x:row>
    <x:row r="260">
      <x:c r="A260" t="e">
        <x:f>IF(INDEX(대장!$A$1:$A$501,ROW()-2)="","",ROW()-2)</x:f>
        <x:v>#NAME?</x:v>
      </x:c>
      <x:c r="B260" t="e">
        <x:f>IF($A260="","",INDEX(대장!$A$1:$A$501,$A260))</x:f>
        <x:v>#NAME?</x:v>
      </x:c>
      <x:c r="C260" s="46" t="e">
        <x:f>IFERROR(IF($A260="","",INDEX(대장!$F$1:$F$501,$A260)),"")</x:f>
        <x:v>#NAME?</x:v>
      </x:c>
      <x:c r="D260" s="46" t="e">
        <x:f>IFERROR(IF($A260="","",INDEX(대장!$G$1:$G$501,$A260)),"")</x:f>
        <x:v>#NAME?</x:v>
      </x:c>
      <x:c r="E260" t="e">
        <x:f>IF($A260="","",IF(NOT(ISNUMBER(INDEX(대장!$F$1:$F$501,$A260))),"확인 필요",IF(AND(INDEX(대장!$G$1:$G$501,$A260)&lt;&gt;"",NOT(ISNUMBER(INDEX(대장!$G$1:$G$501,$A260)))),"확인 필요",IF(AND(ISNUMBER(INDEX(대장!$G$1:$G$501,$A260)),INDEX(대장!$G$1:$G$501,$A260)&lt;INDEX(대장!$F$1:$F$501,$A260)),"확인 필요",IF(INDEX(대장!$L$1:$L$501,$A260)&lt;&gt;"","메모 있음","정상")))))</x:f>
        <x:v>#NAME?</x:v>
      </x:c>
      <x:c r="F260" t="e">
        <x:f>IF($A260="","",IF($E260="확인 필요","시작일·종료일과 기간 순서를 확인해 주세요.",IF($E260="메모 있음",IFERROR(INDEX(대장!$L$1:$L$501,$A260),""),"")))</x:f>
        <x:v>#NAME?</x:v>
      </x:c>
    </x:row>
    <x:row r="261">
      <x:c r="A261" t="e">
        <x:f>IF(INDEX(대장!$A$1:$A$501,ROW()-2)="","",ROW()-2)</x:f>
        <x:v>#NAME?</x:v>
      </x:c>
      <x:c r="B261" t="e">
        <x:f>IF($A261="","",INDEX(대장!$A$1:$A$501,$A261))</x:f>
        <x:v>#NAME?</x:v>
      </x:c>
      <x:c r="C261" s="46" t="e">
        <x:f>IFERROR(IF($A261="","",INDEX(대장!$F$1:$F$501,$A261)),"")</x:f>
        <x:v>#NAME?</x:v>
      </x:c>
      <x:c r="D261" s="46" t="e">
        <x:f>IFERROR(IF($A261="","",INDEX(대장!$G$1:$G$501,$A261)),"")</x:f>
        <x:v>#NAME?</x:v>
      </x:c>
      <x:c r="E261" t="e">
        <x:f>IF($A261="","",IF(NOT(ISNUMBER(INDEX(대장!$F$1:$F$501,$A261))),"확인 필요",IF(AND(INDEX(대장!$G$1:$G$501,$A261)&lt;&gt;"",NOT(ISNUMBER(INDEX(대장!$G$1:$G$501,$A261)))),"확인 필요",IF(AND(ISNUMBER(INDEX(대장!$G$1:$G$501,$A261)),INDEX(대장!$G$1:$G$501,$A261)&lt;INDEX(대장!$F$1:$F$501,$A261)),"확인 필요",IF(INDEX(대장!$L$1:$L$501,$A261)&lt;&gt;"","메모 있음","정상")))))</x:f>
        <x:v>#NAME?</x:v>
      </x:c>
      <x:c r="F261" t="e">
        <x:f>IF($A261="","",IF($E261="확인 필요","시작일·종료일과 기간 순서를 확인해 주세요.",IF($E261="메모 있음",IFERROR(INDEX(대장!$L$1:$L$501,$A261),""),"")))</x:f>
        <x:v>#NAME?</x:v>
      </x:c>
    </x:row>
    <x:row r="262">
      <x:c r="A262" t="e">
        <x:f>IF(INDEX(대장!$A$1:$A$501,ROW()-2)="","",ROW()-2)</x:f>
        <x:v>#NAME?</x:v>
      </x:c>
      <x:c r="B262" t="e">
        <x:f>IF($A262="","",INDEX(대장!$A$1:$A$501,$A262))</x:f>
        <x:v>#NAME?</x:v>
      </x:c>
      <x:c r="C262" s="46" t="e">
        <x:f>IFERROR(IF($A262="","",INDEX(대장!$F$1:$F$501,$A262)),"")</x:f>
        <x:v>#NAME?</x:v>
      </x:c>
      <x:c r="D262" s="46" t="e">
        <x:f>IFERROR(IF($A262="","",INDEX(대장!$G$1:$G$501,$A262)),"")</x:f>
        <x:v>#NAME?</x:v>
      </x:c>
      <x:c r="E262" t="e">
        <x:f>IF($A262="","",IF(NOT(ISNUMBER(INDEX(대장!$F$1:$F$501,$A262))),"확인 필요",IF(AND(INDEX(대장!$G$1:$G$501,$A262)&lt;&gt;"",NOT(ISNUMBER(INDEX(대장!$G$1:$G$501,$A262)))),"확인 필요",IF(AND(ISNUMBER(INDEX(대장!$G$1:$G$501,$A262)),INDEX(대장!$G$1:$G$501,$A262)&lt;INDEX(대장!$F$1:$F$501,$A262)),"확인 필요",IF(INDEX(대장!$L$1:$L$501,$A262)&lt;&gt;"","메모 있음","정상")))))</x:f>
        <x:v>#NAME?</x:v>
      </x:c>
      <x:c r="F262" t="e">
        <x:f>IF($A262="","",IF($E262="확인 필요","시작일·종료일과 기간 순서를 확인해 주세요.",IF($E262="메모 있음",IFERROR(INDEX(대장!$L$1:$L$501,$A262),""),"")))</x:f>
        <x:v>#NAME?</x:v>
      </x:c>
    </x:row>
    <x:row r="263">
      <x:c r="A263" t="e">
        <x:f>IF(INDEX(대장!$A$1:$A$501,ROW()-2)="","",ROW()-2)</x:f>
        <x:v>#NAME?</x:v>
      </x:c>
      <x:c r="B263" t="e">
        <x:f>IF($A263="","",INDEX(대장!$A$1:$A$501,$A263))</x:f>
        <x:v>#NAME?</x:v>
      </x:c>
      <x:c r="C263" s="46" t="e">
        <x:f>IFERROR(IF($A263="","",INDEX(대장!$F$1:$F$501,$A263)),"")</x:f>
        <x:v>#NAME?</x:v>
      </x:c>
      <x:c r="D263" s="46" t="e">
        <x:f>IFERROR(IF($A263="","",INDEX(대장!$G$1:$G$501,$A263)),"")</x:f>
        <x:v>#NAME?</x:v>
      </x:c>
      <x:c r="E263" t="e">
        <x:f>IF($A263="","",IF(NOT(ISNUMBER(INDEX(대장!$F$1:$F$501,$A263))),"확인 필요",IF(AND(INDEX(대장!$G$1:$G$501,$A263)&lt;&gt;"",NOT(ISNUMBER(INDEX(대장!$G$1:$G$501,$A263)))),"확인 필요",IF(AND(ISNUMBER(INDEX(대장!$G$1:$G$501,$A263)),INDEX(대장!$G$1:$G$501,$A263)&lt;INDEX(대장!$F$1:$F$501,$A263)),"확인 필요",IF(INDEX(대장!$L$1:$L$501,$A263)&lt;&gt;"","메모 있음","정상")))))</x:f>
        <x:v>#NAME?</x:v>
      </x:c>
      <x:c r="F263" t="e">
        <x:f>IF($A263="","",IF($E263="확인 필요","시작일·종료일과 기간 순서를 확인해 주세요.",IF($E263="메모 있음",IFERROR(INDEX(대장!$L$1:$L$501,$A263),""),"")))</x:f>
        <x:v>#NAME?</x:v>
      </x:c>
    </x:row>
    <x:row r="264">
      <x:c r="A264" t="e">
        <x:f>IF(INDEX(대장!$A$1:$A$501,ROW()-2)="","",ROW()-2)</x:f>
        <x:v>#NAME?</x:v>
      </x:c>
      <x:c r="B264" t="e">
        <x:f>IF($A264="","",INDEX(대장!$A$1:$A$501,$A264))</x:f>
        <x:v>#NAME?</x:v>
      </x:c>
      <x:c r="C264" s="46" t="e">
        <x:f>IFERROR(IF($A264="","",INDEX(대장!$F$1:$F$501,$A264)),"")</x:f>
        <x:v>#NAME?</x:v>
      </x:c>
      <x:c r="D264" s="46" t="e">
        <x:f>IFERROR(IF($A264="","",INDEX(대장!$G$1:$G$501,$A264)),"")</x:f>
        <x:v>#NAME?</x:v>
      </x:c>
      <x:c r="E264" t="e">
        <x:f>IF($A264="","",IF(NOT(ISNUMBER(INDEX(대장!$F$1:$F$501,$A264))),"확인 필요",IF(AND(INDEX(대장!$G$1:$G$501,$A264)&lt;&gt;"",NOT(ISNUMBER(INDEX(대장!$G$1:$G$501,$A264)))),"확인 필요",IF(AND(ISNUMBER(INDEX(대장!$G$1:$G$501,$A264)),INDEX(대장!$G$1:$G$501,$A264)&lt;INDEX(대장!$F$1:$F$501,$A264)),"확인 필요",IF(INDEX(대장!$L$1:$L$501,$A264)&lt;&gt;"","메모 있음","정상")))))</x:f>
        <x:v>#NAME?</x:v>
      </x:c>
      <x:c r="F264" t="e">
        <x:f>IF($A264="","",IF($E264="확인 필요","시작일·종료일과 기간 순서를 확인해 주세요.",IF($E264="메모 있음",IFERROR(INDEX(대장!$L$1:$L$501,$A264),""),"")))</x:f>
        <x:v>#NAME?</x:v>
      </x:c>
    </x:row>
    <x:row r="265">
      <x:c r="A265" t="e">
        <x:f>IF(INDEX(대장!$A$1:$A$501,ROW()-2)="","",ROW()-2)</x:f>
        <x:v>#NAME?</x:v>
      </x:c>
      <x:c r="B265" t="e">
        <x:f>IF($A265="","",INDEX(대장!$A$1:$A$501,$A265))</x:f>
        <x:v>#NAME?</x:v>
      </x:c>
      <x:c r="C265" s="46" t="e">
        <x:f>IFERROR(IF($A265="","",INDEX(대장!$F$1:$F$501,$A265)),"")</x:f>
        <x:v>#NAME?</x:v>
      </x:c>
      <x:c r="D265" s="46" t="e">
        <x:f>IFERROR(IF($A265="","",INDEX(대장!$G$1:$G$501,$A265)),"")</x:f>
        <x:v>#NAME?</x:v>
      </x:c>
      <x:c r="E265" t="e">
        <x:f>IF($A265="","",IF(NOT(ISNUMBER(INDEX(대장!$F$1:$F$501,$A265))),"확인 필요",IF(AND(INDEX(대장!$G$1:$G$501,$A265)&lt;&gt;"",NOT(ISNUMBER(INDEX(대장!$G$1:$G$501,$A265)))),"확인 필요",IF(AND(ISNUMBER(INDEX(대장!$G$1:$G$501,$A265)),INDEX(대장!$G$1:$G$501,$A265)&lt;INDEX(대장!$F$1:$F$501,$A265)),"확인 필요",IF(INDEX(대장!$L$1:$L$501,$A265)&lt;&gt;"","메모 있음","정상")))))</x:f>
        <x:v>#NAME?</x:v>
      </x:c>
      <x:c r="F265" t="e">
        <x:f>IF($A265="","",IF($E265="확인 필요","시작일·종료일과 기간 순서를 확인해 주세요.",IF($E265="메모 있음",IFERROR(INDEX(대장!$L$1:$L$501,$A265),""),"")))</x:f>
        <x:v>#NAME?</x:v>
      </x:c>
    </x:row>
    <x:row r="266">
      <x:c r="A266" t="e">
        <x:f>IF(INDEX(대장!$A$1:$A$501,ROW()-2)="","",ROW()-2)</x:f>
        <x:v>#NAME?</x:v>
      </x:c>
      <x:c r="B266" t="e">
        <x:f>IF($A266="","",INDEX(대장!$A$1:$A$501,$A266))</x:f>
        <x:v>#NAME?</x:v>
      </x:c>
      <x:c r="C266" s="46" t="e">
        <x:f>IFERROR(IF($A266="","",INDEX(대장!$F$1:$F$501,$A266)),"")</x:f>
        <x:v>#NAME?</x:v>
      </x:c>
      <x:c r="D266" s="46" t="e">
        <x:f>IFERROR(IF($A266="","",INDEX(대장!$G$1:$G$501,$A266)),"")</x:f>
        <x:v>#NAME?</x:v>
      </x:c>
      <x:c r="E266" t="e">
        <x:f>IF($A266="","",IF(NOT(ISNUMBER(INDEX(대장!$F$1:$F$501,$A266))),"확인 필요",IF(AND(INDEX(대장!$G$1:$G$501,$A266)&lt;&gt;"",NOT(ISNUMBER(INDEX(대장!$G$1:$G$501,$A266)))),"확인 필요",IF(AND(ISNUMBER(INDEX(대장!$G$1:$G$501,$A266)),INDEX(대장!$G$1:$G$501,$A266)&lt;INDEX(대장!$F$1:$F$501,$A266)),"확인 필요",IF(INDEX(대장!$L$1:$L$501,$A266)&lt;&gt;"","메모 있음","정상")))))</x:f>
        <x:v>#NAME?</x:v>
      </x:c>
      <x:c r="F266" t="e">
        <x:f>IF($A266="","",IF($E266="확인 필요","시작일·종료일과 기간 순서를 확인해 주세요.",IF($E266="메모 있음",IFERROR(INDEX(대장!$L$1:$L$501,$A266),""),"")))</x:f>
        <x:v>#NAME?</x:v>
      </x:c>
    </x:row>
    <x:row r="267">
      <x:c r="A267" t="e">
        <x:f>IF(INDEX(대장!$A$1:$A$501,ROW()-2)="","",ROW()-2)</x:f>
        <x:v>#NAME?</x:v>
      </x:c>
      <x:c r="B267" t="e">
        <x:f>IF($A267="","",INDEX(대장!$A$1:$A$501,$A267))</x:f>
        <x:v>#NAME?</x:v>
      </x:c>
      <x:c r="C267" s="46" t="e">
        <x:f>IFERROR(IF($A267="","",INDEX(대장!$F$1:$F$501,$A267)),"")</x:f>
        <x:v>#NAME?</x:v>
      </x:c>
      <x:c r="D267" s="46" t="e">
        <x:f>IFERROR(IF($A267="","",INDEX(대장!$G$1:$G$501,$A267)),"")</x:f>
        <x:v>#NAME?</x:v>
      </x:c>
      <x:c r="E267" t="e">
        <x:f>IF($A267="","",IF(NOT(ISNUMBER(INDEX(대장!$F$1:$F$501,$A267))),"확인 필요",IF(AND(INDEX(대장!$G$1:$G$501,$A267)&lt;&gt;"",NOT(ISNUMBER(INDEX(대장!$G$1:$G$501,$A267)))),"확인 필요",IF(AND(ISNUMBER(INDEX(대장!$G$1:$G$501,$A267)),INDEX(대장!$G$1:$G$501,$A267)&lt;INDEX(대장!$F$1:$F$501,$A267)),"확인 필요",IF(INDEX(대장!$L$1:$L$501,$A267)&lt;&gt;"","메모 있음","정상")))))</x:f>
        <x:v>#NAME?</x:v>
      </x:c>
      <x:c r="F267" t="e">
        <x:f>IF($A267="","",IF($E267="확인 필요","시작일·종료일과 기간 순서를 확인해 주세요.",IF($E267="메모 있음",IFERROR(INDEX(대장!$L$1:$L$501,$A267),""),"")))</x:f>
        <x:v>#NAME?</x:v>
      </x:c>
    </x:row>
    <x:row r="268">
      <x:c r="A268" t="e">
        <x:f>IF(INDEX(대장!$A$1:$A$501,ROW()-2)="","",ROW()-2)</x:f>
        <x:v>#NAME?</x:v>
      </x:c>
      <x:c r="B268" t="e">
        <x:f>IF($A268="","",INDEX(대장!$A$1:$A$501,$A268))</x:f>
        <x:v>#NAME?</x:v>
      </x:c>
      <x:c r="C268" s="46" t="e">
        <x:f>IFERROR(IF($A268="","",INDEX(대장!$F$1:$F$501,$A268)),"")</x:f>
        <x:v>#NAME?</x:v>
      </x:c>
      <x:c r="D268" s="46" t="e">
        <x:f>IFERROR(IF($A268="","",INDEX(대장!$G$1:$G$501,$A268)),"")</x:f>
        <x:v>#NAME?</x:v>
      </x:c>
      <x:c r="E268" t="e">
        <x:f>IF($A268="","",IF(NOT(ISNUMBER(INDEX(대장!$F$1:$F$501,$A268))),"확인 필요",IF(AND(INDEX(대장!$G$1:$G$501,$A268)&lt;&gt;"",NOT(ISNUMBER(INDEX(대장!$G$1:$G$501,$A268)))),"확인 필요",IF(AND(ISNUMBER(INDEX(대장!$G$1:$G$501,$A268)),INDEX(대장!$G$1:$G$501,$A268)&lt;INDEX(대장!$F$1:$F$501,$A268)),"확인 필요",IF(INDEX(대장!$L$1:$L$501,$A268)&lt;&gt;"","메모 있음","정상")))))</x:f>
        <x:v>#NAME?</x:v>
      </x:c>
      <x:c r="F268" t="e">
        <x:f>IF($A268="","",IF($E268="확인 필요","시작일·종료일과 기간 순서를 확인해 주세요.",IF($E268="메모 있음",IFERROR(INDEX(대장!$L$1:$L$501,$A268),""),"")))</x:f>
        <x:v>#NAME?</x:v>
      </x:c>
    </x:row>
    <x:row r="269">
      <x:c r="A269" t="e">
        <x:f>IF(INDEX(대장!$A$1:$A$501,ROW()-2)="","",ROW()-2)</x:f>
        <x:v>#NAME?</x:v>
      </x:c>
      <x:c r="B269" t="e">
        <x:f>IF($A269="","",INDEX(대장!$A$1:$A$501,$A269))</x:f>
        <x:v>#NAME?</x:v>
      </x:c>
      <x:c r="C269" s="46" t="e">
        <x:f>IFERROR(IF($A269="","",INDEX(대장!$F$1:$F$501,$A269)),"")</x:f>
        <x:v>#NAME?</x:v>
      </x:c>
      <x:c r="D269" s="46" t="e">
        <x:f>IFERROR(IF($A269="","",INDEX(대장!$G$1:$G$501,$A269)),"")</x:f>
        <x:v>#NAME?</x:v>
      </x:c>
      <x:c r="E269" t="e">
        <x:f>IF($A269="","",IF(NOT(ISNUMBER(INDEX(대장!$F$1:$F$501,$A269))),"확인 필요",IF(AND(INDEX(대장!$G$1:$G$501,$A269)&lt;&gt;"",NOT(ISNUMBER(INDEX(대장!$G$1:$G$501,$A269)))),"확인 필요",IF(AND(ISNUMBER(INDEX(대장!$G$1:$G$501,$A269)),INDEX(대장!$G$1:$G$501,$A269)&lt;INDEX(대장!$F$1:$F$501,$A269)),"확인 필요",IF(INDEX(대장!$L$1:$L$501,$A269)&lt;&gt;"","메모 있음","정상")))))</x:f>
        <x:v>#NAME?</x:v>
      </x:c>
      <x:c r="F269" t="e">
        <x:f>IF($A269="","",IF($E269="확인 필요","시작일·종료일과 기간 순서를 확인해 주세요.",IF($E269="메모 있음",IFERROR(INDEX(대장!$L$1:$L$501,$A269),""),"")))</x:f>
        <x:v>#NAME?</x:v>
      </x:c>
    </x:row>
    <x:row r="270">
      <x:c r="A270" t="e">
        <x:f>IF(INDEX(대장!$A$1:$A$501,ROW()-2)="","",ROW()-2)</x:f>
        <x:v>#NAME?</x:v>
      </x:c>
      <x:c r="B270" t="e">
        <x:f>IF($A270="","",INDEX(대장!$A$1:$A$501,$A270))</x:f>
        <x:v>#NAME?</x:v>
      </x:c>
      <x:c r="C270" s="46" t="e">
        <x:f>IFERROR(IF($A270="","",INDEX(대장!$F$1:$F$501,$A270)),"")</x:f>
        <x:v>#NAME?</x:v>
      </x:c>
      <x:c r="D270" s="46" t="e">
        <x:f>IFERROR(IF($A270="","",INDEX(대장!$G$1:$G$501,$A270)),"")</x:f>
        <x:v>#NAME?</x:v>
      </x:c>
      <x:c r="E270" t="e">
        <x:f>IF($A270="","",IF(NOT(ISNUMBER(INDEX(대장!$F$1:$F$501,$A270))),"확인 필요",IF(AND(INDEX(대장!$G$1:$G$501,$A270)&lt;&gt;"",NOT(ISNUMBER(INDEX(대장!$G$1:$G$501,$A270)))),"확인 필요",IF(AND(ISNUMBER(INDEX(대장!$G$1:$G$501,$A270)),INDEX(대장!$G$1:$G$501,$A270)&lt;INDEX(대장!$F$1:$F$501,$A270)),"확인 필요",IF(INDEX(대장!$L$1:$L$501,$A270)&lt;&gt;"","메모 있음","정상")))))</x:f>
        <x:v>#NAME?</x:v>
      </x:c>
      <x:c r="F270" t="e">
        <x:f>IF($A270="","",IF($E270="확인 필요","시작일·종료일과 기간 순서를 확인해 주세요.",IF($E270="메모 있음",IFERROR(INDEX(대장!$L$1:$L$501,$A270),""),"")))</x:f>
        <x:v>#NAME?</x:v>
      </x:c>
    </x:row>
    <x:row r="271">
      <x:c r="A271" t="e">
        <x:f>IF(INDEX(대장!$A$1:$A$501,ROW()-2)="","",ROW()-2)</x:f>
        <x:v>#NAME?</x:v>
      </x:c>
      <x:c r="B271" t="e">
        <x:f>IF($A271="","",INDEX(대장!$A$1:$A$501,$A271))</x:f>
        <x:v>#NAME?</x:v>
      </x:c>
      <x:c r="C271" s="46" t="e">
        <x:f>IFERROR(IF($A271="","",INDEX(대장!$F$1:$F$501,$A271)),"")</x:f>
        <x:v>#NAME?</x:v>
      </x:c>
      <x:c r="D271" s="46" t="e">
        <x:f>IFERROR(IF($A271="","",INDEX(대장!$G$1:$G$501,$A271)),"")</x:f>
        <x:v>#NAME?</x:v>
      </x:c>
      <x:c r="E271" t="e">
        <x:f>IF($A271="","",IF(NOT(ISNUMBER(INDEX(대장!$F$1:$F$501,$A271))),"확인 필요",IF(AND(INDEX(대장!$G$1:$G$501,$A271)&lt;&gt;"",NOT(ISNUMBER(INDEX(대장!$G$1:$G$501,$A271)))),"확인 필요",IF(AND(ISNUMBER(INDEX(대장!$G$1:$G$501,$A271)),INDEX(대장!$G$1:$G$501,$A271)&lt;INDEX(대장!$F$1:$F$501,$A271)),"확인 필요",IF(INDEX(대장!$L$1:$L$501,$A271)&lt;&gt;"","메모 있음","정상")))))</x:f>
        <x:v>#NAME?</x:v>
      </x:c>
      <x:c r="F271" t="e">
        <x:f>IF($A271="","",IF($E271="확인 필요","시작일·종료일과 기간 순서를 확인해 주세요.",IF($E271="메모 있음",IFERROR(INDEX(대장!$L$1:$L$501,$A271),""),"")))</x:f>
        <x:v>#NAME?</x:v>
      </x:c>
    </x:row>
    <x:row r="272">
      <x:c r="A272" t="e">
        <x:f>IF(INDEX(대장!$A$1:$A$501,ROW()-2)="","",ROW()-2)</x:f>
        <x:v>#NAME?</x:v>
      </x:c>
      <x:c r="B272" t="e">
        <x:f>IF($A272="","",INDEX(대장!$A$1:$A$501,$A272))</x:f>
        <x:v>#NAME?</x:v>
      </x:c>
      <x:c r="C272" s="46" t="e">
        <x:f>IFERROR(IF($A272="","",INDEX(대장!$F$1:$F$501,$A272)),"")</x:f>
        <x:v>#NAME?</x:v>
      </x:c>
      <x:c r="D272" s="46" t="e">
        <x:f>IFERROR(IF($A272="","",INDEX(대장!$G$1:$G$501,$A272)),"")</x:f>
        <x:v>#NAME?</x:v>
      </x:c>
      <x:c r="E272" t="e">
        <x:f>IF($A272="","",IF(NOT(ISNUMBER(INDEX(대장!$F$1:$F$501,$A272))),"확인 필요",IF(AND(INDEX(대장!$G$1:$G$501,$A272)&lt;&gt;"",NOT(ISNUMBER(INDEX(대장!$G$1:$G$501,$A272)))),"확인 필요",IF(AND(ISNUMBER(INDEX(대장!$G$1:$G$501,$A272)),INDEX(대장!$G$1:$G$501,$A272)&lt;INDEX(대장!$F$1:$F$501,$A272)),"확인 필요",IF(INDEX(대장!$L$1:$L$501,$A272)&lt;&gt;"","메모 있음","정상")))))</x:f>
        <x:v>#NAME?</x:v>
      </x:c>
      <x:c r="F272" t="e">
        <x:f>IF($A272="","",IF($E272="확인 필요","시작일·종료일과 기간 순서를 확인해 주세요.",IF($E272="메모 있음",IFERROR(INDEX(대장!$L$1:$L$501,$A272),""),"")))</x:f>
        <x:v>#NAME?</x:v>
      </x:c>
    </x:row>
    <x:row r="273">
      <x:c r="A273" t="e">
        <x:f>IF(INDEX(대장!$A$1:$A$501,ROW()-2)="","",ROW()-2)</x:f>
        <x:v>#NAME?</x:v>
      </x:c>
      <x:c r="B273" t="e">
        <x:f>IF($A273="","",INDEX(대장!$A$1:$A$501,$A273))</x:f>
        <x:v>#NAME?</x:v>
      </x:c>
      <x:c r="C273" s="46" t="e">
        <x:f>IFERROR(IF($A273="","",INDEX(대장!$F$1:$F$501,$A273)),"")</x:f>
        <x:v>#NAME?</x:v>
      </x:c>
      <x:c r="D273" s="46" t="e">
        <x:f>IFERROR(IF($A273="","",INDEX(대장!$G$1:$G$501,$A273)),"")</x:f>
        <x:v>#NAME?</x:v>
      </x:c>
      <x:c r="E273" t="e">
        <x:f>IF($A273="","",IF(NOT(ISNUMBER(INDEX(대장!$F$1:$F$501,$A273))),"확인 필요",IF(AND(INDEX(대장!$G$1:$G$501,$A273)&lt;&gt;"",NOT(ISNUMBER(INDEX(대장!$G$1:$G$501,$A273)))),"확인 필요",IF(AND(ISNUMBER(INDEX(대장!$G$1:$G$501,$A273)),INDEX(대장!$G$1:$G$501,$A273)&lt;INDEX(대장!$F$1:$F$501,$A273)),"확인 필요",IF(INDEX(대장!$L$1:$L$501,$A273)&lt;&gt;"","메모 있음","정상")))))</x:f>
        <x:v>#NAME?</x:v>
      </x:c>
      <x:c r="F273" t="e">
        <x:f>IF($A273="","",IF($E273="확인 필요","시작일·종료일과 기간 순서를 확인해 주세요.",IF($E273="메모 있음",IFERROR(INDEX(대장!$L$1:$L$501,$A273),""),"")))</x:f>
        <x:v>#NAME?</x:v>
      </x:c>
    </x:row>
    <x:row r="274">
      <x:c r="A274" t="e">
        <x:f>IF(INDEX(대장!$A$1:$A$501,ROW()-2)="","",ROW()-2)</x:f>
        <x:v>#NAME?</x:v>
      </x:c>
      <x:c r="B274" t="e">
        <x:f>IF($A274="","",INDEX(대장!$A$1:$A$501,$A274))</x:f>
        <x:v>#NAME?</x:v>
      </x:c>
      <x:c r="C274" s="46" t="e">
        <x:f>IFERROR(IF($A274="","",INDEX(대장!$F$1:$F$501,$A274)),"")</x:f>
        <x:v>#NAME?</x:v>
      </x:c>
      <x:c r="D274" s="46" t="e">
        <x:f>IFERROR(IF($A274="","",INDEX(대장!$G$1:$G$501,$A274)),"")</x:f>
        <x:v>#NAME?</x:v>
      </x:c>
      <x:c r="E274" t="e">
        <x:f>IF($A274="","",IF(NOT(ISNUMBER(INDEX(대장!$F$1:$F$501,$A274))),"확인 필요",IF(AND(INDEX(대장!$G$1:$G$501,$A274)&lt;&gt;"",NOT(ISNUMBER(INDEX(대장!$G$1:$G$501,$A274)))),"확인 필요",IF(AND(ISNUMBER(INDEX(대장!$G$1:$G$501,$A274)),INDEX(대장!$G$1:$G$501,$A274)&lt;INDEX(대장!$F$1:$F$501,$A274)),"확인 필요",IF(INDEX(대장!$L$1:$L$501,$A274)&lt;&gt;"","메모 있음","정상")))))</x:f>
        <x:v>#NAME?</x:v>
      </x:c>
      <x:c r="F274" t="e">
        <x:f>IF($A274="","",IF($E274="확인 필요","시작일·종료일과 기간 순서를 확인해 주세요.",IF($E274="메모 있음",IFERROR(INDEX(대장!$L$1:$L$501,$A274),""),"")))</x:f>
        <x:v>#NAME?</x:v>
      </x:c>
    </x:row>
    <x:row r="275">
      <x:c r="A275" t="e">
        <x:f>IF(INDEX(대장!$A$1:$A$501,ROW()-2)="","",ROW()-2)</x:f>
        <x:v>#NAME?</x:v>
      </x:c>
      <x:c r="B275" t="e">
        <x:f>IF($A275="","",INDEX(대장!$A$1:$A$501,$A275))</x:f>
        <x:v>#NAME?</x:v>
      </x:c>
      <x:c r="C275" s="46" t="e">
        <x:f>IFERROR(IF($A275="","",INDEX(대장!$F$1:$F$501,$A275)),"")</x:f>
        <x:v>#NAME?</x:v>
      </x:c>
      <x:c r="D275" s="46" t="e">
        <x:f>IFERROR(IF($A275="","",INDEX(대장!$G$1:$G$501,$A275)),"")</x:f>
        <x:v>#NAME?</x:v>
      </x:c>
      <x:c r="E275" t="e">
        <x:f>IF($A275="","",IF(NOT(ISNUMBER(INDEX(대장!$F$1:$F$501,$A275))),"확인 필요",IF(AND(INDEX(대장!$G$1:$G$501,$A275)&lt;&gt;"",NOT(ISNUMBER(INDEX(대장!$G$1:$G$501,$A275)))),"확인 필요",IF(AND(ISNUMBER(INDEX(대장!$G$1:$G$501,$A275)),INDEX(대장!$G$1:$G$501,$A275)&lt;INDEX(대장!$F$1:$F$501,$A275)),"확인 필요",IF(INDEX(대장!$L$1:$L$501,$A275)&lt;&gt;"","메모 있음","정상")))))</x:f>
        <x:v>#NAME?</x:v>
      </x:c>
      <x:c r="F275" t="e">
        <x:f>IF($A275="","",IF($E275="확인 필요","시작일·종료일과 기간 순서를 확인해 주세요.",IF($E275="메모 있음",IFERROR(INDEX(대장!$L$1:$L$501,$A275),""),"")))</x:f>
        <x:v>#NAME?</x:v>
      </x:c>
    </x:row>
    <x:row r="276">
      <x:c r="A276" t="e">
        <x:f>IF(INDEX(대장!$A$1:$A$501,ROW()-2)="","",ROW()-2)</x:f>
        <x:v>#NAME?</x:v>
      </x:c>
      <x:c r="B276" t="e">
        <x:f>IF($A276="","",INDEX(대장!$A$1:$A$501,$A276))</x:f>
        <x:v>#NAME?</x:v>
      </x:c>
      <x:c r="C276" s="46" t="e">
        <x:f>IFERROR(IF($A276="","",INDEX(대장!$F$1:$F$501,$A276)),"")</x:f>
        <x:v>#NAME?</x:v>
      </x:c>
      <x:c r="D276" s="46" t="e">
        <x:f>IFERROR(IF($A276="","",INDEX(대장!$G$1:$G$501,$A276)),"")</x:f>
        <x:v>#NAME?</x:v>
      </x:c>
      <x:c r="E276" t="e">
        <x:f>IF($A276="","",IF(NOT(ISNUMBER(INDEX(대장!$F$1:$F$501,$A276))),"확인 필요",IF(AND(INDEX(대장!$G$1:$G$501,$A276)&lt;&gt;"",NOT(ISNUMBER(INDEX(대장!$G$1:$G$501,$A276)))),"확인 필요",IF(AND(ISNUMBER(INDEX(대장!$G$1:$G$501,$A276)),INDEX(대장!$G$1:$G$501,$A276)&lt;INDEX(대장!$F$1:$F$501,$A276)),"확인 필요",IF(INDEX(대장!$L$1:$L$501,$A276)&lt;&gt;"","메모 있음","정상")))))</x:f>
        <x:v>#NAME?</x:v>
      </x:c>
      <x:c r="F276" t="e">
        <x:f>IF($A276="","",IF($E276="확인 필요","시작일·종료일과 기간 순서를 확인해 주세요.",IF($E276="메모 있음",IFERROR(INDEX(대장!$L$1:$L$501,$A276),""),"")))</x:f>
        <x:v>#NAME?</x:v>
      </x:c>
    </x:row>
    <x:row r="277">
      <x:c r="A277" t="e">
        <x:f>IF(INDEX(대장!$A$1:$A$501,ROW()-2)="","",ROW()-2)</x:f>
        <x:v>#NAME?</x:v>
      </x:c>
      <x:c r="B277" t="e">
        <x:f>IF($A277="","",INDEX(대장!$A$1:$A$501,$A277))</x:f>
        <x:v>#NAME?</x:v>
      </x:c>
      <x:c r="C277" s="46" t="e">
        <x:f>IFERROR(IF($A277="","",INDEX(대장!$F$1:$F$501,$A277)),"")</x:f>
        <x:v>#NAME?</x:v>
      </x:c>
      <x:c r="D277" s="46" t="e">
        <x:f>IFERROR(IF($A277="","",INDEX(대장!$G$1:$G$501,$A277)),"")</x:f>
        <x:v>#NAME?</x:v>
      </x:c>
      <x:c r="E277" t="e">
        <x:f>IF($A277="","",IF(NOT(ISNUMBER(INDEX(대장!$F$1:$F$501,$A277))),"확인 필요",IF(AND(INDEX(대장!$G$1:$G$501,$A277)&lt;&gt;"",NOT(ISNUMBER(INDEX(대장!$G$1:$G$501,$A277)))),"확인 필요",IF(AND(ISNUMBER(INDEX(대장!$G$1:$G$501,$A277)),INDEX(대장!$G$1:$G$501,$A277)&lt;INDEX(대장!$F$1:$F$501,$A277)),"확인 필요",IF(INDEX(대장!$L$1:$L$501,$A277)&lt;&gt;"","메모 있음","정상")))))</x:f>
        <x:v>#NAME?</x:v>
      </x:c>
      <x:c r="F277" t="e">
        <x:f>IF($A277="","",IF($E277="확인 필요","시작일·종료일과 기간 순서를 확인해 주세요.",IF($E277="메모 있음",IFERROR(INDEX(대장!$L$1:$L$501,$A277),""),"")))</x:f>
        <x:v>#NAME?</x:v>
      </x:c>
    </x:row>
    <x:row r="278">
      <x:c r="A278" t="e">
        <x:f>IF(INDEX(대장!$A$1:$A$501,ROW()-2)="","",ROW()-2)</x:f>
        <x:v>#NAME?</x:v>
      </x:c>
      <x:c r="B278" t="e">
        <x:f>IF($A278="","",INDEX(대장!$A$1:$A$501,$A278))</x:f>
        <x:v>#NAME?</x:v>
      </x:c>
      <x:c r="C278" s="46" t="e">
        <x:f>IFERROR(IF($A278="","",INDEX(대장!$F$1:$F$501,$A278)),"")</x:f>
        <x:v>#NAME?</x:v>
      </x:c>
      <x:c r="D278" s="46" t="e">
        <x:f>IFERROR(IF($A278="","",INDEX(대장!$G$1:$G$501,$A278)),"")</x:f>
        <x:v>#NAME?</x:v>
      </x:c>
      <x:c r="E278" t="e">
        <x:f>IF($A278="","",IF(NOT(ISNUMBER(INDEX(대장!$F$1:$F$501,$A278))),"확인 필요",IF(AND(INDEX(대장!$G$1:$G$501,$A278)&lt;&gt;"",NOT(ISNUMBER(INDEX(대장!$G$1:$G$501,$A278)))),"확인 필요",IF(AND(ISNUMBER(INDEX(대장!$G$1:$G$501,$A278)),INDEX(대장!$G$1:$G$501,$A278)&lt;INDEX(대장!$F$1:$F$501,$A278)),"확인 필요",IF(INDEX(대장!$L$1:$L$501,$A278)&lt;&gt;"","메모 있음","정상")))))</x:f>
        <x:v>#NAME?</x:v>
      </x:c>
      <x:c r="F278" t="e">
        <x:f>IF($A278="","",IF($E278="확인 필요","시작일·종료일과 기간 순서를 확인해 주세요.",IF($E278="메모 있음",IFERROR(INDEX(대장!$L$1:$L$501,$A278),""),"")))</x:f>
        <x:v>#NAME?</x:v>
      </x:c>
    </x:row>
    <x:row r="279">
      <x:c r="A279" t="e">
        <x:f>IF(INDEX(대장!$A$1:$A$501,ROW()-2)="","",ROW()-2)</x:f>
        <x:v>#NAME?</x:v>
      </x:c>
      <x:c r="B279" t="e">
        <x:f>IF($A279="","",INDEX(대장!$A$1:$A$501,$A279))</x:f>
        <x:v>#NAME?</x:v>
      </x:c>
      <x:c r="C279" s="46" t="e">
        <x:f>IFERROR(IF($A279="","",INDEX(대장!$F$1:$F$501,$A279)),"")</x:f>
        <x:v>#NAME?</x:v>
      </x:c>
      <x:c r="D279" s="46" t="e">
        <x:f>IFERROR(IF($A279="","",INDEX(대장!$G$1:$G$501,$A279)),"")</x:f>
        <x:v>#NAME?</x:v>
      </x:c>
      <x:c r="E279" t="e">
        <x:f>IF($A279="","",IF(NOT(ISNUMBER(INDEX(대장!$F$1:$F$501,$A279))),"확인 필요",IF(AND(INDEX(대장!$G$1:$G$501,$A279)&lt;&gt;"",NOT(ISNUMBER(INDEX(대장!$G$1:$G$501,$A279)))),"확인 필요",IF(AND(ISNUMBER(INDEX(대장!$G$1:$G$501,$A279)),INDEX(대장!$G$1:$G$501,$A279)&lt;INDEX(대장!$F$1:$F$501,$A279)),"확인 필요",IF(INDEX(대장!$L$1:$L$501,$A279)&lt;&gt;"","메모 있음","정상")))))</x:f>
        <x:v>#NAME?</x:v>
      </x:c>
      <x:c r="F279" t="e">
        <x:f>IF($A279="","",IF($E279="확인 필요","시작일·종료일과 기간 순서를 확인해 주세요.",IF($E279="메모 있음",IFERROR(INDEX(대장!$L$1:$L$501,$A279),""),"")))</x:f>
        <x:v>#NAME?</x:v>
      </x:c>
    </x:row>
    <x:row r="280">
      <x:c r="A280" t="e">
        <x:f>IF(INDEX(대장!$A$1:$A$501,ROW()-2)="","",ROW()-2)</x:f>
        <x:v>#NAME?</x:v>
      </x:c>
      <x:c r="B280" t="e">
        <x:f>IF($A280="","",INDEX(대장!$A$1:$A$501,$A280))</x:f>
        <x:v>#NAME?</x:v>
      </x:c>
      <x:c r="C280" s="46" t="e">
        <x:f>IFERROR(IF($A280="","",INDEX(대장!$F$1:$F$501,$A280)),"")</x:f>
        <x:v>#NAME?</x:v>
      </x:c>
      <x:c r="D280" s="46" t="e">
        <x:f>IFERROR(IF($A280="","",INDEX(대장!$G$1:$G$501,$A280)),"")</x:f>
        <x:v>#NAME?</x:v>
      </x:c>
      <x:c r="E280" t="e">
        <x:f>IF($A280="","",IF(NOT(ISNUMBER(INDEX(대장!$F$1:$F$501,$A280))),"확인 필요",IF(AND(INDEX(대장!$G$1:$G$501,$A280)&lt;&gt;"",NOT(ISNUMBER(INDEX(대장!$G$1:$G$501,$A280)))),"확인 필요",IF(AND(ISNUMBER(INDEX(대장!$G$1:$G$501,$A280)),INDEX(대장!$G$1:$G$501,$A280)&lt;INDEX(대장!$F$1:$F$501,$A280)),"확인 필요",IF(INDEX(대장!$L$1:$L$501,$A280)&lt;&gt;"","메모 있음","정상")))))</x:f>
        <x:v>#NAME?</x:v>
      </x:c>
      <x:c r="F280" t="e">
        <x:f>IF($A280="","",IF($E280="확인 필요","시작일·종료일과 기간 순서를 확인해 주세요.",IF($E280="메모 있음",IFERROR(INDEX(대장!$L$1:$L$501,$A280),""),"")))</x:f>
        <x:v>#NAME?</x:v>
      </x:c>
    </x:row>
    <x:row r="281">
      <x:c r="A281" t="e">
        <x:f>IF(INDEX(대장!$A$1:$A$501,ROW()-2)="","",ROW()-2)</x:f>
        <x:v>#NAME?</x:v>
      </x:c>
      <x:c r="B281" t="e">
        <x:f>IF($A281="","",INDEX(대장!$A$1:$A$501,$A281))</x:f>
        <x:v>#NAME?</x:v>
      </x:c>
      <x:c r="C281" s="46" t="e">
        <x:f>IFERROR(IF($A281="","",INDEX(대장!$F$1:$F$501,$A281)),"")</x:f>
        <x:v>#NAME?</x:v>
      </x:c>
      <x:c r="D281" s="46" t="e">
        <x:f>IFERROR(IF($A281="","",INDEX(대장!$G$1:$G$501,$A281)),"")</x:f>
        <x:v>#NAME?</x:v>
      </x:c>
      <x:c r="E281" t="e">
        <x:f>IF($A281="","",IF(NOT(ISNUMBER(INDEX(대장!$F$1:$F$501,$A281))),"확인 필요",IF(AND(INDEX(대장!$G$1:$G$501,$A281)&lt;&gt;"",NOT(ISNUMBER(INDEX(대장!$G$1:$G$501,$A281)))),"확인 필요",IF(AND(ISNUMBER(INDEX(대장!$G$1:$G$501,$A281)),INDEX(대장!$G$1:$G$501,$A281)&lt;INDEX(대장!$F$1:$F$501,$A281)),"확인 필요",IF(INDEX(대장!$L$1:$L$501,$A281)&lt;&gt;"","메모 있음","정상")))))</x:f>
        <x:v>#NAME?</x:v>
      </x:c>
      <x:c r="F281" t="e">
        <x:f>IF($A281="","",IF($E281="확인 필요","시작일·종료일과 기간 순서를 확인해 주세요.",IF($E281="메모 있음",IFERROR(INDEX(대장!$L$1:$L$501,$A281),""),"")))</x:f>
        <x:v>#NAME?</x:v>
      </x:c>
    </x:row>
    <x:row r="282">
      <x:c r="A282" t="e">
        <x:f>IF(INDEX(대장!$A$1:$A$501,ROW()-2)="","",ROW()-2)</x:f>
        <x:v>#NAME?</x:v>
      </x:c>
      <x:c r="B282" t="e">
        <x:f>IF($A282="","",INDEX(대장!$A$1:$A$501,$A282))</x:f>
        <x:v>#NAME?</x:v>
      </x:c>
      <x:c r="C282" s="46" t="e">
        <x:f>IFERROR(IF($A282="","",INDEX(대장!$F$1:$F$501,$A282)),"")</x:f>
        <x:v>#NAME?</x:v>
      </x:c>
      <x:c r="D282" s="46" t="e">
        <x:f>IFERROR(IF($A282="","",INDEX(대장!$G$1:$G$501,$A282)),"")</x:f>
        <x:v>#NAME?</x:v>
      </x:c>
      <x:c r="E282" t="e">
        <x:f>IF($A282="","",IF(NOT(ISNUMBER(INDEX(대장!$F$1:$F$501,$A282))),"확인 필요",IF(AND(INDEX(대장!$G$1:$G$501,$A282)&lt;&gt;"",NOT(ISNUMBER(INDEX(대장!$G$1:$G$501,$A282)))),"확인 필요",IF(AND(ISNUMBER(INDEX(대장!$G$1:$G$501,$A282)),INDEX(대장!$G$1:$G$501,$A282)&lt;INDEX(대장!$F$1:$F$501,$A282)),"확인 필요",IF(INDEX(대장!$L$1:$L$501,$A282)&lt;&gt;"","메모 있음","정상")))))</x:f>
        <x:v>#NAME?</x:v>
      </x:c>
      <x:c r="F282" t="e">
        <x:f>IF($A282="","",IF($E282="확인 필요","시작일·종료일과 기간 순서를 확인해 주세요.",IF($E282="메모 있음",IFERROR(INDEX(대장!$L$1:$L$501,$A282),""),"")))</x:f>
        <x:v>#NAME?</x:v>
      </x:c>
    </x:row>
    <x:row r="283">
      <x:c r="A283" t="e">
        <x:f>IF(INDEX(대장!$A$1:$A$501,ROW()-2)="","",ROW()-2)</x:f>
        <x:v>#NAME?</x:v>
      </x:c>
      <x:c r="B283" t="e">
        <x:f>IF($A283="","",INDEX(대장!$A$1:$A$501,$A283))</x:f>
        <x:v>#NAME?</x:v>
      </x:c>
      <x:c r="C283" s="46" t="e">
        <x:f>IFERROR(IF($A283="","",INDEX(대장!$F$1:$F$501,$A283)),"")</x:f>
        <x:v>#NAME?</x:v>
      </x:c>
      <x:c r="D283" s="46" t="e">
        <x:f>IFERROR(IF($A283="","",INDEX(대장!$G$1:$G$501,$A283)),"")</x:f>
        <x:v>#NAME?</x:v>
      </x:c>
      <x:c r="E283" t="e">
        <x:f>IF($A283="","",IF(NOT(ISNUMBER(INDEX(대장!$F$1:$F$501,$A283))),"확인 필요",IF(AND(INDEX(대장!$G$1:$G$501,$A283)&lt;&gt;"",NOT(ISNUMBER(INDEX(대장!$G$1:$G$501,$A283)))),"확인 필요",IF(AND(ISNUMBER(INDEX(대장!$G$1:$G$501,$A283)),INDEX(대장!$G$1:$G$501,$A283)&lt;INDEX(대장!$F$1:$F$501,$A283)),"확인 필요",IF(INDEX(대장!$L$1:$L$501,$A283)&lt;&gt;"","메모 있음","정상")))))</x:f>
        <x:v>#NAME?</x:v>
      </x:c>
      <x:c r="F283" t="e">
        <x:f>IF($A283="","",IF($E283="확인 필요","시작일·종료일과 기간 순서를 확인해 주세요.",IF($E283="메모 있음",IFERROR(INDEX(대장!$L$1:$L$501,$A283),""),"")))</x:f>
        <x:v>#NAME?</x:v>
      </x:c>
    </x:row>
    <x:row r="284">
      <x:c r="A284" t="e">
        <x:f>IF(INDEX(대장!$A$1:$A$501,ROW()-2)="","",ROW()-2)</x:f>
        <x:v>#NAME?</x:v>
      </x:c>
      <x:c r="B284" t="e">
        <x:f>IF($A284="","",INDEX(대장!$A$1:$A$501,$A284))</x:f>
        <x:v>#NAME?</x:v>
      </x:c>
      <x:c r="C284" s="46" t="e">
        <x:f>IFERROR(IF($A284="","",INDEX(대장!$F$1:$F$501,$A284)),"")</x:f>
        <x:v>#NAME?</x:v>
      </x:c>
      <x:c r="D284" s="46" t="e">
        <x:f>IFERROR(IF($A284="","",INDEX(대장!$G$1:$G$501,$A284)),"")</x:f>
        <x:v>#NAME?</x:v>
      </x:c>
      <x:c r="E284" t="e">
        <x:f>IF($A284="","",IF(NOT(ISNUMBER(INDEX(대장!$F$1:$F$501,$A284))),"확인 필요",IF(AND(INDEX(대장!$G$1:$G$501,$A284)&lt;&gt;"",NOT(ISNUMBER(INDEX(대장!$G$1:$G$501,$A284)))),"확인 필요",IF(AND(ISNUMBER(INDEX(대장!$G$1:$G$501,$A284)),INDEX(대장!$G$1:$G$501,$A284)&lt;INDEX(대장!$F$1:$F$501,$A284)),"확인 필요",IF(INDEX(대장!$L$1:$L$501,$A284)&lt;&gt;"","메모 있음","정상")))))</x:f>
        <x:v>#NAME?</x:v>
      </x:c>
      <x:c r="F284" t="e">
        <x:f>IF($A284="","",IF($E284="확인 필요","시작일·종료일과 기간 순서를 확인해 주세요.",IF($E284="메모 있음",IFERROR(INDEX(대장!$L$1:$L$501,$A284),""),"")))</x:f>
        <x:v>#NAME?</x:v>
      </x:c>
    </x:row>
    <x:row r="285">
      <x:c r="A285" t="e">
        <x:f>IF(INDEX(대장!$A$1:$A$501,ROW()-2)="","",ROW()-2)</x:f>
        <x:v>#NAME?</x:v>
      </x:c>
      <x:c r="B285" t="e">
        <x:f>IF($A285="","",INDEX(대장!$A$1:$A$501,$A285))</x:f>
        <x:v>#NAME?</x:v>
      </x:c>
      <x:c r="C285" s="46" t="e">
        <x:f>IFERROR(IF($A285="","",INDEX(대장!$F$1:$F$501,$A285)),"")</x:f>
        <x:v>#NAME?</x:v>
      </x:c>
      <x:c r="D285" s="46" t="e">
        <x:f>IFERROR(IF($A285="","",INDEX(대장!$G$1:$G$501,$A285)),"")</x:f>
        <x:v>#NAME?</x:v>
      </x:c>
      <x:c r="E285" t="e">
        <x:f>IF($A285="","",IF(NOT(ISNUMBER(INDEX(대장!$F$1:$F$501,$A285))),"확인 필요",IF(AND(INDEX(대장!$G$1:$G$501,$A285)&lt;&gt;"",NOT(ISNUMBER(INDEX(대장!$G$1:$G$501,$A285)))),"확인 필요",IF(AND(ISNUMBER(INDEX(대장!$G$1:$G$501,$A285)),INDEX(대장!$G$1:$G$501,$A285)&lt;INDEX(대장!$F$1:$F$501,$A285)),"확인 필요",IF(INDEX(대장!$L$1:$L$501,$A285)&lt;&gt;"","메모 있음","정상")))))</x:f>
        <x:v>#NAME?</x:v>
      </x:c>
      <x:c r="F285" t="e">
        <x:f>IF($A285="","",IF($E285="확인 필요","시작일·종료일과 기간 순서를 확인해 주세요.",IF($E285="메모 있음",IFERROR(INDEX(대장!$L$1:$L$501,$A285),""),"")))</x:f>
        <x:v>#NAME?</x:v>
      </x:c>
    </x:row>
    <x:row r="286">
      <x:c r="A286" t="e">
        <x:f>IF(INDEX(대장!$A$1:$A$501,ROW()-2)="","",ROW()-2)</x:f>
        <x:v>#NAME?</x:v>
      </x:c>
      <x:c r="B286" t="e">
        <x:f>IF($A286="","",INDEX(대장!$A$1:$A$501,$A286))</x:f>
        <x:v>#NAME?</x:v>
      </x:c>
      <x:c r="C286" s="46" t="e">
        <x:f>IFERROR(IF($A286="","",INDEX(대장!$F$1:$F$501,$A286)),"")</x:f>
        <x:v>#NAME?</x:v>
      </x:c>
      <x:c r="D286" s="46" t="e">
        <x:f>IFERROR(IF($A286="","",INDEX(대장!$G$1:$G$501,$A286)),"")</x:f>
        <x:v>#NAME?</x:v>
      </x:c>
      <x:c r="E286" t="e">
        <x:f>IF($A286="","",IF(NOT(ISNUMBER(INDEX(대장!$F$1:$F$501,$A286))),"확인 필요",IF(AND(INDEX(대장!$G$1:$G$501,$A286)&lt;&gt;"",NOT(ISNUMBER(INDEX(대장!$G$1:$G$501,$A286)))),"확인 필요",IF(AND(ISNUMBER(INDEX(대장!$G$1:$G$501,$A286)),INDEX(대장!$G$1:$G$501,$A286)&lt;INDEX(대장!$F$1:$F$501,$A286)),"확인 필요",IF(INDEX(대장!$L$1:$L$501,$A286)&lt;&gt;"","메모 있음","정상")))))</x:f>
        <x:v>#NAME?</x:v>
      </x:c>
      <x:c r="F286" t="e">
        <x:f>IF($A286="","",IF($E286="확인 필요","시작일·종료일과 기간 순서를 확인해 주세요.",IF($E286="메모 있음",IFERROR(INDEX(대장!$L$1:$L$501,$A286),""),"")))</x:f>
        <x:v>#NAME?</x:v>
      </x:c>
    </x:row>
    <x:row r="287">
      <x:c r="A287" t="e">
        <x:f>IF(INDEX(대장!$A$1:$A$501,ROW()-2)="","",ROW()-2)</x:f>
        <x:v>#NAME?</x:v>
      </x:c>
      <x:c r="B287" t="e">
        <x:f>IF($A287="","",INDEX(대장!$A$1:$A$501,$A287))</x:f>
        <x:v>#NAME?</x:v>
      </x:c>
      <x:c r="C287" s="46" t="e">
        <x:f>IFERROR(IF($A287="","",INDEX(대장!$F$1:$F$501,$A287)),"")</x:f>
        <x:v>#NAME?</x:v>
      </x:c>
      <x:c r="D287" s="46" t="e">
        <x:f>IFERROR(IF($A287="","",INDEX(대장!$G$1:$G$501,$A287)),"")</x:f>
        <x:v>#NAME?</x:v>
      </x:c>
      <x:c r="E287" t="e">
        <x:f>IF($A287="","",IF(NOT(ISNUMBER(INDEX(대장!$F$1:$F$501,$A287))),"확인 필요",IF(AND(INDEX(대장!$G$1:$G$501,$A287)&lt;&gt;"",NOT(ISNUMBER(INDEX(대장!$G$1:$G$501,$A287)))),"확인 필요",IF(AND(ISNUMBER(INDEX(대장!$G$1:$G$501,$A287)),INDEX(대장!$G$1:$G$501,$A287)&lt;INDEX(대장!$F$1:$F$501,$A287)),"확인 필요",IF(INDEX(대장!$L$1:$L$501,$A287)&lt;&gt;"","메모 있음","정상")))))</x:f>
        <x:v>#NAME?</x:v>
      </x:c>
      <x:c r="F287" t="e">
        <x:f>IF($A287="","",IF($E287="확인 필요","시작일·종료일과 기간 순서를 확인해 주세요.",IF($E287="메모 있음",IFERROR(INDEX(대장!$L$1:$L$501,$A287),""),"")))</x:f>
        <x:v>#NAME?</x:v>
      </x:c>
    </x:row>
    <x:row r="288">
      <x:c r="A288" t="e">
        <x:f>IF(INDEX(대장!$A$1:$A$501,ROW()-2)="","",ROW()-2)</x:f>
        <x:v>#NAME?</x:v>
      </x:c>
      <x:c r="B288" t="e">
        <x:f>IF($A288="","",INDEX(대장!$A$1:$A$501,$A288))</x:f>
        <x:v>#NAME?</x:v>
      </x:c>
      <x:c r="C288" s="46" t="e">
        <x:f>IFERROR(IF($A288="","",INDEX(대장!$F$1:$F$501,$A288)),"")</x:f>
        <x:v>#NAME?</x:v>
      </x:c>
      <x:c r="D288" s="46" t="e">
        <x:f>IFERROR(IF($A288="","",INDEX(대장!$G$1:$G$501,$A288)),"")</x:f>
        <x:v>#NAME?</x:v>
      </x:c>
      <x:c r="E288" t="e">
        <x:f>IF($A288="","",IF(NOT(ISNUMBER(INDEX(대장!$F$1:$F$501,$A288))),"확인 필요",IF(AND(INDEX(대장!$G$1:$G$501,$A288)&lt;&gt;"",NOT(ISNUMBER(INDEX(대장!$G$1:$G$501,$A288)))),"확인 필요",IF(AND(ISNUMBER(INDEX(대장!$G$1:$G$501,$A288)),INDEX(대장!$G$1:$G$501,$A288)&lt;INDEX(대장!$F$1:$F$501,$A288)),"확인 필요",IF(INDEX(대장!$L$1:$L$501,$A288)&lt;&gt;"","메모 있음","정상")))))</x:f>
        <x:v>#NAME?</x:v>
      </x:c>
      <x:c r="F288" t="e">
        <x:f>IF($A288="","",IF($E288="확인 필요","시작일·종료일과 기간 순서를 확인해 주세요.",IF($E288="메모 있음",IFERROR(INDEX(대장!$L$1:$L$501,$A288),""),"")))</x:f>
        <x:v>#NAME?</x:v>
      </x:c>
    </x:row>
    <x:row r="289">
      <x:c r="A289" t="e">
        <x:f>IF(INDEX(대장!$A$1:$A$501,ROW()-2)="","",ROW()-2)</x:f>
        <x:v>#NAME?</x:v>
      </x:c>
      <x:c r="B289" t="e">
        <x:f>IF($A289="","",INDEX(대장!$A$1:$A$501,$A289))</x:f>
        <x:v>#NAME?</x:v>
      </x:c>
      <x:c r="C289" s="46" t="e">
        <x:f>IFERROR(IF($A289="","",INDEX(대장!$F$1:$F$501,$A289)),"")</x:f>
        <x:v>#NAME?</x:v>
      </x:c>
      <x:c r="D289" s="46" t="e">
        <x:f>IFERROR(IF($A289="","",INDEX(대장!$G$1:$G$501,$A289)),"")</x:f>
        <x:v>#NAME?</x:v>
      </x:c>
      <x:c r="E289" t="e">
        <x:f>IF($A289="","",IF(NOT(ISNUMBER(INDEX(대장!$F$1:$F$501,$A289))),"확인 필요",IF(AND(INDEX(대장!$G$1:$G$501,$A289)&lt;&gt;"",NOT(ISNUMBER(INDEX(대장!$G$1:$G$501,$A289)))),"확인 필요",IF(AND(ISNUMBER(INDEX(대장!$G$1:$G$501,$A289)),INDEX(대장!$G$1:$G$501,$A289)&lt;INDEX(대장!$F$1:$F$501,$A289)),"확인 필요",IF(INDEX(대장!$L$1:$L$501,$A289)&lt;&gt;"","메모 있음","정상")))))</x:f>
        <x:v>#NAME?</x:v>
      </x:c>
      <x:c r="F289" t="e">
        <x:f>IF($A289="","",IF($E289="확인 필요","시작일·종료일과 기간 순서를 확인해 주세요.",IF($E289="메모 있음",IFERROR(INDEX(대장!$L$1:$L$501,$A289),""),"")))</x:f>
        <x:v>#NAME?</x:v>
      </x:c>
    </x:row>
    <x:row r="290">
      <x:c r="A290" t="e">
        <x:f>IF(INDEX(대장!$A$1:$A$501,ROW()-2)="","",ROW()-2)</x:f>
        <x:v>#NAME?</x:v>
      </x:c>
      <x:c r="B290" t="e">
        <x:f>IF($A290="","",INDEX(대장!$A$1:$A$501,$A290))</x:f>
        <x:v>#NAME?</x:v>
      </x:c>
      <x:c r="C290" s="46" t="e">
        <x:f>IFERROR(IF($A290="","",INDEX(대장!$F$1:$F$501,$A290)),"")</x:f>
        <x:v>#NAME?</x:v>
      </x:c>
      <x:c r="D290" s="46" t="e">
        <x:f>IFERROR(IF($A290="","",INDEX(대장!$G$1:$G$501,$A290)),"")</x:f>
        <x:v>#NAME?</x:v>
      </x:c>
      <x:c r="E290" t="e">
        <x:f>IF($A290="","",IF(NOT(ISNUMBER(INDEX(대장!$F$1:$F$501,$A290))),"확인 필요",IF(AND(INDEX(대장!$G$1:$G$501,$A290)&lt;&gt;"",NOT(ISNUMBER(INDEX(대장!$G$1:$G$501,$A290)))),"확인 필요",IF(AND(ISNUMBER(INDEX(대장!$G$1:$G$501,$A290)),INDEX(대장!$G$1:$G$501,$A290)&lt;INDEX(대장!$F$1:$F$501,$A290)),"확인 필요",IF(INDEX(대장!$L$1:$L$501,$A290)&lt;&gt;"","메모 있음","정상")))))</x:f>
        <x:v>#NAME?</x:v>
      </x:c>
      <x:c r="F290" t="e">
        <x:f>IF($A290="","",IF($E290="확인 필요","시작일·종료일과 기간 순서를 확인해 주세요.",IF($E290="메모 있음",IFERROR(INDEX(대장!$L$1:$L$501,$A290),""),"")))</x:f>
        <x:v>#NAME?</x:v>
      </x:c>
    </x:row>
    <x:row r="291">
      <x:c r="A291" t="e">
        <x:f>IF(INDEX(대장!$A$1:$A$501,ROW()-2)="","",ROW()-2)</x:f>
        <x:v>#NAME?</x:v>
      </x:c>
      <x:c r="B291" t="e">
        <x:f>IF($A291="","",INDEX(대장!$A$1:$A$501,$A291))</x:f>
        <x:v>#NAME?</x:v>
      </x:c>
      <x:c r="C291" s="46" t="e">
        <x:f>IFERROR(IF($A291="","",INDEX(대장!$F$1:$F$501,$A291)),"")</x:f>
        <x:v>#NAME?</x:v>
      </x:c>
      <x:c r="D291" s="46" t="e">
        <x:f>IFERROR(IF($A291="","",INDEX(대장!$G$1:$G$501,$A291)),"")</x:f>
        <x:v>#NAME?</x:v>
      </x:c>
      <x:c r="E291" t="e">
        <x:f>IF($A291="","",IF(NOT(ISNUMBER(INDEX(대장!$F$1:$F$501,$A291))),"확인 필요",IF(AND(INDEX(대장!$G$1:$G$501,$A291)&lt;&gt;"",NOT(ISNUMBER(INDEX(대장!$G$1:$G$501,$A291)))),"확인 필요",IF(AND(ISNUMBER(INDEX(대장!$G$1:$G$501,$A291)),INDEX(대장!$G$1:$G$501,$A291)&lt;INDEX(대장!$F$1:$F$501,$A291)),"확인 필요",IF(INDEX(대장!$L$1:$L$501,$A291)&lt;&gt;"","메모 있음","정상")))))</x:f>
        <x:v>#NAME?</x:v>
      </x:c>
      <x:c r="F291" t="e">
        <x:f>IF($A291="","",IF($E291="확인 필요","시작일·종료일과 기간 순서를 확인해 주세요.",IF($E291="메모 있음",IFERROR(INDEX(대장!$L$1:$L$501,$A291),""),"")))</x:f>
        <x:v>#NAME?</x:v>
      </x:c>
    </x:row>
    <x:row r="292">
      <x:c r="A292" t="e">
        <x:f>IF(INDEX(대장!$A$1:$A$501,ROW()-2)="","",ROW()-2)</x:f>
        <x:v>#NAME?</x:v>
      </x:c>
      <x:c r="B292" t="e">
        <x:f>IF($A292="","",INDEX(대장!$A$1:$A$501,$A292))</x:f>
        <x:v>#NAME?</x:v>
      </x:c>
      <x:c r="C292" s="46" t="e">
        <x:f>IFERROR(IF($A292="","",INDEX(대장!$F$1:$F$501,$A292)),"")</x:f>
        <x:v>#NAME?</x:v>
      </x:c>
      <x:c r="D292" s="46" t="e">
        <x:f>IFERROR(IF($A292="","",INDEX(대장!$G$1:$G$501,$A292)),"")</x:f>
        <x:v>#NAME?</x:v>
      </x:c>
      <x:c r="E292" t="e">
        <x:f>IF($A292="","",IF(NOT(ISNUMBER(INDEX(대장!$F$1:$F$501,$A292))),"확인 필요",IF(AND(INDEX(대장!$G$1:$G$501,$A292)&lt;&gt;"",NOT(ISNUMBER(INDEX(대장!$G$1:$G$501,$A292)))),"확인 필요",IF(AND(ISNUMBER(INDEX(대장!$G$1:$G$501,$A292)),INDEX(대장!$G$1:$G$501,$A292)&lt;INDEX(대장!$F$1:$F$501,$A292)),"확인 필요",IF(INDEX(대장!$L$1:$L$501,$A292)&lt;&gt;"","메모 있음","정상")))))</x:f>
        <x:v>#NAME?</x:v>
      </x:c>
      <x:c r="F292" t="e">
        <x:f>IF($A292="","",IF($E292="확인 필요","시작일·종료일과 기간 순서를 확인해 주세요.",IF($E292="메모 있음",IFERROR(INDEX(대장!$L$1:$L$501,$A292),""),"")))</x:f>
        <x:v>#NAME?</x:v>
      </x:c>
    </x:row>
    <x:row r="293">
      <x:c r="A293" t="e">
        <x:f>IF(INDEX(대장!$A$1:$A$501,ROW()-2)="","",ROW()-2)</x:f>
        <x:v>#NAME?</x:v>
      </x:c>
      <x:c r="B293" t="e">
        <x:f>IF($A293="","",INDEX(대장!$A$1:$A$501,$A293))</x:f>
        <x:v>#NAME?</x:v>
      </x:c>
      <x:c r="C293" s="46" t="e">
        <x:f>IFERROR(IF($A293="","",INDEX(대장!$F$1:$F$501,$A293)),"")</x:f>
        <x:v>#NAME?</x:v>
      </x:c>
      <x:c r="D293" s="46" t="e">
        <x:f>IFERROR(IF($A293="","",INDEX(대장!$G$1:$G$501,$A293)),"")</x:f>
        <x:v>#NAME?</x:v>
      </x:c>
      <x:c r="E293" t="e">
        <x:f>IF($A293="","",IF(NOT(ISNUMBER(INDEX(대장!$F$1:$F$501,$A293))),"확인 필요",IF(AND(INDEX(대장!$G$1:$G$501,$A293)&lt;&gt;"",NOT(ISNUMBER(INDEX(대장!$G$1:$G$501,$A293)))),"확인 필요",IF(AND(ISNUMBER(INDEX(대장!$G$1:$G$501,$A293)),INDEX(대장!$G$1:$G$501,$A293)&lt;INDEX(대장!$F$1:$F$501,$A293)),"확인 필요",IF(INDEX(대장!$L$1:$L$501,$A293)&lt;&gt;"","메모 있음","정상")))))</x:f>
        <x:v>#NAME?</x:v>
      </x:c>
      <x:c r="F293" t="e">
        <x:f>IF($A293="","",IF($E293="확인 필요","시작일·종료일과 기간 순서를 확인해 주세요.",IF($E293="메모 있음",IFERROR(INDEX(대장!$L$1:$L$501,$A293),""),"")))</x:f>
        <x:v>#NAME?</x:v>
      </x:c>
    </x:row>
    <x:row r="294">
      <x:c r="A294" t="e">
        <x:f>IF(INDEX(대장!$A$1:$A$501,ROW()-2)="","",ROW()-2)</x:f>
        <x:v>#NAME?</x:v>
      </x:c>
      <x:c r="B294" t="e">
        <x:f>IF($A294="","",INDEX(대장!$A$1:$A$501,$A294))</x:f>
        <x:v>#NAME?</x:v>
      </x:c>
      <x:c r="C294" s="46" t="e">
        <x:f>IFERROR(IF($A294="","",INDEX(대장!$F$1:$F$501,$A294)),"")</x:f>
        <x:v>#NAME?</x:v>
      </x:c>
      <x:c r="D294" s="46" t="e">
        <x:f>IFERROR(IF($A294="","",INDEX(대장!$G$1:$G$501,$A294)),"")</x:f>
        <x:v>#NAME?</x:v>
      </x:c>
      <x:c r="E294" t="e">
        <x:f>IF($A294="","",IF(NOT(ISNUMBER(INDEX(대장!$F$1:$F$501,$A294))),"확인 필요",IF(AND(INDEX(대장!$G$1:$G$501,$A294)&lt;&gt;"",NOT(ISNUMBER(INDEX(대장!$G$1:$G$501,$A294)))),"확인 필요",IF(AND(ISNUMBER(INDEX(대장!$G$1:$G$501,$A294)),INDEX(대장!$G$1:$G$501,$A294)&lt;INDEX(대장!$F$1:$F$501,$A294)),"확인 필요",IF(INDEX(대장!$L$1:$L$501,$A294)&lt;&gt;"","메모 있음","정상")))))</x:f>
        <x:v>#NAME?</x:v>
      </x:c>
      <x:c r="F294" t="e">
        <x:f>IF($A294="","",IF($E294="확인 필요","시작일·종료일과 기간 순서를 확인해 주세요.",IF($E294="메모 있음",IFERROR(INDEX(대장!$L$1:$L$501,$A294),""),"")))</x:f>
        <x:v>#NAME?</x:v>
      </x:c>
    </x:row>
    <x:row r="295">
      <x:c r="A295" t="e">
        <x:f>IF(INDEX(대장!$A$1:$A$501,ROW()-2)="","",ROW()-2)</x:f>
        <x:v>#NAME?</x:v>
      </x:c>
      <x:c r="B295" t="e">
        <x:f>IF($A295="","",INDEX(대장!$A$1:$A$501,$A295))</x:f>
        <x:v>#NAME?</x:v>
      </x:c>
      <x:c r="C295" s="46" t="e">
        <x:f>IFERROR(IF($A295="","",INDEX(대장!$F$1:$F$501,$A295)),"")</x:f>
        <x:v>#NAME?</x:v>
      </x:c>
      <x:c r="D295" s="46" t="e">
        <x:f>IFERROR(IF($A295="","",INDEX(대장!$G$1:$G$501,$A295)),"")</x:f>
        <x:v>#NAME?</x:v>
      </x:c>
      <x:c r="E295" t="e">
        <x:f>IF($A295="","",IF(NOT(ISNUMBER(INDEX(대장!$F$1:$F$501,$A295))),"확인 필요",IF(AND(INDEX(대장!$G$1:$G$501,$A295)&lt;&gt;"",NOT(ISNUMBER(INDEX(대장!$G$1:$G$501,$A295)))),"확인 필요",IF(AND(ISNUMBER(INDEX(대장!$G$1:$G$501,$A295)),INDEX(대장!$G$1:$G$501,$A295)&lt;INDEX(대장!$F$1:$F$501,$A295)),"확인 필요",IF(INDEX(대장!$L$1:$L$501,$A295)&lt;&gt;"","메모 있음","정상")))))</x:f>
        <x:v>#NAME?</x:v>
      </x:c>
      <x:c r="F295" t="e">
        <x:f>IF($A295="","",IF($E295="확인 필요","시작일·종료일과 기간 순서를 확인해 주세요.",IF($E295="메모 있음",IFERROR(INDEX(대장!$L$1:$L$501,$A295),""),"")))</x:f>
        <x:v>#NAME?</x:v>
      </x:c>
    </x:row>
    <x:row r="296">
      <x:c r="A296" t="e">
        <x:f>IF(INDEX(대장!$A$1:$A$501,ROW()-2)="","",ROW()-2)</x:f>
        <x:v>#NAME?</x:v>
      </x:c>
      <x:c r="B296" t="e">
        <x:f>IF($A296="","",INDEX(대장!$A$1:$A$501,$A296))</x:f>
        <x:v>#NAME?</x:v>
      </x:c>
      <x:c r="C296" s="46" t="e">
        <x:f>IFERROR(IF($A296="","",INDEX(대장!$F$1:$F$501,$A296)),"")</x:f>
        <x:v>#NAME?</x:v>
      </x:c>
      <x:c r="D296" s="46" t="e">
        <x:f>IFERROR(IF($A296="","",INDEX(대장!$G$1:$G$501,$A296)),"")</x:f>
        <x:v>#NAME?</x:v>
      </x:c>
      <x:c r="E296" t="e">
        <x:f>IF($A296="","",IF(NOT(ISNUMBER(INDEX(대장!$F$1:$F$501,$A296))),"확인 필요",IF(AND(INDEX(대장!$G$1:$G$501,$A296)&lt;&gt;"",NOT(ISNUMBER(INDEX(대장!$G$1:$G$501,$A296)))),"확인 필요",IF(AND(ISNUMBER(INDEX(대장!$G$1:$G$501,$A296)),INDEX(대장!$G$1:$G$501,$A296)&lt;INDEX(대장!$F$1:$F$501,$A296)),"확인 필요",IF(INDEX(대장!$L$1:$L$501,$A296)&lt;&gt;"","메모 있음","정상")))))</x:f>
        <x:v>#NAME?</x:v>
      </x:c>
      <x:c r="F296" t="e">
        <x:f>IF($A296="","",IF($E296="확인 필요","시작일·종료일과 기간 순서를 확인해 주세요.",IF($E296="메모 있음",IFERROR(INDEX(대장!$L$1:$L$501,$A296),""),"")))</x:f>
        <x:v>#NAME?</x:v>
      </x:c>
    </x:row>
    <x:row r="297">
      <x:c r="A297" t="e">
        <x:f>IF(INDEX(대장!$A$1:$A$501,ROW()-2)="","",ROW()-2)</x:f>
        <x:v>#NAME?</x:v>
      </x:c>
      <x:c r="B297" t="e">
        <x:f>IF($A297="","",INDEX(대장!$A$1:$A$501,$A297))</x:f>
        <x:v>#NAME?</x:v>
      </x:c>
      <x:c r="C297" s="46" t="e">
        <x:f>IFERROR(IF($A297="","",INDEX(대장!$F$1:$F$501,$A297)),"")</x:f>
        <x:v>#NAME?</x:v>
      </x:c>
      <x:c r="D297" s="46" t="e">
        <x:f>IFERROR(IF($A297="","",INDEX(대장!$G$1:$G$501,$A297)),"")</x:f>
        <x:v>#NAME?</x:v>
      </x:c>
      <x:c r="E297" t="e">
        <x:f>IF($A297="","",IF(NOT(ISNUMBER(INDEX(대장!$F$1:$F$501,$A297))),"확인 필요",IF(AND(INDEX(대장!$G$1:$G$501,$A297)&lt;&gt;"",NOT(ISNUMBER(INDEX(대장!$G$1:$G$501,$A297)))),"확인 필요",IF(AND(ISNUMBER(INDEX(대장!$G$1:$G$501,$A297)),INDEX(대장!$G$1:$G$501,$A297)&lt;INDEX(대장!$F$1:$F$501,$A297)),"확인 필요",IF(INDEX(대장!$L$1:$L$501,$A297)&lt;&gt;"","메모 있음","정상")))))</x:f>
        <x:v>#NAME?</x:v>
      </x:c>
      <x:c r="F297" t="e">
        <x:f>IF($A297="","",IF($E297="확인 필요","시작일·종료일과 기간 순서를 확인해 주세요.",IF($E297="메모 있음",IFERROR(INDEX(대장!$L$1:$L$501,$A297),""),"")))</x:f>
        <x:v>#NAME?</x:v>
      </x:c>
    </x:row>
    <x:row r="298">
      <x:c r="A298" t="e">
        <x:f>IF(INDEX(대장!$A$1:$A$501,ROW()-2)="","",ROW()-2)</x:f>
        <x:v>#NAME?</x:v>
      </x:c>
      <x:c r="B298" t="e">
        <x:f>IF($A298="","",INDEX(대장!$A$1:$A$501,$A298))</x:f>
        <x:v>#NAME?</x:v>
      </x:c>
      <x:c r="C298" s="46" t="e">
        <x:f>IFERROR(IF($A298="","",INDEX(대장!$F$1:$F$501,$A298)),"")</x:f>
        <x:v>#NAME?</x:v>
      </x:c>
      <x:c r="D298" s="46" t="e">
        <x:f>IFERROR(IF($A298="","",INDEX(대장!$G$1:$G$501,$A298)),"")</x:f>
        <x:v>#NAME?</x:v>
      </x:c>
      <x:c r="E298" t="e">
        <x:f>IF($A298="","",IF(NOT(ISNUMBER(INDEX(대장!$F$1:$F$501,$A298))),"확인 필요",IF(AND(INDEX(대장!$G$1:$G$501,$A298)&lt;&gt;"",NOT(ISNUMBER(INDEX(대장!$G$1:$G$501,$A298)))),"확인 필요",IF(AND(ISNUMBER(INDEX(대장!$G$1:$G$501,$A298)),INDEX(대장!$G$1:$G$501,$A298)&lt;INDEX(대장!$F$1:$F$501,$A298)),"확인 필요",IF(INDEX(대장!$L$1:$L$501,$A298)&lt;&gt;"","메모 있음","정상")))))</x:f>
        <x:v>#NAME?</x:v>
      </x:c>
      <x:c r="F298" t="e">
        <x:f>IF($A298="","",IF($E298="확인 필요","시작일·종료일과 기간 순서를 확인해 주세요.",IF($E298="메모 있음",IFERROR(INDEX(대장!$L$1:$L$501,$A298),""),"")))</x:f>
        <x:v>#NAME?</x:v>
      </x:c>
    </x:row>
    <x:row r="299">
      <x:c r="A299" t="e">
        <x:f>IF(INDEX(대장!$A$1:$A$501,ROW()-2)="","",ROW()-2)</x:f>
        <x:v>#NAME?</x:v>
      </x:c>
      <x:c r="B299" t="e">
        <x:f>IF($A299="","",INDEX(대장!$A$1:$A$501,$A299))</x:f>
        <x:v>#NAME?</x:v>
      </x:c>
      <x:c r="C299" s="46" t="e">
        <x:f>IFERROR(IF($A299="","",INDEX(대장!$F$1:$F$501,$A299)),"")</x:f>
        <x:v>#NAME?</x:v>
      </x:c>
      <x:c r="D299" s="46" t="e">
        <x:f>IFERROR(IF($A299="","",INDEX(대장!$G$1:$G$501,$A299)),"")</x:f>
        <x:v>#NAME?</x:v>
      </x:c>
      <x:c r="E299" t="e">
        <x:f>IF($A299="","",IF(NOT(ISNUMBER(INDEX(대장!$F$1:$F$501,$A299))),"확인 필요",IF(AND(INDEX(대장!$G$1:$G$501,$A299)&lt;&gt;"",NOT(ISNUMBER(INDEX(대장!$G$1:$G$501,$A299)))),"확인 필요",IF(AND(ISNUMBER(INDEX(대장!$G$1:$G$501,$A299)),INDEX(대장!$G$1:$G$501,$A299)&lt;INDEX(대장!$F$1:$F$501,$A299)),"확인 필요",IF(INDEX(대장!$L$1:$L$501,$A299)&lt;&gt;"","메모 있음","정상")))))</x:f>
        <x:v>#NAME?</x:v>
      </x:c>
      <x:c r="F299" t="e">
        <x:f>IF($A299="","",IF($E299="확인 필요","시작일·종료일과 기간 순서를 확인해 주세요.",IF($E299="메모 있음",IFERROR(INDEX(대장!$L$1:$L$501,$A299),""),"")))</x:f>
        <x:v>#NAME?</x:v>
      </x:c>
    </x:row>
    <x:row r="300">
      <x:c r="A300" t="e">
        <x:f>IF(INDEX(대장!$A$1:$A$501,ROW()-2)="","",ROW()-2)</x:f>
        <x:v>#NAME?</x:v>
      </x:c>
      <x:c r="B300" t="e">
        <x:f>IF($A300="","",INDEX(대장!$A$1:$A$501,$A300))</x:f>
        <x:v>#NAME?</x:v>
      </x:c>
      <x:c r="C300" s="46" t="e">
        <x:f>IFERROR(IF($A300="","",INDEX(대장!$F$1:$F$501,$A300)),"")</x:f>
        <x:v>#NAME?</x:v>
      </x:c>
      <x:c r="D300" s="46" t="e">
        <x:f>IFERROR(IF($A300="","",INDEX(대장!$G$1:$G$501,$A300)),"")</x:f>
        <x:v>#NAME?</x:v>
      </x:c>
      <x:c r="E300" t="e">
        <x:f>IF($A300="","",IF(NOT(ISNUMBER(INDEX(대장!$F$1:$F$501,$A300))),"확인 필요",IF(AND(INDEX(대장!$G$1:$G$501,$A300)&lt;&gt;"",NOT(ISNUMBER(INDEX(대장!$G$1:$G$501,$A300)))),"확인 필요",IF(AND(ISNUMBER(INDEX(대장!$G$1:$G$501,$A300)),INDEX(대장!$G$1:$G$501,$A300)&lt;INDEX(대장!$F$1:$F$501,$A300)),"확인 필요",IF(INDEX(대장!$L$1:$L$501,$A300)&lt;&gt;"","메모 있음","정상")))))</x:f>
        <x:v>#NAME?</x:v>
      </x:c>
      <x:c r="F300" t="e">
        <x:f>IF($A300="","",IF($E300="확인 필요","시작일·종료일과 기간 순서를 확인해 주세요.",IF($E300="메모 있음",IFERROR(INDEX(대장!$L$1:$L$501,$A300),""),"")))</x:f>
        <x:v>#NAME?</x:v>
      </x:c>
    </x:row>
    <x:row r="301">
      <x:c r="A301" t="e">
        <x:f>IF(INDEX(대장!$A$1:$A$501,ROW()-2)="","",ROW()-2)</x:f>
        <x:v>#NAME?</x:v>
      </x:c>
      <x:c r="B301" t="e">
        <x:f>IF($A301="","",INDEX(대장!$A$1:$A$501,$A301))</x:f>
        <x:v>#NAME?</x:v>
      </x:c>
      <x:c r="C301" s="46" t="e">
        <x:f>IFERROR(IF($A301="","",INDEX(대장!$F$1:$F$501,$A301)),"")</x:f>
        <x:v>#NAME?</x:v>
      </x:c>
      <x:c r="D301" s="46" t="e">
        <x:f>IFERROR(IF($A301="","",INDEX(대장!$G$1:$G$501,$A301)),"")</x:f>
        <x:v>#NAME?</x:v>
      </x:c>
      <x:c r="E301" t="e">
        <x:f>IF($A301="","",IF(NOT(ISNUMBER(INDEX(대장!$F$1:$F$501,$A301))),"확인 필요",IF(AND(INDEX(대장!$G$1:$G$501,$A301)&lt;&gt;"",NOT(ISNUMBER(INDEX(대장!$G$1:$G$501,$A301)))),"확인 필요",IF(AND(ISNUMBER(INDEX(대장!$G$1:$G$501,$A301)),INDEX(대장!$G$1:$G$501,$A301)&lt;INDEX(대장!$F$1:$F$501,$A301)),"확인 필요",IF(INDEX(대장!$L$1:$L$501,$A301)&lt;&gt;"","메모 있음","정상")))))</x:f>
        <x:v>#NAME?</x:v>
      </x:c>
      <x:c r="F301" t="e">
        <x:f>IF($A301="","",IF($E301="확인 필요","시작일·종료일과 기간 순서를 확인해 주세요.",IF($E301="메모 있음",IFERROR(INDEX(대장!$L$1:$L$501,$A301),""),"")))</x:f>
        <x:v>#NAME?</x:v>
      </x:c>
    </x:row>
    <x:row r="302">
      <x:c r="A302" t="e">
        <x:f>IF(INDEX(대장!$A$1:$A$501,ROW()-2)="","",ROW()-2)</x:f>
        <x:v>#NAME?</x:v>
      </x:c>
      <x:c r="B302" t="e">
        <x:f>IF($A302="","",INDEX(대장!$A$1:$A$501,$A302))</x:f>
        <x:v>#NAME?</x:v>
      </x:c>
      <x:c r="C302" s="46" t="e">
        <x:f>IFERROR(IF($A302="","",INDEX(대장!$F$1:$F$501,$A302)),"")</x:f>
        <x:v>#NAME?</x:v>
      </x:c>
      <x:c r="D302" s="46" t="e">
        <x:f>IFERROR(IF($A302="","",INDEX(대장!$G$1:$G$501,$A302)),"")</x:f>
        <x:v>#NAME?</x:v>
      </x:c>
      <x:c r="E302" t="e">
        <x:f>IF($A302="","",IF(NOT(ISNUMBER(INDEX(대장!$F$1:$F$501,$A302))),"확인 필요",IF(AND(INDEX(대장!$G$1:$G$501,$A302)&lt;&gt;"",NOT(ISNUMBER(INDEX(대장!$G$1:$G$501,$A302)))),"확인 필요",IF(AND(ISNUMBER(INDEX(대장!$G$1:$G$501,$A302)),INDEX(대장!$G$1:$G$501,$A302)&lt;INDEX(대장!$F$1:$F$501,$A302)),"확인 필요",IF(INDEX(대장!$L$1:$L$501,$A302)&lt;&gt;"","메모 있음","정상")))))</x:f>
        <x:v>#NAME?</x:v>
      </x:c>
      <x:c r="F302" t="e">
        <x:f>IF($A302="","",IF($E302="확인 필요","시작일·종료일과 기간 순서를 확인해 주세요.",IF($E302="메모 있음",IFERROR(INDEX(대장!$L$1:$L$501,$A302),""),"")))</x:f>
        <x:v>#NAME?</x:v>
      </x:c>
    </x:row>
    <x:row r="303">
      <x:c r="A303" t="e">
        <x:f>IF(INDEX(대장!$A$1:$A$501,ROW()-2)="","",ROW()-2)</x:f>
        <x:v>#NAME?</x:v>
      </x:c>
      <x:c r="B303" t="e">
        <x:f>IF($A303="","",INDEX(대장!$A$1:$A$501,$A303))</x:f>
        <x:v>#NAME?</x:v>
      </x:c>
      <x:c r="C303" s="46" t="e">
        <x:f>IFERROR(IF($A303="","",INDEX(대장!$F$1:$F$501,$A303)),"")</x:f>
        <x:v>#NAME?</x:v>
      </x:c>
      <x:c r="D303" s="46" t="e">
        <x:f>IFERROR(IF($A303="","",INDEX(대장!$G$1:$G$501,$A303)),"")</x:f>
        <x:v>#NAME?</x:v>
      </x:c>
      <x:c r="E303" t="e">
        <x:f>IF($A303="","",IF(NOT(ISNUMBER(INDEX(대장!$F$1:$F$501,$A303))),"확인 필요",IF(AND(INDEX(대장!$G$1:$G$501,$A303)&lt;&gt;"",NOT(ISNUMBER(INDEX(대장!$G$1:$G$501,$A303)))),"확인 필요",IF(AND(ISNUMBER(INDEX(대장!$G$1:$G$501,$A303)),INDEX(대장!$G$1:$G$501,$A303)&lt;INDEX(대장!$F$1:$F$501,$A303)),"확인 필요",IF(INDEX(대장!$L$1:$L$501,$A303)&lt;&gt;"","메모 있음","정상")))))</x:f>
        <x:v>#NAME?</x:v>
      </x:c>
      <x:c r="F303" t="e">
        <x:f>IF($A303="","",IF($E303="확인 필요","시작일·종료일과 기간 순서를 확인해 주세요.",IF($E303="메모 있음",IFERROR(INDEX(대장!$L$1:$L$501,$A303),""),"")))</x:f>
        <x:v>#NAME?</x:v>
      </x:c>
    </x:row>
    <x:row r="304">
      <x:c r="A304" t="e">
        <x:f>IF(INDEX(대장!$A$1:$A$501,ROW()-2)="","",ROW()-2)</x:f>
        <x:v>#NAME?</x:v>
      </x:c>
      <x:c r="B304" t="e">
        <x:f>IF($A304="","",INDEX(대장!$A$1:$A$501,$A304))</x:f>
        <x:v>#NAME?</x:v>
      </x:c>
      <x:c r="C304" s="46" t="e">
        <x:f>IFERROR(IF($A304="","",INDEX(대장!$F$1:$F$501,$A304)),"")</x:f>
        <x:v>#NAME?</x:v>
      </x:c>
      <x:c r="D304" s="46" t="e">
        <x:f>IFERROR(IF($A304="","",INDEX(대장!$G$1:$G$501,$A304)),"")</x:f>
        <x:v>#NAME?</x:v>
      </x:c>
      <x:c r="E304" t="e">
        <x:f>IF($A304="","",IF(NOT(ISNUMBER(INDEX(대장!$F$1:$F$501,$A304))),"확인 필요",IF(AND(INDEX(대장!$G$1:$G$501,$A304)&lt;&gt;"",NOT(ISNUMBER(INDEX(대장!$G$1:$G$501,$A304)))),"확인 필요",IF(AND(ISNUMBER(INDEX(대장!$G$1:$G$501,$A304)),INDEX(대장!$G$1:$G$501,$A304)&lt;INDEX(대장!$F$1:$F$501,$A304)),"확인 필요",IF(INDEX(대장!$L$1:$L$501,$A304)&lt;&gt;"","메모 있음","정상")))))</x:f>
        <x:v>#NAME?</x:v>
      </x:c>
      <x:c r="F304" t="e">
        <x:f>IF($A304="","",IF($E304="확인 필요","시작일·종료일과 기간 순서를 확인해 주세요.",IF($E304="메모 있음",IFERROR(INDEX(대장!$L$1:$L$501,$A304),""),"")))</x:f>
        <x:v>#NAME?</x:v>
      </x:c>
    </x:row>
    <x:row r="305">
      <x:c r="A305" t="e">
        <x:f>IF(INDEX(대장!$A$1:$A$501,ROW()-2)="","",ROW()-2)</x:f>
        <x:v>#NAME?</x:v>
      </x:c>
      <x:c r="B305" t="e">
        <x:f>IF($A305="","",INDEX(대장!$A$1:$A$501,$A305))</x:f>
        <x:v>#NAME?</x:v>
      </x:c>
      <x:c r="C305" s="46" t="e">
        <x:f>IFERROR(IF($A305="","",INDEX(대장!$F$1:$F$501,$A305)),"")</x:f>
        <x:v>#NAME?</x:v>
      </x:c>
      <x:c r="D305" s="46" t="e">
        <x:f>IFERROR(IF($A305="","",INDEX(대장!$G$1:$G$501,$A305)),"")</x:f>
        <x:v>#NAME?</x:v>
      </x:c>
      <x:c r="E305" t="e">
        <x:f>IF($A305="","",IF(NOT(ISNUMBER(INDEX(대장!$F$1:$F$501,$A305))),"확인 필요",IF(AND(INDEX(대장!$G$1:$G$501,$A305)&lt;&gt;"",NOT(ISNUMBER(INDEX(대장!$G$1:$G$501,$A305)))),"확인 필요",IF(AND(ISNUMBER(INDEX(대장!$G$1:$G$501,$A305)),INDEX(대장!$G$1:$G$501,$A305)&lt;INDEX(대장!$F$1:$F$501,$A305)),"확인 필요",IF(INDEX(대장!$L$1:$L$501,$A305)&lt;&gt;"","메모 있음","정상")))))</x:f>
        <x:v>#NAME?</x:v>
      </x:c>
      <x:c r="F305" t="e">
        <x:f>IF($A305="","",IF($E305="확인 필요","시작일·종료일과 기간 순서를 확인해 주세요.",IF($E305="메모 있음",IFERROR(INDEX(대장!$L$1:$L$501,$A305),""),"")))</x:f>
        <x:v>#NAME?</x:v>
      </x:c>
    </x:row>
    <x:row r="306">
      <x:c r="A306" t="e">
        <x:f>IF(INDEX(대장!$A$1:$A$501,ROW()-2)="","",ROW()-2)</x:f>
        <x:v>#NAME?</x:v>
      </x:c>
      <x:c r="B306" t="e">
        <x:f>IF($A306="","",INDEX(대장!$A$1:$A$501,$A306))</x:f>
        <x:v>#NAME?</x:v>
      </x:c>
      <x:c r="C306" s="46" t="e">
        <x:f>IFERROR(IF($A306="","",INDEX(대장!$F$1:$F$501,$A306)),"")</x:f>
        <x:v>#NAME?</x:v>
      </x:c>
      <x:c r="D306" s="46" t="e">
        <x:f>IFERROR(IF($A306="","",INDEX(대장!$G$1:$G$501,$A306)),"")</x:f>
        <x:v>#NAME?</x:v>
      </x:c>
      <x:c r="E306" t="e">
        <x:f>IF($A306="","",IF(NOT(ISNUMBER(INDEX(대장!$F$1:$F$501,$A306))),"확인 필요",IF(AND(INDEX(대장!$G$1:$G$501,$A306)&lt;&gt;"",NOT(ISNUMBER(INDEX(대장!$G$1:$G$501,$A306)))),"확인 필요",IF(AND(ISNUMBER(INDEX(대장!$G$1:$G$501,$A306)),INDEX(대장!$G$1:$G$501,$A306)&lt;INDEX(대장!$F$1:$F$501,$A306)),"확인 필요",IF(INDEX(대장!$L$1:$L$501,$A306)&lt;&gt;"","메모 있음","정상")))))</x:f>
        <x:v>#NAME?</x:v>
      </x:c>
      <x:c r="F306" t="e">
        <x:f>IF($A306="","",IF($E306="확인 필요","시작일·종료일과 기간 순서를 확인해 주세요.",IF($E306="메모 있음",IFERROR(INDEX(대장!$L$1:$L$501,$A306),""),"")))</x:f>
        <x:v>#NAME?</x:v>
      </x:c>
    </x:row>
    <x:row r="307">
      <x:c r="A307" t="e">
        <x:f>IF(INDEX(대장!$A$1:$A$501,ROW()-2)="","",ROW()-2)</x:f>
        <x:v>#NAME?</x:v>
      </x:c>
      <x:c r="B307" t="e">
        <x:f>IF($A307="","",INDEX(대장!$A$1:$A$501,$A307))</x:f>
        <x:v>#NAME?</x:v>
      </x:c>
      <x:c r="C307" s="46" t="e">
        <x:f>IFERROR(IF($A307="","",INDEX(대장!$F$1:$F$501,$A307)),"")</x:f>
        <x:v>#NAME?</x:v>
      </x:c>
      <x:c r="D307" s="46" t="e">
        <x:f>IFERROR(IF($A307="","",INDEX(대장!$G$1:$G$501,$A307)),"")</x:f>
        <x:v>#NAME?</x:v>
      </x:c>
      <x:c r="E307" t="e">
        <x:f>IF($A307="","",IF(NOT(ISNUMBER(INDEX(대장!$F$1:$F$501,$A307))),"확인 필요",IF(AND(INDEX(대장!$G$1:$G$501,$A307)&lt;&gt;"",NOT(ISNUMBER(INDEX(대장!$G$1:$G$501,$A307)))),"확인 필요",IF(AND(ISNUMBER(INDEX(대장!$G$1:$G$501,$A307)),INDEX(대장!$G$1:$G$501,$A307)&lt;INDEX(대장!$F$1:$F$501,$A307)),"확인 필요",IF(INDEX(대장!$L$1:$L$501,$A307)&lt;&gt;"","메모 있음","정상")))))</x:f>
        <x:v>#NAME?</x:v>
      </x:c>
      <x:c r="F307" t="e">
        <x:f>IF($A307="","",IF($E307="확인 필요","시작일·종료일과 기간 순서를 확인해 주세요.",IF($E307="메모 있음",IFERROR(INDEX(대장!$L$1:$L$501,$A307),""),"")))</x:f>
        <x:v>#NAME?</x:v>
      </x:c>
    </x:row>
    <x:row r="308">
      <x:c r="A308" t="e">
        <x:f>IF(INDEX(대장!$A$1:$A$501,ROW()-2)="","",ROW()-2)</x:f>
        <x:v>#NAME?</x:v>
      </x:c>
      <x:c r="B308" t="e">
        <x:f>IF($A308="","",INDEX(대장!$A$1:$A$501,$A308))</x:f>
        <x:v>#NAME?</x:v>
      </x:c>
      <x:c r="C308" s="46" t="e">
        <x:f>IFERROR(IF($A308="","",INDEX(대장!$F$1:$F$501,$A308)),"")</x:f>
        <x:v>#NAME?</x:v>
      </x:c>
      <x:c r="D308" s="46" t="e">
        <x:f>IFERROR(IF($A308="","",INDEX(대장!$G$1:$G$501,$A308)),"")</x:f>
        <x:v>#NAME?</x:v>
      </x:c>
      <x:c r="E308" t="e">
        <x:f>IF($A308="","",IF(NOT(ISNUMBER(INDEX(대장!$F$1:$F$501,$A308))),"확인 필요",IF(AND(INDEX(대장!$G$1:$G$501,$A308)&lt;&gt;"",NOT(ISNUMBER(INDEX(대장!$G$1:$G$501,$A308)))),"확인 필요",IF(AND(ISNUMBER(INDEX(대장!$G$1:$G$501,$A308)),INDEX(대장!$G$1:$G$501,$A308)&lt;INDEX(대장!$F$1:$F$501,$A308)),"확인 필요",IF(INDEX(대장!$L$1:$L$501,$A308)&lt;&gt;"","메모 있음","정상")))))</x:f>
        <x:v>#NAME?</x:v>
      </x:c>
      <x:c r="F308" t="e">
        <x:f>IF($A308="","",IF($E308="확인 필요","시작일·종료일과 기간 순서를 확인해 주세요.",IF($E308="메모 있음",IFERROR(INDEX(대장!$L$1:$L$501,$A308),""),"")))</x:f>
        <x:v>#NAME?</x:v>
      </x:c>
    </x:row>
    <x:row r="309">
      <x:c r="A309" t="e">
        <x:f>IF(INDEX(대장!$A$1:$A$501,ROW()-2)="","",ROW()-2)</x:f>
        <x:v>#NAME?</x:v>
      </x:c>
      <x:c r="B309" t="e">
        <x:f>IF($A309="","",INDEX(대장!$A$1:$A$501,$A309))</x:f>
        <x:v>#NAME?</x:v>
      </x:c>
      <x:c r="C309" s="46" t="e">
        <x:f>IFERROR(IF($A309="","",INDEX(대장!$F$1:$F$501,$A309)),"")</x:f>
        <x:v>#NAME?</x:v>
      </x:c>
      <x:c r="D309" s="46" t="e">
        <x:f>IFERROR(IF($A309="","",INDEX(대장!$G$1:$G$501,$A309)),"")</x:f>
        <x:v>#NAME?</x:v>
      </x:c>
      <x:c r="E309" t="e">
        <x:f>IF($A309="","",IF(NOT(ISNUMBER(INDEX(대장!$F$1:$F$501,$A309))),"확인 필요",IF(AND(INDEX(대장!$G$1:$G$501,$A309)&lt;&gt;"",NOT(ISNUMBER(INDEX(대장!$G$1:$G$501,$A309)))),"확인 필요",IF(AND(ISNUMBER(INDEX(대장!$G$1:$G$501,$A309)),INDEX(대장!$G$1:$G$501,$A309)&lt;INDEX(대장!$F$1:$F$501,$A309)),"확인 필요",IF(INDEX(대장!$L$1:$L$501,$A309)&lt;&gt;"","메모 있음","정상")))))</x:f>
        <x:v>#NAME?</x:v>
      </x:c>
      <x:c r="F309" t="e">
        <x:f>IF($A309="","",IF($E309="확인 필요","시작일·종료일과 기간 순서를 확인해 주세요.",IF($E309="메모 있음",IFERROR(INDEX(대장!$L$1:$L$501,$A309),""),"")))</x:f>
        <x:v>#NAME?</x:v>
      </x:c>
    </x:row>
    <x:row r="310">
      <x:c r="A310" t="e">
        <x:f>IF(INDEX(대장!$A$1:$A$501,ROW()-2)="","",ROW()-2)</x:f>
        <x:v>#NAME?</x:v>
      </x:c>
      <x:c r="B310" t="e">
        <x:f>IF($A310="","",INDEX(대장!$A$1:$A$501,$A310))</x:f>
        <x:v>#NAME?</x:v>
      </x:c>
      <x:c r="C310" s="46" t="e">
        <x:f>IFERROR(IF($A310="","",INDEX(대장!$F$1:$F$501,$A310)),"")</x:f>
        <x:v>#NAME?</x:v>
      </x:c>
      <x:c r="D310" s="46" t="e">
        <x:f>IFERROR(IF($A310="","",INDEX(대장!$G$1:$G$501,$A310)),"")</x:f>
        <x:v>#NAME?</x:v>
      </x:c>
      <x:c r="E310" t="e">
        <x:f>IF($A310="","",IF(NOT(ISNUMBER(INDEX(대장!$F$1:$F$501,$A310))),"확인 필요",IF(AND(INDEX(대장!$G$1:$G$501,$A310)&lt;&gt;"",NOT(ISNUMBER(INDEX(대장!$G$1:$G$501,$A310)))),"확인 필요",IF(AND(ISNUMBER(INDEX(대장!$G$1:$G$501,$A310)),INDEX(대장!$G$1:$G$501,$A310)&lt;INDEX(대장!$F$1:$F$501,$A310)),"확인 필요",IF(INDEX(대장!$L$1:$L$501,$A310)&lt;&gt;"","메모 있음","정상")))))</x:f>
        <x:v>#NAME?</x:v>
      </x:c>
      <x:c r="F310" t="e">
        <x:f>IF($A310="","",IF($E310="확인 필요","시작일·종료일과 기간 순서를 확인해 주세요.",IF($E310="메모 있음",IFERROR(INDEX(대장!$L$1:$L$501,$A310),""),"")))</x:f>
        <x:v>#NAME?</x:v>
      </x:c>
    </x:row>
    <x:row r="311">
      <x:c r="A311" t="e">
        <x:f>IF(INDEX(대장!$A$1:$A$501,ROW()-2)="","",ROW()-2)</x:f>
        <x:v>#NAME?</x:v>
      </x:c>
      <x:c r="B311" t="e">
        <x:f>IF($A311="","",INDEX(대장!$A$1:$A$501,$A311))</x:f>
        <x:v>#NAME?</x:v>
      </x:c>
      <x:c r="C311" s="46" t="e">
        <x:f>IFERROR(IF($A311="","",INDEX(대장!$F$1:$F$501,$A311)),"")</x:f>
        <x:v>#NAME?</x:v>
      </x:c>
      <x:c r="D311" s="46" t="e">
        <x:f>IFERROR(IF($A311="","",INDEX(대장!$G$1:$G$501,$A311)),"")</x:f>
        <x:v>#NAME?</x:v>
      </x:c>
      <x:c r="E311" t="e">
        <x:f>IF($A311="","",IF(NOT(ISNUMBER(INDEX(대장!$F$1:$F$501,$A311))),"확인 필요",IF(AND(INDEX(대장!$G$1:$G$501,$A311)&lt;&gt;"",NOT(ISNUMBER(INDEX(대장!$G$1:$G$501,$A311)))),"확인 필요",IF(AND(ISNUMBER(INDEX(대장!$G$1:$G$501,$A311)),INDEX(대장!$G$1:$G$501,$A311)&lt;INDEX(대장!$F$1:$F$501,$A311)),"확인 필요",IF(INDEX(대장!$L$1:$L$501,$A311)&lt;&gt;"","메모 있음","정상")))))</x:f>
        <x:v>#NAME?</x:v>
      </x:c>
      <x:c r="F311" t="e">
        <x:f>IF($A311="","",IF($E311="확인 필요","시작일·종료일과 기간 순서를 확인해 주세요.",IF($E311="메모 있음",IFERROR(INDEX(대장!$L$1:$L$501,$A311),""),"")))</x:f>
        <x:v>#NAME?</x:v>
      </x:c>
    </x:row>
    <x:row r="312">
      <x:c r="A312" t="e">
        <x:f>IF(INDEX(대장!$A$1:$A$501,ROW()-2)="","",ROW()-2)</x:f>
        <x:v>#NAME?</x:v>
      </x:c>
      <x:c r="B312" t="e">
        <x:f>IF($A312="","",INDEX(대장!$A$1:$A$501,$A312))</x:f>
        <x:v>#NAME?</x:v>
      </x:c>
      <x:c r="C312" s="46" t="e">
        <x:f>IFERROR(IF($A312="","",INDEX(대장!$F$1:$F$501,$A312)),"")</x:f>
        <x:v>#NAME?</x:v>
      </x:c>
      <x:c r="D312" s="46" t="e">
        <x:f>IFERROR(IF($A312="","",INDEX(대장!$G$1:$G$501,$A312)),"")</x:f>
        <x:v>#NAME?</x:v>
      </x:c>
      <x:c r="E312" t="e">
        <x:f>IF($A312="","",IF(NOT(ISNUMBER(INDEX(대장!$F$1:$F$501,$A312))),"확인 필요",IF(AND(INDEX(대장!$G$1:$G$501,$A312)&lt;&gt;"",NOT(ISNUMBER(INDEX(대장!$G$1:$G$501,$A312)))),"확인 필요",IF(AND(ISNUMBER(INDEX(대장!$G$1:$G$501,$A312)),INDEX(대장!$G$1:$G$501,$A312)&lt;INDEX(대장!$F$1:$F$501,$A312)),"확인 필요",IF(INDEX(대장!$L$1:$L$501,$A312)&lt;&gt;"","메모 있음","정상")))))</x:f>
        <x:v>#NAME?</x:v>
      </x:c>
      <x:c r="F312" t="e">
        <x:f>IF($A312="","",IF($E312="확인 필요","시작일·종료일과 기간 순서를 확인해 주세요.",IF($E312="메모 있음",IFERROR(INDEX(대장!$L$1:$L$501,$A312),""),"")))</x:f>
        <x:v>#NAME?</x:v>
      </x:c>
    </x:row>
    <x:row r="313">
      <x:c r="A313" t="e">
        <x:f>IF(INDEX(대장!$A$1:$A$501,ROW()-2)="","",ROW()-2)</x:f>
        <x:v>#NAME?</x:v>
      </x:c>
      <x:c r="B313" t="e">
        <x:f>IF($A313="","",INDEX(대장!$A$1:$A$501,$A313))</x:f>
        <x:v>#NAME?</x:v>
      </x:c>
      <x:c r="C313" s="46" t="e">
        <x:f>IFERROR(IF($A313="","",INDEX(대장!$F$1:$F$501,$A313)),"")</x:f>
        <x:v>#NAME?</x:v>
      </x:c>
      <x:c r="D313" s="46" t="e">
        <x:f>IFERROR(IF($A313="","",INDEX(대장!$G$1:$G$501,$A313)),"")</x:f>
        <x:v>#NAME?</x:v>
      </x:c>
      <x:c r="E313" t="e">
        <x:f>IF($A313="","",IF(NOT(ISNUMBER(INDEX(대장!$F$1:$F$501,$A313))),"확인 필요",IF(AND(INDEX(대장!$G$1:$G$501,$A313)&lt;&gt;"",NOT(ISNUMBER(INDEX(대장!$G$1:$G$501,$A313)))),"확인 필요",IF(AND(ISNUMBER(INDEX(대장!$G$1:$G$501,$A313)),INDEX(대장!$G$1:$G$501,$A313)&lt;INDEX(대장!$F$1:$F$501,$A313)),"확인 필요",IF(INDEX(대장!$L$1:$L$501,$A313)&lt;&gt;"","메모 있음","정상")))))</x:f>
        <x:v>#NAME?</x:v>
      </x:c>
      <x:c r="F313" t="e">
        <x:f>IF($A313="","",IF($E313="확인 필요","시작일·종료일과 기간 순서를 확인해 주세요.",IF($E313="메모 있음",IFERROR(INDEX(대장!$L$1:$L$501,$A313),""),"")))</x:f>
        <x:v>#NAME?</x:v>
      </x:c>
    </x:row>
    <x:row r="314">
      <x:c r="A314" t="e">
        <x:f>IF(INDEX(대장!$A$1:$A$501,ROW()-2)="","",ROW()-2)</x:f>
        <x:v>#NAME?</x:v>
      </x:c>
      <x:c r="B314" t="e">
        <x:f>IF($A314="","",INDEX(대장!$A$1:$A$501,$A314))</x:f>
        <x:v>#NAME?</x:v>
      </x:c>
      <x:c r="C314" s="46" t="e">
        <x:f>IFERROR(IF($A314="","",INDEX(대장!$F$1:$F$501,$A314)),"")</x:f>
        <x:v>#NAME?</x:v>
      </x:c>
      <x:c r="D314" s="46" t="e">
        <x:f>IFERROR(IF($A314="","",INDEX(대장!$G$1:$G$501,$A314)),"")</x:f>
        <x:v>#NAME?</x:v>
      </x:c>
      <x:c r="E314" t="e">
        <x:f>IF($A314="","",IF(NOT(ISNUMBER(INDEX(대장!$F$1:$F$501,$A314))),"확인 필요",IF(AND(INDEX(대장!$G$1:$G$501,$A314)&lt;&gt;"",NOT(ISNUMBER(INDEX(대장!$G$1:$G$501,$A314)))),"확인 필요",IF(AND(ISNUMBER(INDEX(대장!$G$1:$G$501,$A314)),INDEX(대장!$G$1:$G$501,$A314)&lt;INDEX(대장!$F$1:$F$501,$A314)),"확인 필요",IF(INDEX(대장!$L$1:$L$501,$A314)&lt;&gt;"","메모 있음","정상")))))</x:f>
        <x:v>#NAME?</x:v>
      </x:c>
      <x:c r="F314" t="e">
        <x:f>IF($A314="","",IF($E314="확인 필요","시작일·종료일과 기간 순서를 확인해 주세요.",IF($E314="메모 있음",IFERROR(INDEX(대장!$L$1:$L$501,$A314),""),"")))</x:f>
        <x:v>#NAME?</x:v>
      </x:c>
    </x:row>
    <x:row r="315">
      <x:c r="A315" t="e">
        <x:f>IF(INDEX(대장!$A$1:$A$501,ROW()-2)="","",ROW()-2)</x:f>
        <x:v>#NAME?</x:v>
      </x:c>
      <x:c r="B315" t="e">
        <x:f>IF($A315="","",INDEX(대장!$A$1:$A$501,$A315))</x:f>
        <x:v>#NAME?</x:v>
      </x:c>
      <x:c r="C315" s="46" t="e">
        <x:f>IFERROR(IF($A315="","",INDEX(대장!$F$1:$F$501,$A315)),"")</x:f>
        <x:v>#NAME?</x:v>
      </x:c>
      <x:c r="D315" s="46" t="e">
        <x:f>IFERROR(IF($A315="","",INDEX(대장!$G$1:$G$501,$A315)),"")</x:f>
        <x:v>#NAME?</x:v>
      </x:c>
      <x:c r="E315" t="e">
        <x:f>IF($A315="","",IF(NOT(ISNUMBER(INDEX(대장!$F$1:$F$501,$A315))),"확인 필요",IF(AND(INDEX(대장!$G$1:$G$501,$A315)&lt;&gt;"",NOT(ISNUMBER(INDEX(대장!$G$1:$G$501,$A315)))),"확인 필요",IF(AND(ISNUMBER(INDEX(대장!$G$1:$G$501,$A315)),INDEX(대장!$G$1:$G$501,$A315)&lt;INDEX(대장!$F$1:$F$501,$A315)),"확인 필요",IF(INDEX(대장!$L$1:$L$501,$A315)&lt;&gt;"","메모 있음","정상")))))</x:f>
        <x:v>#NAME?</x:v>
      </x:c>
      <x:c r="F315" t="e">
        <x:f>IF($A315="","",IF($E315="확인 필요","시작일·종료일과 기간 순서를 확인해 주세요.",IF($E315="메모 있음",IFERROR(INDEX(대장!$L$1:$L$501,$A315),""),"")))</x:f>
        <x:v>#NAME?</x:v>
      </x:c>
    </x:row>
    <x:row r="316">
      <x:c r="A316" t="e">
        <x:f>IF(INDEX(대장!$A$1:$A$501,ROW()-2)="","",ROW()-2)</x:f>
        <x:v>#NAME?</x:v>
      </x:c>
      <x:c r="B316" t="e">
        <x:f>IF($A316="","",INDEX(대장!$A$1:$A$501,$A316))</x:f>
        <x:v>#NAME?</x:v>
      </x:c>
      <x:c r="C316" s="46" t="e">
        <x:f>IFERROR(IF($A316="","",INDEX(대장!$F$1:$F$501,$A316)),"")</x:f>
        <x:v>#NAME?</x:v>
      </x:c>
      <x:c r="D316" s="46" t="e">
        <x:f>IFERROR(IF($A316="","",INDEX(대장!$G$1:$G$501,$A316)),"")</x:f>
        <x:v>#NAME?</x:v>
      </x:c>
      <x:c r="E316" t="e">
        <x:f>IF($A316="","",IF(NOT(ISNUMBER(INDEX(대장!$F$1:$F$501,$A316))),"확인 필요",IF(AND(INDEX(대장!$G$1:$G$501,$A316)&lt;&gt;"",NOT(ISNUMBER(INDEX(대장!$G$1:$G$501,$A316)))),"확인 필요",IF(AND(ISNUMBER(INDEX(대장!$G$1:$G$501,$A316)),INDEX(대장!$G$1:$G$501,$A316)&lt;INDEX(대장!$F$1:$F$501,$A316)),"확인 필요",IF(INDEX(대장!$L$1:$L$501,$A316)&lt;&gt;"","메모 있음","정상")))))</x:f>
        <x:v>#NAME?</x:v>
      </x:c>
      <x:c r="F316" t="e">
        <x:f>IF($A316="","",IF($E316="확인 필요","시작일·종료일과 기간 순서를 확인해 주세요.",IF($E316="메모 있음",IFERROR(INDEX(대장!$L$1:$L$501,$A316),""),"")))</x:f>
        <x:v>#NAME?</x:v>
      </x:c>
    </x:row>
    <x:row r="317">
      <x:c r="A317" t="e">
        <x:f>IF(INDEX(대장!$A$1:$A$501,ROW()-2)="","",ROW()-2)</x:f>
        <x:v>#NAME?</x:v>
      </x:c>
      <x:c r="B317" t="e">
        <x:f>IF($A317="","",INDEX(대장!$A$1:$A$501,$A317))</x:f>
        <x:v>#NAME?</x:v>
      </x:c>
      <x:c r="C317" s="46" t="e">
        <x:f>IFERROR(IF($A317="","",INDEX(대장!$F$1:$F$501,$A317)),"")</x:f>
        <x:v>#NAME?</x:v>
      </x:c>
      <x:c r="D317" s="46" t="e">
        <x:f>IFERROR(IF($A317="","",INDEX(대장!$G$1:$G$501,$A317)),"")</x:f>
        <x:v>#NAME?</x:v>
      </x:c>
      <x:c r="E317" t="e">
        <x:f>IF($A317="","",IF(NOT(ISNUMBER(INDEX(대장!$F$1:$F$501,$A317))),"확인 필요",IF(AND(INDEX(대장!$G$1:$G$501,$A317)&lt;&gt;"",NOT(ISNUMBER(INDEX(대장!$G$1:$G$501,$A317)))),"확인 필요",IF(AND(ISNUMBER(INDEX(대장!$G$1:$G$501,$A317)),INDEX(대장!$G$1:$G$501,$A317)&lt;INDEX(대장!$F$1:$F$501,$A317)),"확인 필요",IF(INDEX(대장!$L$1:$L$501,$A317)&lt;&gt;"","메모 있음","정상")))))</x:f>
        <x:v>#NAME?</x:v>
      </x:c>
      <x:c r="F317" t="e">
        <x:f>IF($A317="","",IF($E317="확인 필요","시작일·종료일과 기간 순서를 확인해 주세요.",IF($E317="메모 있음",IFERROR(INDEX(대장!$L$1:$L$501,$A317),""),"")))</x:f>
        <x:v>#NAME?</x:v>
      </x:c>
    </x:row>
    <x:row r="318">
      <x:c r="A318" t="e">
        <x:f>IF(INDEX(대장!$A$1:$A$501,ROW()-2)="","",ROW()-2)</x:f>
        <x:v>#NAME?</x:v>
      </x:c>
      <x:c r="B318" t="e">
        <x:f>IF($A318="","",INDEX(대장!$A$1:$A$501,$A318))</x:f>
        <x:v>#NAME?</x:v>
      </x:c>
      <x:c r="C318" s="46" t="e">
        <x:f>IFERROR(IF($A318="","",INDEX(대장!$F$1:$F$501,$A318)),"")</x:f>
        <x:v>#NAME?</x:v>
      </x:c>
      <x:c r="D318" s="46" t="e">
        <x:f>IFERROR(IF($A318="","",INDEX(대장!$G$1:$G$501,$A318)),"")</x:f>
        <x:v>#NAME?</x:v>
      </x:c>
      <x:c r="E318" t="e">
        <x:f>IF($A318="","",IF(NOT(ISNUMBER(INDEX(대장!$F$1:$F$501,$A318))),"확인 필요",IF(AND(INDEX(대장!$G$1:$G$501,$A318)&lt;&gt;"",NOT(ISNUMBER(INDEX(대장!$G$1:$G$501,$A318)))),"확인 필요",IF(AND(ISNUMBER(INDEX(대장!$G$1:$G$501,$A318)),INDEX(대장!$G$1:$G$501,$A318)&lt;INDEX(대장!$F$1:$F$501,$A318)),"확인 필요",IF(INDEX(대장!$L$1:$L$501,$A318)&lt;&gt;"","메모 있음","정상")))))</x:f>
        <x:v>#NAME?</x:v>
      </x:c>
      <x:c r="F318" t="e">
        <x:f>IF($A318="","",IF($E318="확인 필요","시작일·종료일과 기간 순서를 확인해 주세요.",IF($E318="메모 있음",IFERROR(INDEX(대장!$L$1:$L$501,$A318),""),"")))</x:f>
        <x:v>#NAME?</x:v>
      </x:c>
    </x:row>
    <x:row r="319">
      <x:c r="A319" t="e">
        <x:f>IF(INDEX(대장!$A$1:$A$501,ROW()-2)="","",ROW()-2)</x:f>
        <x:v>#NAME?</x:v>
      </x:c>
      <x:c r="B319" t="e">
        <x:f>IF($A319="","",INDEX(대장!$A$1:$A$501,$A319))</x:f>
        <x:v>#NAME?</x:v>
      </x:c>
      <x:c r="C319" s="46" t="e">
        <x:f>IFERROR(IF($A319="","",INDEX(대장!$F$1:$F$501,$A319)),"")</x:f>
        <x:v>#NAME?</x:v>
      </x:c>
      <x:c r="D319" s="46" t="e">
        <x:f>IFERROR(IF($A319="","",INDEX(대장!$G$1:$G$501,$A319)),"")</x:f>
        <x:v>#NAME?</x:v>
      </x:c>
      <x:c r="E319" t="e">
        <x:f>IF($A319="","",IF(NOT(ISNUMBER(INDEX(대장!$F$1:$F$501,$A319))),"확인 필요",IF(AND(INDEX(대장!$G$1:$G$501,$A319)&lt;&gt;"",NOT(ISNUMBER(INDEX(대장!$G$1:$G$501,$A319)))),"확인 필요",IF(AND(ISNUMBER(INDEX(대장!$G$1:$G$501,$A319)),INDEX(대장!$G$1:$G$501,$A319)&lt;INDEX(대장!$F$1:$F$501,$A319)),"확인 필요",IF(INDEX(대장!$L$1:$L$501,$A319)&lt;&gt;"","메모 있음","정상")))))</x:f>
        <x:v>#NAME?</x:v>
      </x:c>
      <x:c r="F319" t="e">
        <x:f>IF($A319="","",IF($E319="확인 필요","시작일·종료일과 기간 순서를 확인해 주세요.",IF($E319="메모 있음",IFERROR(INDEX(대장!$L$1:$L$501,$A319),""),"")))</x:f>
        <x:v>#NAME?</x:v>
      </x:c>
    </x:row>
    <x:row r="320">
      <x:c r="A320" t="e">
        <x:f>IF(INDEX(대장!$A$1:$A$501,ROW()-2)="","",ROW()-2)</x:f>
        <x:v>#NAME?</x:v>
      </x:c>
      <x:c r="B320" t="e">
        <x:f>IF($A320="","",INDEX(대장!$A$1:$A$501,$A320))</x:f>
        <x:v>#NAME?</x:v>
      </x:c>
      <x:c r="C320" s="46" t="e">
        <x:f>IFERROR(IF($A320="","",INDEX(대장!$F$1:$F$501,$A320)),"")</x:f>
        <x:v>#NAME?</x:v>
      </x:c>
      <x:c r="D320" s="46" t="e">
        <x:f>IFERROR(IF($A320="","",INDEX(대장!$G$1:$G$501,$A320)),"")</x:f>
        <x:v>#NAME?</x:v>
      </x:c>
      <x:c r="E320" t="e">
        <x:f>IF($A320="","",IF(NOT(ISNUMBER(INDEX(대장!$F$1:$F$501,$A320))),"확인 필요",IF(AND(INDEX(대장!$G$1:$G$501,$A320)&lt;&gt;"",NOT(ISNUMBER(INDEX(대장!$G$1:$G$501,$A320)))),"확인 필요",IF(AND(ISNUMBER(INDEX(대장!$G$1:$G$501,$A320)),INDEX(대장!$G$1:$G$501,$A320)&lt;INDEX(대장!$F$1:$F$501,$A320)),"확인 필요",IF(INDEX(대장!$L$1:$L$501,$A320)&lt;&gt;"","메모 있음","정상")))))</x:f>
        <x:v>#NAME?</x:v>
      </x:c>
      <x:c r="F320" t="e">
        <x:f>IF($A320="","",IF($E320="확인 필요","시작일·종료일과 기간 순서를 확인해 주세요.",IF($E320="메모 있음",IFERROR(INDEX(대장!$L$1:$L$501,$A320),""),"")))</x:f>
        <x:v>#NAME?</x:v>
      </x:c>
    </x:row>
    <x:row r="321">
      <x:c r="A321" t="e">
        <x:f>IF(INDEX(대장!$A$1:$A$501,ROW()-2)="","",ROW()-2)</x:f>
        <x:v>#NAME?</x:v>
      </x:c>
      <x:c r="B321" t="e">
        <x:f>IF($A321="","",INDEX(대장!$A$1:$A$501,$A321))</x:f>
        <x:v>#NAME?</x:v>
      </x:c>
      <x:c r="C321" s="46" t="e">
        <x:f>IFERROR(IF($A321="","",INDEX(대장!$F$1:$F$501,$A321)),"")</x:f>
        <x:v>#NAME?</x:v>
      </x:c>
      <x:c r="D321" s="46" t="e">
        <x:f>IFERROR(IF($A321="","",INDEX(대장!$G$1:$G$501,$A321)),"")</x:f>
        <x:v>#NAME?</x:v>
      </x:c>
      <x:c r="E321" t="e">
        <x:f>IF($A321="","",IF(NOT(ISNUMBER(INDEX(대장!$F$1:$F$501,$A321))),"확인 필요",IF(AND(INDEX(대장!$G$1:$G$501,$A321)&lt;&gt;"",NOT(ISNUMBER(INDEX(대장!$G$1:$G$501,$A321)))),"확인 필요",IF(AND(ISNUMBER(INDEX(대장!$G$1:$G$501,$A321)),INDEX(대장!$G$1:$G$501,$A321)&lt;INDEX(대장!$F$1:$F$501,$A321)),"확인 필요",IF(INDEX(대장!$L$1:$L$501,$A321)&lt;&gt;"","메모 있음","정상")))))</x:f>
        <x:v>#NAME?</x:v>
      </x:c>
      <x:c r="F321" t="e">
        <x:f>IF($A321="","",IF($E321="확인 필요","시작일·종료일과 기간 순서를 확인해 주세요.",IF($E321="메모 있음",IFERROR(INDEX(대장!$L$1:$L$501,$A321),""),"")))</x:f>
        <x:v>#NAME?</x:v>
      </x:c>
    </x:row>
    <x:row r="322">
      <x:c r="A322" t="e">
        <x:f>IF(INDEX(대장!$A$1:$A$501,ROW()-2)="","",ROW()-2)</x:f>
        <x:v>#NAME?</x:v>
      </x:c>
      <x:c r="B322" t="e">
        <x:f>IF($A322="","",INDEX(대장!$A$1:$A$501,$A322))</x:f>
        <x:v>#NAME?</x:v>
      </x:c>
      <x:c r="C322" s="46" t="e">
        <x:f>IFERROR(IF($A322="","",INDEX(대장!$F$1:$F$501,$A322)),"")</x:f>
        <x:v>#NAME?</x:v>
      </x:c>
      <x:c r="D322" s="46" t="e">
        <x:f>IFERROR(IF($A322="","",INDEX(대장!$G$1:$G$501,$A322)),"")</x:f>
        <x:v>#NAME?</x:v>
      </x:c>
      <x:c r="E322" t="e">
        <x:f>IF($A322="","",IF(NOT(ISNUMBER(INDEX(대장!$F$1:$F$501,$A322))),"확인 필요",IF(AND(INDEX(대장!$G$1:$G$501,$A322)&lt;&gt;"",NOT(ISNUMBER(INDEX(대장!$G$1:$G$501,$A322)))),"확인 필요",IF(AND(ISNUMBER(INDEX(대장!$G$1:$G$501,$A322)),INDEX(대장!$G$1:$G$501,$A322)&lt;INDEX(대장!$F$1:$F$501,$A322)),"확인 필요",IF(INDEX(대장!$L$1:$L$501,$A322)&lt;&gt;"","메모 있음","정상")))))</x:f>
        <x:v>#NAME?</x:v>
      </x:c>
      <x:c r="F322" t="e">
        <x:f>IF($A322="","",IF($E322="확인 필요","시작일·종료일과 기간 순서를 확인해 주세요.",IF($E322="메모 있음",IFERROR(INDEX(대장!$L$1:$L$501,$A322),""),"")))</x:f>
        <x:v>#NAME?</x:v>
      </x:c>
    </x:row>
    <x:row r="323">
      <x:c r="A323" t="e">
        <x:f>IF(INDEX(대장!$A$1:$A$501,ROW()-2)="","",ROW()-2)</x:f>
        <x:v>#NAME?</x:v>
      </x:c>
      <x:c r="B323" t="e">
        <x:f>IF($A323="","",INDEX(대장!$A$1:$A$501,$A323))</x:f>
        <x:v>#NAME?</x:v>
      </x:c>
      <x:c r="C323" s="46" t="e">
        <x:f>IFERROR(IF($A323="","",INDEX(대장!$F$1:$F$501,$A323)),"")</x:f>
        <x:v>#NAME?</x:v>
      </x:c>
      <x:c r="D323" s="46" t="e">
        <x:f>IFERROR(IF($A323="","",INDEX(대장!$G$1:$G$501,$A323)),"")</x:f>
        <x:v>#NAME?</x:v>
      </x:c>
      <x:c r="E323" t="e">
        <x:f>IF($A323="","",IF(NOT(ISNUMBER(INDEX(대장!$F$1:$F$501,$A323))),"확인 필요",IF(AND(INDEX(대장!$G$1:$G$501,$A323)&lt;&gt;"",NOT(ISNUMBER(INDEX(대장!$G$1:$G$501,$A323)))),"확인 필요",IF(AND(ISNUMBER(INDEX(대장!$G$1:$G$501,$A323)),INDEX(대장!$G$1:$G$501,$A323)&lt;INDEX(대장!$F$1:$F$501,$A323)),"확인 필요",IF(INDEX(대장!$L$1:$L$501,$A323)&lt;&gt;"","메모 있음","정상")))))</x:f>
        <x:v>#NAME?</x:v>
      </x:c>
      <x:c r="F323" t="e">
        <x:f>IF($A323="","",IF($E323="확인 필요","시작일·종료일과 기간 순서를 확인해 주세요.",IF($E323="메모 있음",IFERROR(INDEX(대장!$L$1:$L$501,$A323),""),"")))</x:f>
        <x:v>#NAME?</x:v>
      </x:c>
    </x:row>
    <x:row r="324">
      <x:c r="A324" t="e">
        <x:f>IF(INDEX(대장!$A$1:$A$501,ROW()-2)="","",ROW()-2)</x:f>
        <x:v>#NAME?</x:v>
      </x:c>
      <x:c r="B324" t="e">
        <x:f>IF($A324="","",INDEX(대장!$A$1:$A$501,$A324))</x:f>
        <x:v>#NAME?</x:v>
      </x:c>
      <x:c r="C324" s="46" t="e">
        <x:f>IFERROR(IF($A324="","",INDEX(대장!$F$1:$F$501,$A324)),"")</x:f>
        <x:v>#NAME?</x:v>
      </x:c>
      <x:c r="D324" s="46" t="e">
        <x:f>IFERROR(IF($A324="","",INDEX(대장!$G$1:$G$501,$A324)),"")</x:f>
        <x:v>#NAME?</x:v>
      </x:c>
      <x:c r="E324" t="e">
        <x:f>IF($A324="","",IF(NOT(ISNUMBER(INDEX(대장!$F$1:$F$501,$A324))),"확인 필요",IF(AND(INDEX(대장!$G$1:$G$501,$A324)&lt;&gt;"",NOT(ISNUMBER(INDEX(대장!$G$1:$G$501,$A324)))),"확인 필요",IF(AND(ISNUMBER(INDEX(대장!$G$1:$G$501,$A324)),INDEX(대장!$G$1:$G$501,$A324)&lt;INDEX(대장!$F$1:$F$501,$A324)),"확인 필요",IF(INDEX(대장!$L$1:$L$501,$A324)&lt;&gt;"","메모 있음","정상")))))</x:f>
        <x:v>#NAME?</x:v>
      </x:c>
      <x:c r="F324" t="e">
        <x:f>IF($A324="","",IF($E324="확인 필요","시작일·종료일과 기간 순서를 확인해 주세요.",IF($E324="메모 있음",IFERROR(INDEX(대장!$L$1:$L$501,$A324),""),"")))</x:f>
        <x:v>#NAME?</x:v>
      </x:c>
    </x:row>
    <x:row r="325">
      <x:c r="A325" t="e">
        <x:f>IF(INDEX(대장!$A$1:$A$501,ROW()-2)="","",ROW()-2)</x:f>
        <x:v>#NAME?</x:v>
      </x:c>
      <x:c r="B325" t="e">
        <x:f>IF($A325="","",INDEX(대장!$A$1:$A$501,$A325))</x:f>
        <x:v>#NAME?</x:v>
      </x:c>
      <x:c r="C325" s="46" t="e">
        <x:f>IFERROR(IF($A325="","",INDEX(대장!$F$1:$F$501,$A325)),"")</x:f>
        <x:v>#NAME?</x:v>
      </x:c>
      <x:c r="D325" s="46" t="e">
        <x:f>IFERROR(IF($A325="","",INDEX(대장!$G$1:$G$501,$A325)),"")</x:f>
        <x:v>#NAME?</x:v>
      </x:c>
      <x:c r="E325" t="e">
        <x:f>IF($A325="","",IF(NOT(ISNUMBER(INDEX(대장!$F$1:$F$501,$A325))),"확인 필요",IF(AND(INDEX(대장!$G$1:$G$501,$A325)&lt;&gt;"",NOT(ISNUMBER(INDEX(대장!$G$1:$G$501,$A325)))),"확인 필요",IF(AND(ISNUMBER(INDEX(대장!$G$1:$G$501,$A325)),INDEX(대장!$G$1:$G$501,$A325)&lt;INDEX(대장!$F$1:$F$501,$A325)),"확인 필요",IF(INDEX(대장!$L$1:$L$501,$A325)&lt;&gt;"","메모 있음","정상")))))</x:f>
        <x:v>#NAME?</x:v>
      </x:c>
      <x:c r="F325" t="e">
        <x:f>IF($A325="","",IF($E325="확인 필요","시작일·종료일과 기간 순서를 확인해 주세요.",IF($E325="메모 있음",IFERROR(INDEX(대장!$L$1:$L$501,$A325),""),"")))</x:f>
        <x:v>#NAME?</x:v>
      </x:c>
    </x:row>
    <x:row r="326">
      <x:c r="A326" t="e">
        <x:f>IF(INDEX(대장!$A$1:$A$501,ROW()-2)="","",ROW()-2)</x:f>
        <x:v>#NAME?</x:v>
      </x:c>
      <x:c r="B326" t="e">
        <x:f>IF($A326="","",INDEX(대장!$A$1:$A$501,$A326))</x:f>
        <x:v>#NAME?</x:v>
      </x:c>
      <x:c r="C326" s="46" t="e">
        <x:f>IFERROR(IF($A326="","",INDEX(대장!$F$1:$F$501,$A326)),"")</x:f>
        <x:v>#NAME?</x:v>
      </x:c>
      <x:c r="D326" s="46" t="e">
        <x:f>IFERROR(IF($A326="","",INDEX(대장!$G$1:$G$501,$A326)),"")</x:f>
        <x:v>#NAME?</x:v>
      </x:c>
      <x:c r="E326" t="e">
        <x:f>IF($A326="","",IF(NOT(ISNUMBER(INDEX(대장!$F$1:$F$501,$A326))),"확인 필요",IF(AND(INDEX(대장!$G$1:$G$501,$A326)&lt;&gt;"",NOT(ISNUMBER(INDEX(대장!$G$1:$G$501,$A326)))),"확인 필요",IF(AND(ISNUMBER(INDEX(대장!$G$1:$G$501,$A326)),INDEX(대장!$G$1:$G$501,$A326)&lt;INDEX(대장!$F$1:$F$501,$A326)),"확인 필요",IF(INDEX(대장!$L$1:$L$501,$A326)&lt;&gt;"","메모 있음","정상")))))</x:f>
        <x:v>#NAME?</x:v>
      </x:c>
      <x:c r="F326" t="e">
        <x:f>IF($A326="","",IF($E326="확인 필요","시작일·종료일과 기간 순서를 확인해 주세요.",IF($E326="메모 있음",IFERROR(INDEX(대장!$L$1:$L$501,$A326),""),"")))</x:f>
        <x:v>#NAME?</x:v>
      </x:c>
    </x:row>
    <x:row r="327">
      <x:c r="A327" t="e">
        <x:f>IF(INDEX(대장!$A$1:$A$501,ROW()-2)="","",ROW()-2)</x:f>
        <x:v>#NAME?</x:v>
      </x:c>
      <x:c r="B327" t="e">
        <x:f>IF($A327="","",INDEX(대장!$A$1:$A$501,$A327))</x:f>
        <x:v>#NAME?</x:v>
      </x:c>
      <x:c r="C327" s="46" t="e">
        <x:f>IFERROR(IF($A327="","",INDEX(대장!$F$1:$F$501,$A327)),"")</x:f>
        <x:v>#NAME?</x:v>
      </x:c>
      <x:c r="D327" s="46" t="e">
        <x:f>IFERROR(IF($A327="","",INDEX(대장!$G$1:$G$501,$A327)),"")</x:f>
        <x:v>#NAME?</x:v>
      </x:c>
      <x:c r="E327" t="e">
        <x:f>IF($A327="","",IF(NOT(ISNUMBER(INDEX(대장!$F$1:$F$501,$A327))),"확인 필요",IF(AND(INDEX(대장!$G$1:$G$501,$A327)&lt;&gt;"",NOT(ISNUMBER(INDEX(대장!$G$1:$G$501,$A327)))),"확인 필요",IF(AND(ISNUMBER(INDEX(대장!$G$1:$G$501,$A327)),INDEX(대장!$G$1:$G$501,$A327)&lt;INDEX(대장!$F$1:$F$501,$A327)),"확인 필요",IF(INDEX(대장!$L$1:$L$501,$A327)&lt;&gt;"","메모 있음","정상")))))</x:f>
        <x:v>#NAME?</x:v>
      </x:c>
      <x:c r="F327" t="e">
        <x:f>IF($A327="","",IF($E327="확인 필요","시작일·종료일과 기간 순서를 확인해 주세요.",IF($E327="메모 있음",IFERROR(INDEX(대장!$L$1:$L$501,$A327),""),"")))</x:f>
        <x:v>#NAME?</x:v>
      </x:c>
    </x:row>
    <x:row r="328">
      <x:c r="A328" t="e">
        <x:f>IF(INDEX(대장!$A$1:$A$501,ROW()-2)="","",ROW()-2)</x:f>
        <x:v>#NAME?</x:v>
      </x:c>
      <x:c r="B328" t="e">
        <x:f>IF($A328="","",INDEX(대장!$A$1:$A$501,$A328))</x:f>
        <x:v>#NAME?</x:v>
      </x:c>
      <x:c r="C328" s="46" t="e">
        <x:f>IFERROR(IF($A328="","",INDEX(대장!$F$1:$F$501,$A328)),"")</x:f>
        <x:v>#NAME?</x:v>
      </x:c>
      <x:c r="D328" s="46" t="e">
        <x:f>IFERROR(IF($A328="","",INDEX(대장!$G$1:$G$501,$A328)),"")</x:f>
        <x:v>#NAME?</x:v>
      </x:c>
      <x:c r="E328" t="e">
        <x:f>IF($A328="","",IF(NOT(ISNUMBER(INDEX(대장!$F$1:$F$501,$A328))),"확인 필요",IF(AND(INDEX(대장!$G$1:$G$501,$A328)&lt;&gt;"",NOT(ISNUMBER(INDEX(대장!$G$1:$G$501,$A328)))),"확인 필요",IF(AND(ISNUMBER(INDEX(대장!$G$1:$G$501,$A328)),INDEX(대장!$G$1:$G$501,$A328)&lt;INDEX(대장!$F$1:$F$501,$A328)),"확인 필요",IF(INDEX(대장!$L$1:$L$501,$A328)&lt;&gt;"","메모 있음","정상")))))</x:f>
        <x:v>#NAME?</x:v>
      </x:c>
      <x:c r="F328" t="e">
        <x:f>IF($A328="","",IF($E328="확인 필요","시작일·종료일과 기간 순서를 확인해 주세요.",IF($E328="메모 있음",IFERROR(INDEX(대장!$L$1:$L$501,$A328),""),"")))</x:f>
        <x:v>#NAME?</x:v>
      </x:c>
    </x:row>
    <x:row r="329">
      <x:c r="A329" t="e">
        <x:f>IF(INDEX(대장!$A$1:$A$501,ROW()-2)="","",ROW()-2)</x:f>
        <x:v>#NAME?</x:v>
      </x:c>
      <x:c r="B329" t="e">
        <x:f>IF($A329="","",INDEX(대장!$A$1:$A$501,$A329))</x:f>
        <x:v>#NAME?</x:v>
      </x:c>
      <x:c r="C329" s="46" t="e">
        <x:f>IFERROR(IF($A329="","",INDEX(대장!$F$1:$F$501,$A329)),"")</x:f>
        <x:v>#NAME?</x:v>
      </x:c>
      <x:c r="D329" s="46" t="e">
        <x:f>IFERROR(IF($A329="","",INDEX(대장!$G$1:$G$501,$A329)),"")</x:f>
        <x:v>#NAME?</x:v>
      </x:c>
      <x:c r="E329" t="e">
        <x:f>IF($A329="","",IF(NOT(ISNUMBER(INDEX(대장!$F$1:$F$501,$A329))),"확인 필요",IF(AND(INDEX(대장!$G$1:$G$501,$A329)&lt;&gt;"",NOT(ISNUMBER(INDEX(대장!$G$1:$G$501,$A329)))),"확인 필요",IF(AND(ISNUMBER(INDEX(대장!$G$1:$G$501,$A329)),INDEX(대장!$G$1:$G$501,$A329)&lt;INDEX(대장!$F$1:$F$501,$A329)),"확인 필요",IF(INDEX(대장!$L$1:$L$501,$A329)&lt;&gt;"","메모 있음","정상")))))</x:f>
        <x:v>#NAME?</x:v>
      </x:c>
      <x:c r="F329" t="e">
        <x:f>IF($A329="","",IF($E329="확인 필요","시작일·종료일과 기간 순서를 확인해 주세요.",IF($E329="메모 있음",IFERROR(INDEX(대장!$L$1:$L$501,$A329),""),"")))</x:f>
        <x:v>#NAME?</x:v>
      </x:c>
    </x:row>
    <x:row r="330">
      <x:c r="A330" t="e">
        <x:f>IF(INDEX(대장!$A$1:$A$501,ROW()-2)="","",ROW()-2)</x:f>
        <x:v>#NAME?</x:v>
      </x:c>
      <x:c r="B330" t="e">
        <x:f>IF($A330="","",INDEX(대장!$A$1:$A$501,$A330))</x:f>
        <x:v>#NAME?</x:v>
      </x:c>
      <x:c r="C330" s="46" t="e">
        <x:f>IFERROR(IF($A330="","",INDEX(대장!$F$1:$F$501,$A330)),"")</x:f>
        <x:v>#NAME?</x:v>
      </x:c>
      <x:c r="D330" s="46" t="e">
        <x:f>IFERROR(IF($A330="","",INDEX(대장!$G$1:$G$501,$A330)),"")</x:f>
        <x:v>#NAME?</x:v>
      </x:c>
      <x:c r="E330" t="e">
        <x:f>IF($A330="","",IF(NOT(ISNUMBER(INDEX(대장!$F$1:$F$501,$A330))),"확인 필요",IF(AND(INDEX(대장!$G$1:$G$501,$A330)&lt;&gt;"",NOT(ISNUMBER(INDEX(대장!$G$1:$G$501,$A330)))),"확인 필요",IF(AND(ISNUMBER(INDEX(대장!$G$1:$G$501,$A330)),INDEX(대장!$G$1:$G$501,$A330)&lt;INDEX(대장!$F$1:$F$501,$A330)),"확인 필요",IF(INDEX(대장!$L$1:$L$501,$A330)&lt;&gt;"","메모 있음","정상")))))</x:f>
        <x:v>#NAME?</x:v>
      </x:c>
      <x:c r="F330" t="e">
        <x:f>IF($A330="","",IF($E330="확인 필요","시작일·종료일과 기간 순서를 확인해 주세요.",IF($E330="메모 있음",IFERROR(INDEX(대장!$L$1:$L$501,$A330),""),"")))</x:f>
        <x:v>#NAME?</x:v>
      </x:c>
    </x:row>
    <x:row r="331">
      <x:c r="A331" t="e">
        <x:f>IF(INDEX(대장!$A$1:$A$501,ROW()-2)="","",ROW()-2)</x:f>
        <x:v>#NAME?</x:v>
      </x:c>
      <x:c r="B331" t="e">
        <x:f>IF($A331="","",INDEX(대장!$A$1:$A$501,$A331))</x:f>
        <x:v>#NAME?</x:v>
      </x:c>
      <x:c r="C331" s="46" t="e">
        <x:f>IFERROR(IF($A331="","",INDEX(대장!$F$1:$F$501,$A331)),"")</x:f>
        <x:v>#NAME?</x:v>
      </x:c>
      <x:c r="D331" s="46" t="e">
        <x:f>IFERROR(IF($A331="","",INDEX(대장!$G$1:$G$501,$A331)),"")</x:f>
        <x:v>#NAME?</x:v>
      </x:c>
      <x:c r="E331" t="e">
        <x:f>IF($A331="","",IF(NOT(ISNUMBER(INDEX(대장!$F$1:$F$501,$A331))),"확인 필요",IF(AND(INDEX(대장!$G$1:$G$501,$A331)&lt;&gt;"",NOT(ISNUMBER(INDEX(대장!$G$1:$G$501,$A331)))),"확인 필요",IF(AND(ISNUMBER(INDEX(대장!$G$1:$G$501,$A331)),INDEX(대장!$G$1:$G$501,$A331)&lt;INDEX(대장!$F$1:$F$501,$A331)),"확인 필요",IF(INDEX(대장!$L$1:$L$501,$A331)&lt;&gt;"","메모 있음","정상")))))</x:f>
        <x:v>#NAME?</x:v>
      </x:c>
      <x:c r="F331" t="e">
        <x:f>IF($A331="","",IF($E331="확인 필요","시작일·종료일과 기간 순서를 확인해 주세요.",IF($E331="메모 있음",IFERROR(INDEX(대장!$L$1:$L$501,$A331),""),"")))</x:f>
        <x:v>#NAME?</x:v>
      </x:c>
    </x:row>
    <x:row r="332">
      <x:c r="A332" t="e">
        <x:f>IF(INDEX(대장!$A$1:$A$501,ROW()-2)="","",ROW()-2)</x:f>
        <x:v>#NAME?</x:v>
      </x:c>
      <x:c r="B332" t="e">
        <x:f>IF($A332="","",INDEX(대장!$A$1:$A$501,$A332))</x:f>
        <x:v>#NAME?</x:v>
      </x:c>
      <x:c r="C332" s="46" t="e">
        <x:f>IFERROR(IF($A332="","",INDEX(대장!$F$1:$F$501,$A332)),"")</x:f>
        <x:v>#NAME?</x:v>
      </x:c>
      <x:c r="D332" s="46" t="e">
        <x:f>IFERROR(IF($A332="","",INDEX(대장!$G$1:$G$501,$A332)),"")</x:f>
        <x:v>#NAME?</x:v>
      </x:c>
      <x:c r="E332" t="e">
        <x:f>IF($A332="","",IF(NOT(ISNUMBER(INDEX(대장!$F$1:$F$501,$A332))),"확인 필요",IF(AND(INDEX(대장!$G$1:$G$501,$A332)&lt;&gt;"",NOT(ISNUMBER(INDEX(대장!$G$1:$G$501,$A332)))),"확인 필요",IF(AND(ISNUMBER(INDEX(대장!$G$1:$G$501,$A332)),INDEX(대장!$G$1:$G$501,$A332)&lt;INDEX(대장!$F$1:$F$501,$A332)),"확인 필요",IF(INDEX(대장!$L$1:$L$501,$A332)&lt;&gt;"","메모 있음","정상")))))</x:f>
        <x:v>#NAME?</x:v>
      </x:c>
      <x:c r="F332" t="e">
        <x:f>IF($A332="","",IF($E332="확인 필요","시작일·종료일과 기간 순서를 확인해 주세요.",IF($E332="메모 있음",IFERROR(INDEX(대장!$L$1:$L$501,$A332),""),"")))</x:f>
        <x:v>#NAME?</x:v>
      </x:c>
    </x:row>
    <x:row r="333">
      <x:c r="A333" t="e">
        <x:f>IF(INDEX(대장!$A$1:$A$501,ROW()-2)="","",ROW()-2)</x:f>
        <x:v>#NAME?</x:v>
      </x:c>
      <x:c r="B333" t="e">
        <x:f>IF($A333="","",INDEX(대장!$A$1:$A$501,$A333))</x:f>
        <x:v>#NAME?</x:v>
      </x:c>
      <x:c r="C333" s="46" t="e">
        <x:f>IFERROR(IF($A333="","",INDEX(대장!$F$1:$F$501,$A333)),"")</x:f>
        <x:v>#NAME?</x:v>
      </x:c>
      <x:c r="D333" s="46" t="e">
        <x:f>IFERROR(IF($A333="","",INDEX(대장!$G$1:$G$501,$A333)),"")</x:f>
        <x:v>#NAME?</x:v>
      </x:c>
      <x:c r="E333" t="e">
        <x:f>IF($A333="","",IF(NOT(ISNUMBER(INDEX(대장!$F$1:$F$501,$A333))),"확인 필요",IF(AND(INDEX(대장!$G$1:$G$501,$A333)&lt;&gt;"",NOT(ISNUMBER(INDEX(대장!$G$1:$G$501,$A333)))),"확인 필요",IF(AND(ISNUMBER(INDEX(대장!$G$1:$G$501,$A333)),INDEX(대장!$G$1:$G$501,$A333)&lt;INDEX(대장!$F$1:$F$501,$A333)),"확인 필요",IF(INDEX(대장!$L$1:$L$501,$A333)&lt;&gt;"","메모 있음","정상")))))</x:f>
        <x:v>#NAME?</x:v>
      </x:c>
      <x:c r="F333" t="e">
        <x:f>IF($A333="","",IF($E333="확인 필요","시작일·종료일과 기간 순서를 확인해 주세요.",IF($E333="메모 있음",IFERROR(INDEX(대장!$L$1:$L$501,$A333),""),"")))</x:f>
        <x:v>#NAME?</x:v>
      </x:c>
    </x:row>
    <x:row r="334">
      <x:c r="A334" t="e">
        <x:f>IF(INDEX(대장!$A$1:$A$501,ROW()-2)="","",ROW()-2)</x:f>
        <x:v>#NAME?</x:v>
      </x:c>
      <x:c r="B334" t="e">
        <x:f>IF($A334="","",INDEX(대장!$A$1:$A$501,$A334))</x:f>
        <x:v>#NAME?</x:v>
      </x:c>
      <x:c r="C334" s="46" t="e">
        <x:f>IFERROR(IF($A334="","",INDEX(대장!$F$1:$F$501,$A334)),"")</x:f>
        <x:v>#NAME?</x:v>
      </x:c>
      <x:c r="D334" s="46" t="e">
        <x:f>IFERROR(IF($A334="","",INDEX(대장!$G$1:$G$501,$A334)),"")</x:f>
        <x:v>#NAME?</x:v>
      </x:c>
      <x:c r="E334" t="e">
        <x:f>IF($A334="","",IF(NOT(ISNUMBER(INDEX(대장!$F$1:$F$501,$A334))),"확인 필요",IF(AND(INDEX(대장!$G$1:$G$501,$A334)&lt;&gt;"",NOT(ISNUMBER(INDEX(대장!$G$1:$G$501,$A334)))),"확인 필요",IF(AND(ISNUMBER(INDEX(대장!$G$1:$G$501,$A334)),INDEX(대장!$G$1:$G$501,$A334)&lt;INDEX(대장!$F$1:$F$501,$A334)),"확인 필요",IF(INDEX(대장!$L$1:$L$501,$A334)&lt;&gt;"","메모 있음","정상")))))</x:f>
        <x:v>#NAME?</x:v>
      </x:c>
      <x:c r="F334" t="e">
        <x:f>IF($A334="","",IF($E334="확인 필요","시작일·종료일과 기간 순서를 확인해 주세요.",IF($E334="메모 있음",IFERROR(INDEX(대장!$L$1:$L$501,$A334),""),"")))</x:f>
        <x:v>#NAME?</x:v>
      </x:c>
    </x:row>
    <x:row r="335">
      <x:c r="A335" t="e">
        <x:f>IF(INDEX(대장!$A$1:$A$501,ROW()-2)="","",ROW()-2)</x:f>
        <x:v>#NAME?</x:v>
      </x:c>
      <x:c r="B335" t="e">
        <x:f>IF($A335="","",INDEX(대장!$A$1:$A$501,$A335))</x:f>
        <x:v>#NAME?</x:v>
      </x:c>
      <x:c r="C335" s="46" t="e">
        <x:f>IFERROR(IF($A335="","",INDEX(대장!$F$1:$F$501,$A335)),"")</x:f>
        <x:v>#NAME?</x:v>
      </x:c>
      <x:c r="D335" s="46" t="e">
        <x:f>IFERROR(IF($A335="","",INDEX(대장!$G$1:$G$501,$A335)),"")</x:f>
        <x:v>#NAME?</x:v>
      </x:c>
      <x:c r="E335" t="e">
        <x:f>IF($A335="","",IF(NOT(ISNUMBER(INDEX(대장!$F$1:$F$501,$A335))),"확인 필요",IF(AND(INDEX(대장!$G$1:$G$501,$A335)&lt;&gt;"",NOT(ISNUMBER(INDEX(대장!$G$1:$G$501,$A335)))),"확인 필요",IF(AND(ISNUMBER(INDEX(대장!$G$1:$G$501,$A335)),INDEX(대장!$G$1:$G$501,$A335)&lt;INDEX(대장!$F$1:$F$501,$A335)),"확인 필요",IF(INDEX(대장!$L$1:$L$501,$A335)&lt;&gt;"","메모 있음","정상")))))</x:f>
        <x:v>#NAME?</x:v>
      </x:c>
      <x:c r="F335" t="e">
        <x:f>IF($A335="","",IF($E335="확인 필요","시작일·종료일과 기간 순서를 확인해 주세요.",IF($E335="메모 있음",IFERROR(INDEX(대장!$L$1:$L$501,$A335),""),"")))</x:f>
        <x:v>#NAME?</x:v>
      </x:c>
    </x:row>
    <x:row r="336">
      <x:c r="A336" t="e">
        <x:f>IF(INDEX(대장!$A$1:$A$501,ROW()-2)="","",ROW()-2)</x:f>
        <x:v>#NAME?</x:v>
      </x:c>
      <x:c r="B336" t="e">
        <x:f>IF($A336="","",INDEX(대장!$A$1:$A$501,$A336))</x:f>
        <x:v>#NAME?</x:v>
      </x:c>
      <x:c r="C336" s="46" t="e">
        <x:f>IFERROR(IF($A336="","",INDEX(대장!$F$1:$F$501,$A336)),"")</x:f>
        <x:v>#NAME?</x:v>
      </x:c>
      <x:c r="D336" s="46" t="e">
        <x:f>IFERROR(IF($A336="","",INDEX(대장!$G$1:$G$501,$A336)),"")</x:f>
        <x:v>#NAME?</x:v>
      </x:c>
      <x:c r="E336" t="e">
        <x:f>IF($A336="","",IF(NOT(ISNUMBER(INDEX(대장!$F$1:$F$501,$A336))),"확인 필요",IF(AND(INDEX(대장!$G$1:$G$501,$A336)&lt;&gt;"",NOT(ISNUMBER(INDEX(대장!$G$1:$G$501,$A336)))),"확인 필요",IF(AND(ISNUMBER(INDEX(대장!$G$1:$G$501,$A336)),INDEX(대장!$G$1:$G$501,$A336)&lt;INDEX(대장!$F$1:$F$501,$A336)),"확인 필요",IF(INDEX(대장!$L$1:$L$501,$A336)&lt;&gt;"","메모 있음","정상")))))</x:f>
        <x:v>#NAME?</x:v>
      </x:c>
      <x:c r="F336" t="e">
        <x:f>IF($A336="","",IF($E336="확인 필요","시작일·종료일과 기간 순서를 확인해 주세요.",IF($E336="메모 있음",IFERROR(INDEX(대장!$L$1:$L$501,$A336),""),"")))</x:f>
        <x:v>#NAME?</x:v>
      </x:c>
    </x:row>
    <x:row r="337">
      <x:c r="A337" t="e">
        <x:f>IF(INDEX(대장!$A$1:$A$501,ROW()-2)="","",ROW()-2)</x:f>
        <x:v>#NAME?</x:v>
      </x:c>
      <x:c r="B337" t="e">
        <x:f>IF($A337="","",INDEX(대장!$A$1:$A$501,$A337))</x:f>
        <x:v>#NAME?</x:v>
      </x:c>
      <x:c r="C337" s="46" t="e">
        <x:f>IFERROR(IF($A337="","",INDEX(대장!$F$1:$F$501,$A337)),"")</x:f>
        <x:v>#NAME?</x:v>
      </x:c>
      <x:c r="D337" s="46" t="e">
        <x:f>IFERROR(IF($A337="","",INDEX(대장!$G$1:$G$501,$A337)),"")</x:f>
        <x:v>#NAME?</x:v>
      </x:c>
      <x:c r="E337" t="e">
        <x:f>IF($A337="","",IF(NOT(ISNUMBER(INDEX(대장!$F$1:$F$501,$A337))),"확인 필요",IF(AND(INDEX(대장!$G$1:$G$501,$A337)&lt;&gt;"",NOT(ISNUMBER(INDEX(대장!$G$1:$G$501,$A337)))),"확인 필요",IF(AND(ISNUMBER(INDEX(대장!$G$1:$G$501,$A337)),INDEX(대장!$G$1:$G$501,$A337)&lt;INDEX(대장!$F$1:$F$501,$A337)),"확인 필요",IF(INDEX(대장!$L$1:$L$501,$A337)&lt;&gt;"","메모 있음","정상")))))</x:f>
        <x:v>#NAME?</x:v>
      </x:c>
      <x:c r="F337" t="e">
        <x:f>IF($A337="","",IF($E337="확인 필요","시작일·종료일과 기간 순서를 확인해 주세요.",IF($E337="메모 있음",IFERROR(INDEX(대장!$L$1:$L$501,$A337),""),"")))</x:f>
        <x:v>#NAME?</x:v>
      </x:c>
    </x:row>
    <x:row r="338">
      <x:c r="A338" t="e">
        <x:f>IF(INDEX(대장!$A$1:$A$501,ROW()-2)="","",ROW()-2)</x:f>
        <x:v>#NAME?</x:v>
      </x:c>
      <x:c r="B338" t="e">
        <x:f>IF($A338="","",INDEX(대장!$A$1:$A$501,$A338))</x:f>
        <x:v>#NAME?</x:v>
      </x:c>
      <x:c r="C338" s="46" t="e">
        <x:f>IFERROR(IF($A338="","",INDEX(대장!$F$1:$F$501,$A338)),"")</x:f>
        <x:v>#NAME?</x:v>
      </x:c>
      <x:c r="D338" s="46" t="e">
        <x:f>IFERROR(IF($A338="","",INDEX(대장!$G$1:$G$501,$A338)),"")</x:f>
        <x:v>#NAME?</x:v>
      </x:c>
      <x:c r="E338" t="e">
        <x:f>IF($A338="","",IF(NOT(ISNUMBER(INDEX(대장!$F$1:$F$501,$A338))),"확인 필요",IF(AND(INDEX(대장!$G$1:$G$501,$A338)&lt;&gt;"",NOT(ISNUMBER(INDEX(대장!$G$1:$G$501,$A338)))),"확인 필요",IF(AND(ISNUMBER(INDEX(대장!$G$1:$G$501,$A338)),INDEX(대장!$G$1:$G$501,$A338)&lt;INDEX(대장!$F$1:$F$501,$A338)),"확인 필요",IF(INDEX(대장!$L$1:$L$501,$A338)&lt;&gt;"","메모 있음","정상")))))</x:f>
        <x:v>#NAME?</x:v>
      </x:c>
      <x:c r="F338" t="e">
        <x:f>IF($A338="","",IF($E338="확인 필요","시작일·종료일과 기간 순서를 확인해 주세요.",IF($E338="메모 있음",IFERROR(INDEX(대장!$L$1:$L$501,$A338),""),"")))</x:f>
        <x:v>#NAME?</x:v>
      </x:c>
    </x:row>
    <x:row r="339">
      <x:c r="A339" t="e">
        <x:f>IF(INDEX(대장!$A$1:$A$501,ROW()-2)="","",ROW()-2)</x:f>
        <x:v>#NAME?</x:v>
      </x:c>
      <x:c r="B339" t="e">
        <x:f>IF($A339="","",INDEX(대장!$A$1:$A$501,$A339))</x:f>
        <x:v>#NAME?</x:v>
      </x:c>
      <x:c r="C339" s="46" t="e">
        <x:f>IFERROR(IF($A339="","",INDEX(대장!$F$1:$F$501,$A339)),"")</x:f>
        <x:v>#NAME?</x:v>
      </x:c>
      <x:c r="D339" s="46" t="e">
        <x:f>IFERROR(IF($A339="","",INDEX(대장!$G$1:$G$501,$A339)),"")</x:f>
        <x:v>#NAME?</x:v>
      </x:c>
      <x:c r="E339" t="e">
        <x:f>IF($A339="","",IF(NOT(ISNUMBER(INDEX(대장!$F$1:$F$501,$A339))),"확인 필요",IF(AND(INDEX(대장!$G$1:$G$501,$A339)&lt;&gt;"",NOT(ISNUMBER(INDEX(대장!$G$1:$G$501,$A339)))),"확인 필요",IF(AND(ISNUMBER(INDEX(대장!$G$1:$G$501,$A339)),INDEX(대장!$G$1:$G$501,$A339)&lt;INDEX(대장!$F$1:$F$501,$A339)),"확인 필요",IF(INDEX(대장!$L$1:$L$501,$A339)&lt;&gt;"","메모 있음","정상")))))</x:f>
        <x:v>#NAME?</x:v>
      </x:c>
      <x:c r="F339" t="e">
        <x:f>IF($A339="","",IF($E339="확인 필요","시작일·종료일과 기간 순서를 확인해 주세요.",IF($E339="메모 있음",IFERROR(INDEX(대장!$L$1:$L$501,$A339),""),"")))</x:f>
        <x:v>#NAME?</x:v>
      </x:c>
    </x:row>
    <x:row r="340">
      <x:c r="A340" t="e">
        <x:f>IF(INDEX(대장!$A$1:$A$501,ROW()-2)="","",ROW()-2)</x:f>
        <x:v>#NAME?</x:v>
      </x:c>
      <x:c r="B340" t="e">
        <x:f>IF($A340="","",INDEX(대장!$A$1:$A$501,$A340))</x:f>
        <x:v>#NAME?</x:v>
      </x:c>
      <x:c r="C340" s="46" t="e">
        <x:f>IFERROR(IF($A340="","",INDEX(대장!$F$1:$F$501,$A340)),"")</x:f>
        <x:v>#NAME?</x:v>
      </x:c>
      <x:c r="D340" s="46" t="e">
        <x:f>IFERROR(IF($A340="","",INDEX(대장!$G$1:$G$501,$A340)),"")</x:f>
        <x:v>#NAME?</x:v>
      </x:c>
      <x:c r="E340" t="e">
        <x:f>IF($A340="","",IF(NOT(ISNUMBER(INDEX(대장!$F$1:$F$501,$A340))),"확인 필요",IF(AND(INDEX(대장!$G$1:$G$501,$A340)&lt;&gt;"",NOT(ISNUMBER(INDEX(대장!$G$1:$G$501,$A340)))),"확인 필요",IF(AND(ISNUMBER(INDEX(대장!$G$1:$G$501,$A340)),INDEX(대장!$G$1:$G$501,$A340)&lt;INDEX(대장!$F$1:$F$501,$A340)),"확인 필요",IF(INDEX(대장!$L$1:$L$501,$A340)&lt;&gt;"","메모 있음","정상")))))</x:f>
        <x:v>#NAME?</x:v>
      </x:c>
      <x:c r="F340" t="e">
        <x:f>IF($A340="","",IF($E340="확인 필요","시작일·종료일과 기간 순서를 확인해 주세요.",IF($E340="메모 있음",IFERROR(INDEX(대장!$L$1:$L$501,$A340),""),"")))</x:f>
        <x:v>#NAME?</x:v>
      </x:c>
    </x:row>
    <x:row r="341">
      <x:c r="A341" t="e">
        <x:f>IF(INDEX(대장!$A$1:$A$501,ROW()-2)="","",ROW()-2)</x:f>
        <x:v>#NAME?</x:v>
      </x:c>
      <x:c r="B341" t="e">
        <x:f>IF($A341="","",INDEX(대장!$A$1:$A$501,$A341))</x:f>
        <x:v>#NAME?</x:v>
      </x:c>
      <x:c r="C341" s="46" t="e">
        <x:f>IFERROR(IF($A341="","",INDEX(대장!$F$1:$F$501,$A341)),"")</x:f>
        <x:v>#NAME?</x:v>
      </x:c>
      <x:c r="D341" s="46" t="e">
        <x:f>IFERROR(IF($A341="","",INDEX(대장!$G$1:$G$501,$A341)),"")</x:f>
        <x:v>#NAME?</x:v>
      </x:c>
      <x:c r="E341" t="e">
        <x:f>IF($A341="","",IF(NOT(ISNUMBER(INDEX(대장!$F$1:$F$501,$A341))),"확인 필요",IF(AND(INDEX(대장!$G$1:$G$501,$A341)&lt;&gt;"",NOT(ISNUMBER(INDEX(대장!$G$1:$G$501,$A341)))),"확인 필요",IF(AND(ISNUMBER(INDEX(대장!$G$1:$G$501,$A341)),INDEX(대장!$G$1:$G$501,$A341)&lt;INDEX(대장!$F$1:$F$501,$A341)),"확인 필요",IF(INDEX(대장!$L$1:$L$501,$A341)&lt;&gt;"","메모 있음","정상")))))</x:f>
        <x:v>#NAME?</x:v>
      </x:c>
      <x:c r="F341" t="e">
        <x:f>IF($A341="","",IF($E341="확인 필요","시작일·종료일과 기간 순서를 확인해 주세요.",IF($E341="메모 있음",IFERROR(INDEX(대장!$L$1:$L$501,$A341),""),"")))</x:f>
        <x:v>#NAME?</x:v>
      </x:c>
    </x:row>
    <x:row r="342">
      <x:c r="A342" t="e">
        <x:f>IF(INDEX(대장!$A$1:$A$501,ROW()-2)="","",ROW()-2)</x:f>
        <x:v>#NAME?</x:v>
      </x:c>
      <x:c r="B342" t="e">
        <x:f>IF($A342="","",INDEX(대장!$A$1:$A$501,$A342))</x:f>
        <x:v>#NAME?</x:v>
      </x:c>
      <x:c r="C342" s="46" t="e">
        <x:f>IFERROR(IF($A342="","",INDEX(대장!$F$1:$F$501,$A342)),"")</x:f>
        <x:v>#NAME?</x:v>
      </x:c>
      <x:c r="D342" s="46" t="e">
        <x:f>IFERROR(IF($A342="","",INDEX(대장!$G$1:$G$501,$A342)),"")</x:f>
        <x:v>#NAME?</x:v>
      </x:c>
      <x:c r="E342" t="e">
        <x:f>IF($A342="","",IF(NOT(ISNUMBER(INDEX(대장!$F$1:$F$501,$A342))),"확인 필요",IF(AND(INDEX(대장!$G$1:$G$501,$A342)&lt;&gt;"",NOT(ISNUMBER(INDEX(대장!$G$1:$G$501,$A342)))),"확인 필요",IF(AND(ISNUMBER(INDEX(대장!$G$1:$G$501,$A342)),INDEX(대장!$G$1:$G$501,$A342)&lt;INDEX(대장!$F$1:$F$501,$A342)),"확인 필요",IF(INDEX(대장!$L$1:$L$501,$A342)&lt;&gt;"","메모 있음","정상")))))</x:f>
        <x:v>#NAME?</x:v>
      </x:c>
      <x:c r="F342" t="e">
        <x:f>IF($A342="","",IF($E342="확인 필요","시작일·종료일과 기간 순서를 확인해 주세요.",IF($E342="메모 있음",IFERROR(INDEX(대장!$L$1:$L$501,$A342),""),"")))</x:f>
        <x:v>#NAME?</x:v>
      </x:c>
    </x:row>
    <x:row r="343">
      <x:c r="A343" t="e">
        <x:f>IF(INDEX(대장!$A$1:$A$501,ROW()-2)="","",ROW()-2)</x:f>
        <x:v>#NAME?</x:v>
      </x:c>
      <x:c r="B343" t="e">
        <x:f>IF($A343="","",INDEX(대장!$A$1:$A$501,$A343))</x:f>
        <x:v>#NAME?</x:v>
      </x:c>
      <x:c r="C343" s="46" t="e">
        <x:f>IFERROR(IF($A343="","",INDEX(대장!$F$1:$F$501,$A343)),"")</x:f>
        <x:v>#NAME?</x:v>
      </x:c>
      <x:c r="D343" s="46" t="e">
        <x:f>IFERROR(IF($A343="","",INDEX(대장!$G$1:$G$501,$A343)),"")</x:f>
        <x:v>#NAME?</x:v>
      </x:c>
      <x:c r="E343" t="e">
        <x:f>IF($A343="","",IF(NOT(ISNUMBER(INDEX(대장!$F$1:$F$501,$A343))),"확인 필요",IF(AND(INDEX(대장!$G$1:$G$501,$A343)&lt;&gt;"",NOT(ISNUMBER(INDEX(대장!$G$1:$G$501,$A343)))),"확인 필요",IF(AND(ISNUMBER(INDEX(대장!$G$1:$G$501,$A343)),INDEX(대장!$G$1:$G$501,$A343)&lt;INDEX(대장!$F$1:$F$501,$A343)),"확인 필요",IF(INDEX(대장!$L$1:$L$501,$A343)&lt;&gt;"","메모 있음","정상")))))</x:f>
        <x:v>#NAME?</x:v>
      </x:c>
      <x:c r="F343" t="e">
        <x:f>IF($A343="","",IF($E343="확인 필요","시작일·종료일과 기간 순서를 확인해 주세요.",IF($E343="메모 있음",IFERROR(INDEX(대장!$L$1:$L$501,$A343),""),"")))</x:f>
        <x:v>#NAME?</x:v>
      </x:c>
    </x:row>
    <x:row r="344">
      <x:c r="A344" t="e">
        <x:f>IF(INDEX(대장!$A$1:$A$501,ROW()-2)="","",ROW()-2)</x:f>
        <x:v>#NAME?</x:v>
      </x:c>
      <x:c r="B344" t="e">
        <x:f>IF($A344="","",INDEX(대장!$A$1:$A$501,$A344))</x:f>
        <x:v>#NAME?</x:v>
      </x:c>
      <x:c r="C344" s="46" t="e">
        <x:f>IFERROR(IF($A344="","",INDEX(대장!$F$1:$F$501,$A344)),"")</x:f>
        <x:v>#NAME?</x:v>
      </x:c>
      <x:c r="D344" s="46" t="e">
        <x:f>IFERROR(IF($A344="","",INDEX(대장!$G$1:$G$501,$A344)),"")</x:f>
        <x:v>#NAME?</x:v>
      </x:c>
      <x:c r="E344" t="e">
        <x:f>IF($A344="","",IF(NOT(ISNUMBER(INDEX(대장!$F$1:$F$501,$A344))),"확인 필요",IF(AND(INDEX(대장!$G$1:$G$501,$A344)&lt;&gt;"",NOT(ISNUMBER(INDEX(대장!$G$1:$G$501,$A344)))),"확인 필요",IF(AND(ISNUMBER(INDEX(대장!$G$1:$G$501,$A344)),INDEX(대장!$G$1:$G$501,$A344)&lt;INDEX(대장!$F$1:$F$501,$A344)),"확인 필요",IF(INDEX(대장!$L$1:$L$501,$A344)&lt;&gt;"","메모 있음","정상")))))</x:f>
        <x:v>#NAME?</x:v>
      </x:c>
      <x:c r="F344" t="e">
        <x:f>IF($A344="","",IF($E344="확인 필요","시작일·종료일과 기간 순서를 확인해 주세요.",IF($E344="메모 있음",IFERROR(INDEX(대장!$L$1:$L$501,$A344),""),"")))</x:f>
        <x:v>#NAME?</x:v>
      </x:c>
    </x:row>
    <x:row r="345">
      <x:c r="A345" t="e">
        <x:f>IF(INDEX(대장!$A$1:$A$501,ROW()-2)="","",ROW()-2)</x:f>
        <x:v>#NAME?</x:v>
      </x:c>
      <x:c r="B345" t="e">
        <x:f>IF($A345="","",INDEX(대장!$A$1:$A$501,$A345))</x:f>
        <x:v>#NAME?</x:v>
      </x:c>
      <x:c r="C345" s="46" t="e">
        <x:f>IFERROR(IF($A345="","",INDEX(대장!$F$1:$F$501,$A345)),"")</x:f>
        <x:v>#NAME?</x:v>
      </x:c>
      <x:c r="D345" s="46" t="e">
        <x:f>IFERROR(IF($A345="","",INDEX(대장!$G$1:$G$501,$A345)),"")</x:f>
        <x:v>#NAME?</x:v>
      </x:c>
      <x:c r="E345" t="e">
        <x:f>IF($A345="","",IF(NOT(ISNUMBER(INDEX(대장!$F$1:$F$501,$A345))),"확인 필요",IF(AND(INDEX(대장!$G$1:$G$501,$A345)&lt;&gt;"",NOT(ISNUMBER(INDEX(대장!$G$1:$G$501,$A345)))),"확인 필요",IF(AND(ISNUMBER(INDEX(대장!$G$1:$G$501,$A345)),INDEX(대장!$G$1:$G$501,$A345)&lt;INDEX(대장!$F$1:$F$501,$A345)),"확인 필요",IF(INDEX(대장!$L$1:$L$501,$A345)&lt;&gt;"","메모 있음","정상")))))</x:f>
        <x:v>#NAME?</x:v>
      </x:c>
      <x:c r="F345" t="e">
        <x:f>IF($A345="","",IF($E345="확인 필요","시작일·종료일과 기간 순서를 확인해 주세요.",IF($E345="메모 있음",IFERROR(INDEX(대장!$L$1:$L$501,$A345),""),"")))</x:f>
        <x:v>#NAME?</x:v>
      </x:c>
    </x:row>
    <x:row r="346">
      <x:c r="A346" t="e">
        <x:f>IF(INDEX(대장!$A$1:$A$501,ROW()-2)="","",ROW()-2)</x:f>
        <x:v>#NAME?</x:v>
      </x:c>
      <x:c r="B346" t="e">
        <x:f>IF($A346="","",INDEX(대장!$A$1:$A$501,$A346))</x:f>
        <x:v>#NAME?</x:v>
      </x:c>
      <x:c r="C346" s="46" t="e">
        <x:f>IFERROR(IF($A346="","",INDEX(대장!$F$1:$F$501,$A346)),"")</x:f>
        <x:v>#NAME?</x:v>
      </x:c>
      <x:c r="D346" s="46" t="e">
        <x:f>IFERROR(IF($A346="","",INDEX(대장!$G$1:$G$501,$A346)),"")</x:f>
        <x:v>#NAME?</x:v>
      </x:c>
      <x:c r="E346" t="e">
        <x:f>IF($A346="","",IF(NOT(ISNUMBER(INDEX(대장!$F$1:$F$501,$A346))),"확인 필요",IF(AND(INDEX(대장!$G$1:$G$501,$A346)&lt;&gt;"",NOT(ISNUMBER(INDEX(대장!$G$1:$G$501,$A346)))),"확인 필요",IF(AND(ISNUMBER(INDEX(대장!$G$1:$G$501,$A346)),INDEX(대장!$G$1:$G$501,$A346)&lt;INDEX(대장!$F$1:$F$501,$A346)),"확인 필요",IF(INDEX(대장!$L$1:$L$501,$A346)&lt;&gt;"","메모 있음","정상")))))</x:f>
        <x:v>#NAME?</x:v>
      </x:c>
      <x:c r="F346" t="e">
        <x:f>IF($A346="","",IF($E346="확인 필요","시작일·종료일과 기간 순서를 확인해 주세요.",IF($E346="메모 있음",IFERROR(INDEX(대장!$L$1:$L$501,$A346),""),"")))</x:f>
        <x:v>#NAME?</x:v>
      </x:c>
    </x:row>
    <x:row r="347">
      <x:c r="A347" t="e">
        <x:f>IF(INDEX(대장!$A$1:$A$501,ROW()-2)="","",ROW()-2)</x:f>
        <x:v>#NAME?</x:v>
      </x:c>
      <x:c r="B347" t="e">
        <x:f>IF($A347="","",INDEX(대장!$A$1:$A$501,$A347))</x:f>
        <x:v>#NAME?</x:v>
      </x:c>
      <x:c r="C347" s="46" t="e">
        <x:f>IFERROR(IF($A347="","",INDEX(대장!$F$1:$F$501,$A347)),"")</x:f>
        <x:v>#NAME?</x:v>
      </x:c>
      <x:c r="D347" s="46" t="e">
        <x:f>IFERROR(IF($A347="","",INDEX(대장!$G$1:$G$501,$A347)),"")</x:f>
        <x:v>#NAME?</x:v>
      </x:c>
      <x:c r="E347" t="e">
        <x:f>IF($A347="","",IF(NOT(ISNUMBER(INDEX(대장!$F$1:$F$501,$A347))),"확인 필요",IF(AND(INDEX(대장!$G$1:$G$501,$A347)&lt;&gt;"",NOT(ISNUMBER(INDEX(대장!$G$1:$G$501,$A347)))),"확인 필요",IF(AND(ISNUMBER(INDEX(대장!$G$1:$G$501,$A347)),INDEX(대장!$G$1:$G$501,$A347)&lt;INDEX(대장!$F$1:$F$501,$A347)),"확인 필요",IF(INDEX(대장!$L$1:$L$501,$A347)&lt;&gt;"","메모 있음","정상")))))</x:f>
        <x:v>#NAME?</x:v>
      </x:c>
      <x:c r="F347" t="e">
        <x:f>IF($A347="","",IF($E347="확인 필요","시작일·종료일과 기간 순서를 확인해 주세요.",IF($E347="메모 있음",IFERROR(INDEX(대장!$L$1:$L$501,$A347),""),"")))</x:f>
        <x:v>#NAME?</x:v>
      </x:c>
    </x:row>
    <x:row r="348">
      <x:c r="A348" t="e">
        <x:f>IF(INDEX(대장!$A$1:$A$501,ROW()-2)="","",ROW()-2)</x:f>
        <x:v>#NAME?</x:v>
      </x:c>
      <x:c r="B348" t="e">
        <x:f>IF($A348="","",INDEX(대장!$A$1:$A$501,$A348))</x:f>
        <x:v>#NAME?</x:v>
      </x:c>
      <x:c r="C348" s="46" t="e">
        <x:f>IFERROR(IF($A348="","",INDEX(대장!$F$1:$F$501,$A348)),"")</x:f>
        <x:v>#NAME?</x:v>
      </x:c>
      <x:c r="D348" s="46" t="e">
        <x:f>IFERROR(IF($A348="","",INDEX(대장!$G$1:$G$501,$A348)),"")</x:f>
        <x:v>#NAME?</x:v>
      </x:c>
      <x:c r="E348" t="e">
        <x:f>IF($A348="","",IF(NOT(ISNUMBER(INDEX(대장!$F$1:$F$501,$A348))),"확인 필요",IF(AND(INDEX(대장!$G$1:$G$501,$A348)&lt;&gt;"",NOT(ISNUMBER(INDEX(대장!$G$1:$G$501,$A348)))),"확인 필요",IF(AND(ISNUMBER(INDEX(대장!$G$1:$G$501,$A348)),INDEX(대장!$G$1:$G$501,$A348)&lt;INDEX(대장!$F$1:$F$501,$A348)),"확인 필요",IF(INDEX(대장!$L$1:$L$501,$A348)&lt;&gt;"","메모 있음","정상")))))</x:f>
        <x:v>#NAME?</x:v>
      </x:c>
      <x:c r="F348" t="e">
        <x:f>IF($A348="","",IF($E348="확인 필요","시작일·종료일과 기간 순서를 확인해 주세요.",IF($E348="메모 있음",IFERROR(INDEX(대장!$L$1:$L$501,$A348),""),"")))</x:f>
        <x:v>#NAME?</x:v>
      </x:c>
    </x:row>
    <x:row r="349">
      <x:c r="A349" t="e">
        <x:f>IF(INDEX(대장!$A$1:$A$501,ROW()-2)="","",ROW()-2)</x:f>
        <x:v>#NAME?</x:v>
      </x:c>
      <x:c r="B349" t="e">
        <x:f>IF($A349="","",INDEX(대장!$A$1:$A$501,$A349))</x:f>
        <x:v>#NAME?</x:v>
      </x:c>
      <x:c r="C349" s="46" t="e">
        <x:f>IFERROR(IF($A349="","",INDEX(대장!$F$1:$F$501,$A349)),"")</x:f>
        <x:v>#NAME?</x:v>
      </x:c>
      <x:c r="D349" s="46" t="e">
        <x:f>IFERROR(IF($A349="","",INDEX(대장!$G$1:$G$501,$A349)),"")</x:f>
        <x:v>#NAME?</x:v>
      </x:c>
      <x:c r="E349" t="e">
        <x:f>IF($A349="","",IF(NOT(ISNUMBER(INDEX(대장!$F$1:$F$501,$A349))),"확인 필요",IF(AND(INDEX(대장!$G$1:$G$501,$A349)&lt;&gt;"",NOT(ISNUMBER(INDEX(대장!$G$1:$G$501,$A349)))),"확인 필요",IF(AND(ISNUMBER(INDEX(대장!$G$1:$G$501,$A349)),INDEX(대장!$G$1:$G$501,$A349)&lt;INDEX(대장!$F$1:$F$501,$A349)),"확인 필요",IF(INDEX(대장!$L$1:$L$501,$A349)&lt;&gt;"","메모 있음","정상")))))</x:f>
        <x:v>#NAME?</x:v>
      </x:c>
      <x:c r="F349" t="e">
        <x:f>IF($A349="","",IF($E349="확인 필요","시작일·종료일과 기간 순서를 확인해 주세요.",IF($E349="메모 있음",IFERROR(INDEX(대장!$L$1:$L$501,$A349),""),"")))</x:f>
        <x:v>#NAME?</x:v>
      </x:c>
    </x:row>
    <x:row r="350">
      <x:c r="A350" t="e">
        <x:f>IF(INDEX(대장!$A$1:$A$501,ROW()-2)="","",ROW()-2)</x:f>
        <x:v>#NAME?</x:v>
      </x:c>
      <x:c r="B350" t="e">
        <x:f>IF($A350="","",INDEX(대장!$A$1:$A$501,$A350))</x:f>
        <x:v>#NAME?</x:v>
      </x:c>
      <x:c r="C350" s="46" t="e">
        <x:f>IFERROR(IF($A350="","",INDEX(대장!$F$1:$F$501,$A350)),"")</x:f>
        <x:v>#NAME?</x:v>
      </x:c>
      <x:c r="D350" s="46" t="e">
        <x:f>IFERROR(IF($A350="","",INDEX(대장!$G$1:$G$501,$A350)),"")</x:f>
        <x:v>#NAME?</x:v>
      </x:c>
      <x:c r="E350" t="e">
        <x:f>IF($A350="","",IF(NOT(ISNUMBER(INDEX(대장!$F$1:$F$501,$A350))),"확인 필요",IF(AND(INDEX(대장!$G$1:$G$501,$A350)&lt;&gt;"",NOT(ISNUMBER(INDEX(대장!$G$1:$G$501,$A350)))),"확인 필요",IF(AND(ISNUMBER(INDEX(대장!$G$1:$G$501,$A350)),INDEX(대장!$G$1:$G$501,$A350)&lt;INDEX(대장!$F$1:$F$501,$A350)),"확인 필요",IF(INDEX(대장!$L$1:$L$501,$A350)&lt;&gt;"","메모 있음","정상")))))</x:f>
        <x:v>#NAME?</x:v>
      </x:c>
      <x:c r="F350" t="e">
        <x:f>IF($A350="","",IF($E350="확인 필요","시작일·종료일과 기간 순서를 확인해 주세요.",IF($E350="메모 있음",IFERROR(INDEX(대장!$L$1:$L$501,$A350),""),"")))</x:f>
        <x:v>#NAME?</x:v>
      </x:c>
    </x:row>
    <x:row r="351">
      <x:c r="A351" t="e">
        <x:f>IF(INDEX(대장!$A$1:$A$501,ROW()-2)="","",ROW()-2)</x:f>
        <x:v>#NAME?</x:v>
      </x:c>
      <x:c r="B351" t="e">
        <x:f>IF($A351="","",INDEX(대장!$A$1:$A$501,$A351))</x:f>
        <x:v>#NAME?</x:v>
      </x:c>
      <x:c r="C351" s="46" t="e">
        <x:f>IFERROR(IF($A351="","",INDEX(대장!$F$1:$F$501,$A351)),"")</x:f>
        <x:v>#NAME?</x:v>
      </x:c>
      <x:c r="D351" s="46" t="e">
        <x:f>IFERROR(IF($A351="","",INDEX(대장!$G$1:$G$501,$A351)),"")</x:f>
        <x:v>#NAME?</x:v>
      </x:c>
      <x:c r="E351" t="e">
        <x:f>IF($A351="","",IF(NOT(ISNUMBER(INDEX(대장!$F$1:$F$501,$A351))),"확인 필요",IF(AND(INDEX(대장!$G$1:$G$501,$A351)&lt;&gt;"",NOT(ISNUMBER(INDEX(대장!$G$1:$G$501,$A351)))),"확인 필요",IF(AND(ISNUMBER(INDEX(대장!$G$1:$G$501,$A351)),INDEX(대장!$G$1:$G$501,$A351)&lt;INDEX(대장!$F$1:$F$501,$A351)),"확인 필요",IF(INDEX(대장!$L$1:$L$501,$A351)&lt;&gt;"","메모 있음","정상")))))</x:f>
        <x:v>#NAME?</x:v>
      </x:c>
      <x:c r="F351" t="e">
        <x:f>IF($A351="","",IF($E351="확인 필요","시작일·종료일과 기간 순서를 확인해 주세요.",IF($E351="메모 있음",IFERROR(INDEX(대장!$L$1:$L$501,$A351),""),"")))</x:f>
        <x:v>#NAME?</x:v>
      </x:c>
    </x:row>
    <x:row r="352">
      <x:c r="A352" t="e">
        <x:f>IF(INDEX(대장!$A$1:$A$501,ROW()-2)="","",ROW()-2)</x:f>
        <x:v>#NAME?</x:v>
      </x:c>
      <x:c r="B352" t="e">
        <x:f>IF($A352="","",INDEX(대장!$A$1:$A$501,$A352))</x:f>
        <x:v>#NAME?</x:v>
      </x:c>
      <x:c r="C352" s="46" t="e">
        <x:f>IFERROR(IF($A352="","",INDEX(대장!$F$1:$F$501,$A352)),"")</x:f>
        <x:v>#NAME?</x:v>
      </x:c>
      <x:c r="D352" s="46" t="e">
        <x:f>IFERROR(IF($A352="","",INDEX(대장!$G$1:$G$501,$A352)),"")</x:f>
        <x:v>#NAME?</x:v>
      </x:c>
      <x:c r="E352" t="e">
        <x:f>IF($A352="","",IF(NOT(ISNUMBER(INDEX(대장!$F$1:$F$501,$A352))),"확인 필요",IF(AND(INDEX(대장!$G$1:$G$501,$A352)&lt;&gt;"",NOT(ISNUMBER(INDEX(대장!$G$1:$G$501,$A352)))),"확인 필요",IF(AND(ISNUMBER(INDEX(대장!$G$1:$G$501,$A352)),INDEX(대장!$G$1:$G$501,$A352)&lt;INDEX(대장!$F$1:$F$501,$A352)),"확인 필요",IF(INDEX(대장!$L$1:$L$501,$A352)&lt;&gt;"","메모 있음","정상")))))</x:f>
        <x:v>#NAME?</x:v>
      </x:c>
      <x:c r="F352" t="e">
        <x:f>IF($A352="","",IF($E352="확인 필요","시작일·종료일과 기간 순서를 확인해 주세요.",IF($E352="메모 있음",IFERROR(INDEX(대장!$L$1:$L$501,$A352),""),"")))</x:f>
        <x:v>#NAME?</x:v>
      </x:c>
    </x:row>
    <x:row r="353">
      <x:c r="A353" t="e">
        <x:f>IF(INDEX(대장!$A$1:$A$501,ROW()-2)="","",ROW()-2)</x:f>
        <x:v>#NAME?</x:v>
      </x:c>
      <x:c r="B353" t="e">
        <x:f>IF($A353="","",INDEX(대장!$A$1:$A$501,$A353))</x:f>
        <x:v>#NAME?</x:v>
      </x:c>
      <x:c r="C353" s="46" t="e">
        <x:f>IFERROR(IF($A353="","",INDEX(대장!$F$1:$F$501,$A353)),"")</x:f>
        <x:v>#NAME?</x:v>
      </x:c>
      <x:c r="D353" s="46" t="e">
        <x:f>IFERROR(IF($A353="","",INDEX(대장!$G$1:$G$501,$A353)),"")</x:f>
        <x:v>#NAME?</x:v>
      </x:c>
      <x:c r="E353" t="e">
        <x:f>IF($A353="","",IF(NOT(ISNUMBER(INDEX(대장!$F$1:$F$501,$A353))),"확인 필요",IF(AND(INDEX(대장!$G$1:$G$501,$A353)&lt;&gt;"",NOT(ISNUMBER(INDEX(대장!$G$1:$G$501,$A353)))),"확인 필요",IF(AND(ISNUMBER(INDEX(대장!$G$1:$G$501,$A353)),INDEX(대장!$G$1:$G$501,$A353)&lt;INDEX(대장!$F$1:$F$501,$A353)),"확인 필요",IF(INDEX(대장!$L$1:$L$501,$A353)&lt;&gt;"","메모 있음","정상")))))</x:f>
        <x:v>#NAME?</x:v>
      </x:c>
      <x:c r="F353" t="e">
        <x:f>IF($A353="","",IF($E353="확인 필요","시작일·종료일과 기간 순서를 확인해 주세요.",IF($E353="메모 있음",IFERROR(INDEX(대장!$L$1:$L$501,$A353),""),"")))</x:f>
        <x:v>#NAME?</x:v>
      </x:c>
    </x:row>
    <x:row r="354">
      <x:c r="A354" t="e">
        <x:f>IF(INDEX(대장!$A$1:$A$501,ROW()-2)="","",ROW()-2)</x:f>
        <x:v>#NAME?</x:v>
      </x:c>
      <x:c r="B354" t="e">
        <x:f>IF($A354="","",INDEX(대장!$A$1:$A$501,$A354))</x:f>
        <x:v>#NAME?</x:v>
      </x:c>
      <x:c r="C354" s="46" t="e">
        <x:f>IFERROR(IF($A354="","",INDEX(대장!$F$1:$F$501,$A354)),"")</x:f>
        <x:v>#NAME?</x:v>
      </x:c>
      <x:c r="D354" s="46" t="e">
        <x:f>IFERROR(IF($A354="","",INDEX(대장!$G$1:$G$501,$A354)),"")</x:f>
        <x:v>#NAME?</x:v>
      </x:c>
      <x:c r="E354" t="e">
        <x:f>IF($A354="","",IF(NOT(ISNUMBER(INDEX(대장!$F$1:$F$501,$A354))),"확인 필요",IF(AND(INDEX(대장!$G$1:$G$501,$A354)&lt;&gt;"",NOT(ISNUMBER(INDEX(대장!$G$1:$G$501,$A354)))),"확인 필요",IF(AND(ISNUMBER(INDEX(대장!$G$1:$G$501,$A354)),INDEX(대장!$G$1:$G$501,$A354)&lt;INDEX(대장!$F$1:$F$501,$A354)),"확인 필요",IF(INDEX(대장!$L$1:$L$501,$A354)&lt;&gt;"","메모 있음","정상")))))</x:f>
        <x:v>#NAME?</x:v>
      </x:c>
      <x:c r="F354" t="e">
        <x:f>IF($A354="","",IF($E354="확인 필요","시작일·종료일과 기간 순서를 확인해 주세요.",IF($E354="메모 있음",IFERROR(INDEX(대장!$L$1:$L$501,$A354),""),"")))</x:f>
        <x:v>#NAME?</x:v>
      </x:c>
    </x:row>
    <x:row r="355">
      <x:c r="A355" t="e">
        <x:f>IF(INDEX(대장!$A$1:$A$501,ROW()-2)="","",ROW()-2)</x:f>
        <x:v>#NAME?</x:v>
      </x:c>
      <x:c r="B355" t="e">
        <x:f>IF($A355="","",INDEX(대장!$A$1:$A$501,$A355))</x:f>
        <x:v>#NAME?</x:v>
      </x:c>
      <x:c r="C355" s="46" t="e">
        <x:f>IFERROR(IF($A355="","",INDEX(대장!$F$1:$F$501,$A355)),"")</x:f>
        <x:v>#NAME?</x:v>
      </x:c>
      <x:c r="D355" s="46" t="e">
        <x:f>IFERROR(IF($A355="","",INDEX(대장!$G$1:$G$501,$A355)),"")</x:f>
        <x:v>#NAME?</x:v>
      </x:c>
      <x:c r="E355" t="e">
        <x:f>IF($A355="","",IF(NOT(ISNUMBER(INDEX(대장!$F$1:$F$501,$A355))),"확인 필요",IF(AND(INDEX(대장!$G$1:$G$501,$A355)&lt;&gt;"",NOT(ISNUMBER(INDEX(대장!$G$1:$G$501,$A355)))),"확인 필요",IF(AND(ISNUMBER(INDEX(대장!$G$1:$G$501,$A355)),INDEX(대장!$G$1:$G$501,$A355)&lt;INDEX(대장!$F$1:$F$501,$A355)),"확인 필요",IF(INDEX(대장!$L$1:$L$501,$A355)&lt;&gt;"","메모 있음","정상")))))</x:f>
        <x:v>#NAME?</x:v>
      </x:c>
      <x:c r="F355" t="e">
        <x:f>IF($A355="","",IF($E355="확인 필요","시작일·종료일과 기간 순서를 확인해 주세요.",IF($E355="메모 있음",IFERROR(INDEX(대장!$L$1:$L$501,$A355),""),"")))</x:f>
        <x:v>#NAME?</x:v>
      </x:c>
    </x:row>
    <x:row r="356">
      <x:c r="A356" t="e">
        <x:f>IF(INDEX(대장!$A$1:$A$501,ROW()-2)="","",ROW()-2)</x:f>
        <x:v>#NAME?</x:v>
      </x:c>
      <x:c r="B356" t="e">
        <x:f>IF($A356="","",INDEX(대장!$A$1:$A$501,$A356))</x:f>
        <x:v>#NAME?</x:v>
      </x:c>
      <x:c r="C356" s="46" t="e">
        <x:f>IFERROR(IF($A356="","",INDEX(대장!$F$1:$F$501,$A356)),"")</x:f>
        <x:v>#NAME?</x:v>
      </x:c>
      <x:c r="D356" s="46" t="e">
        <x:f>IFERROR(IF($A356="","",INDEX(대장!$G$1:$G$501,$A356)),"")</x:f>
        <x:v>#NAME?</x:v>
      </x:c>
      <x:c r="E356" t="e">
        <x:f>IF($A356="","",IF(NOT(ISNUMBER(INDEX(대장!$F$1:$F$501,$A356))),"확인 필요",IF(AND(INDEX(대장!$G$1:$G$501,$A356)&lt;&gt;"",NOT(ISNUMBER(INDEX(대장!$G$1:$G$501,$A356)))),"확인 필요",IF(AND(ISNUMBER(INDEX(대장!$G$1:$G$501,$A356)),INDEX(대장!$G$1:$G$501,$A356)&lt;INDEX(대장!$F$1:$F$501,$A356)),"확인 필요",IF(INDEX(대장!$L$1:$L$501,$A356)&lt;&gt;"","메모 있음","정상")))))</x:f>
        <x:v>#NAME?</x:v>
      </x:c>
      <x:c r="F356" t="e">
        <x:f>IF($A356="","",IF($E356="확인 필요","시작일·종료일과 기간 순서를 확인해 주세요.",IF($E356="메모 있음",IFERROR(INDEX(대장!$L$1:$L$501,$A356),""),"")))</x:f>
        <x:v>#NAME?</x:v>
      </x:c>
    </x:row>
    <x:row r="357">
      <x:c r="A357" t="e">
        <x:f>IF(INDEX(대장!$A$1:$A$501,ROW()-2)="","",ROW()-2)</x:f>
        <x:v>#NAME?</x:v>
      </x:c>
      <x:c r="B357" t="e">
        <x:f>IF($A357="","",INDEX(대장!$A$1:$A$501,$A357))</x:f>
        <x:v>#NAME?</x:v>
      </x:c>
      <x:c r="C357" s="46" t="e">
        <x:f>IFERROR(IF($A357="","",INDEX(대장!$F$1:$F$501,$A357)),"")</x:f>
        <x:v>#NAME?</x:v>
      </x:c>
      <x:c r="D357" s="46" t="e">
        <x:f>IFERROR(IF($A357="","",INDEX(대장!$G$1:$G$501,$A357)),"")</x:f>
        <x:v>#NAME?</x:v>
      </x:c>
      <x:c r="E357" t="e">
        <x:f>IF($A357="","",IF(NOT(ISNUMBER(INDEX(대장!$F$1:$F$501,$A357))),"확인 필요",IF(AND(INDEX(대장!$G$1:$G$501,$A357)&lt;&gt;"",NOT(ISNUMBER(INDEX(대장!$G$1:$G$501,$A357)))),"확인 필요",IF(AND(ISNUMBER(INDEX(대장!$G$1:$G$501,$A357)),INDEX(대장!$G$1:$G$501,$A357)&lt;INDEX(대장!$F$1:$F$501,$A357)),"확인 필요",IF(INDEX(대장!$L$1:$L$501,$A357)&lt;&gt;"","메모 있음","정상")))))</x:f>
        <x:v>#NAME?</x:v>
      </x:c>
      <x:c r="F357" t="e">
        <x:f>IF($A357="","",IF($E357="확인 필요","시작일·종료일과 기간 순서를 확인해 주세요.",IF($E357="메모 있음",IFERROR(INDEX(대장!$L$1:$L$501,$A357),""),"")))</x:f>
        <x:v>#NAME?</x:v>
      </x:c>
    </x:row>
    <x:row r="358">
      <x:c r="A358" t="e">
        <x:f>IF(INDEX(대장!$A$1:$A$501,ROW()-2)="","",ROW()-2)</x:f>
        <x:v>#NAME?</x:v>
      </x:c>
      <x:c r="B358" t="e">
        <x:f>IF($A358="","",INDEX(대장!$A$1:$A$501,$A358))</x:f>
        <x:v>#NAME?</x:v>
      </x:c>
      <x:c r="C358" s="46" t="e">
        <x:f>IFERROR(IF($A358="","",INDEX(대장!$F$1:$F$501,$A358)),"")</x:f>
        <x:v>#NAME?</x:v>
      </x:c>
      <x:c r="D358" s="46" t="e">
        <x:f>IFERROR(IF($A358="","",INDEX(대장!$G$1:$G$501,$A358)),"")</x:f>
        <x:v>#NAME?</x:v>
      </x:c>
      <x:c r="E358" t="e">
        <x:f>IF($A358="","",IF(NOT(ISNUMBER(INDEX(대장!$F$1:$F$501,$A358))),"확인 필요",IF(AND(INDEX(대장!$G$1:$G$501,$A358)&lt;&gt;"",NOT(ISNUMBER(INDEX(대장!$G$1:$G$501,$A358)))),"확인 필요",IF(AND(ISNUMBER(INDEX(대장!$G$1:$G$501,$A358)),INDEX(대장!$G$1:$G$501,$A358)&lt;INDEX(대장!$F$1:$F$501,$A358)),"확인 필요",IF(INDEX(대장!$L$1:$L$501,$A358)&lt;&gt;"","메모 있음","정상")))))</x:f>
        <x:v>#NAME?</x:v>
      </x:c>
      <x:c r="F358" t="e">
        <x:f>IF($A358="","",IF($E358="확인 필요","시작일·종료일과 기간 순서를 확인해 주세요.",IF($E358="메모 있음",IFERROR(INDEX(대장!$L$1:$L$501,$A358),""),"")))</x:f>
        <x:v>#NAME?</x:v>
      </x:c>
    </x:row>
    <x:row r="359">
      <x:c r="A359" t="e">
        <x:f>IF(INDEX(대장!$A$1:$A$501,ROW()-2)="","",ROW()-2)</x:f>
        <x:v>#NAME?</x:v>
      </x:c>
      <x:c r="B359" t="e">
        <x:f>IF($A359="","",INDEX(대장!$A$1:$A$501,$A359))</x:f>
        <x:v>#NAME?</x:v>
      </x:c>
      <x:c r="C359" s="46" t="e">
        <x:f>IFERROR(IF($A359="","",INDEX(대장!$F$1:$F$501,$A359)),"")</x:f>
        <x:v>#NAME?</x:v>
      </x:c>
      <x:c r="D359" s="46" t="e">
        <x:f>IFERROR(IF($A359="","",INDEX(대장!$G$1:$G$501,$A359)),"")</x:f>
        <x:v>#NAME?</x:v>
      </x:c>
      <x:c r="E359" t="e">
        <x:f>IF($A359="","",IF(NOT(ISNUMBER(INDEX(대장!$F$1:$F$501,$A359))),"확인 필요",IF(AND(INDEX(대장!$G$1:$G$501,$A359)&lt;&gt;"",NOT(ISNUMBER(INDEX(대장!$G$1:$G$501,$A359)))),"확인 필요",IF(AND(ISNUMBER(INDEX(대장!$G$1:$G$501,$A359)),INDEX(대장!$G$1:$G$501,$A359)&lt;INDEX(대장!$F$1:$F$501,$A359)),"확인 필요",IF(INDEX(대장!$L$1:$L$501,$A359)&lt;&gt;"","메모 있음","정상")))))</x:f>
        <x:v>#NAME?</x:v>
      </x:c>
      <x:c r="F359" t="e">
        <x:f>IF($A359="","",IF($E359="확인 필요","시작일·종료일과 기간 순서를 확인해 주세요.",IF($E359="메모 있음",IFERROR(INDEX(대장!$L$1:$L$501,$A359),""),"")))</x:f>
        <x:v>#NAME?</x:v>
      </x:c>
    </x:row>
    <x:row r="360">
      <x:c r="A360" t="e">
        <x:f>IF(INDEX(대장!$A$1:$A$501,ROW()-2)="","",ROW()-2)</x:f>
        <x:v>#NAME?</x:v>
      </x:c>
      <x:c r="B360" t="e">
        <x:f>IF($A360="","",INDEX(대장!$A$1:$A$501,$A360))</x:f>
        <x:v>#NAME?</x:v>
      </x:c>
      <x:c r="C360" s="46" t="e">
        <x:f>IFERROR(IF($A360="","",INDEX(대장!$F$1:$F$501,$A360)),"")</x:f>
        <x:v>#NAME?</x:v>
      </x:c>
      <x:c r="D360" s="46" t="e">
        <x:f>IFERROR(IF($A360="","",INDEX(대장!$G$1:$G$501,$A360)),"")</x:f>
        <x:v>#NAME?</x:v>
      </x:c>
      <x:c r="E360" t="e">
        <x:f>IF($A360="","",IF(NOT(ISNUMBER(INDEX(대장!$F$1:$F$501,$A360))),"확인 필요",IF(AND(INDEX(대장!$G$1:$G$501,$A360)&lt;&gt;"",NOT(ISNUMBER(INDEX(대장!$G$1:$G$501,$A360)))),"확인 필요",IF(AND(ISNUMBER(INDEX(대장!$G$1:$G$501,$A360)),INDEX(대장!$G$1:$G$501,$A360)&lt;INDEX(대장!$F$1:$F$501,$A360)),"확인 필요",IF(INDEX(대장!$L$1:$L$501,$A360)&lt;&gt;"","메모 있음","정상")))))</x:f>
        <x:v>#NAME?</x:v>
      </x:c>
      <x:c r="F360" t="e">
        <x:f>IF($A360="","",IF($E360="확인 필요","시작일·종료일과 기간 순서를 확인해 주세요.",IF($E360="메모 있음",IFERROR(INDEX(대장!$L$1:$L$501,$A360),""),"")))</x:f>
        <x:v>#NAME?</x:v>
      </x:c>
    </x:row>
    <x:row r="361">
      <x:c r="A361" t="e">
        <x:f>IF(INDEX(대장!$A$1:$A$501,ROW()-2)="","",ROW()-2)</x:f>
        <x:v>#NAME?</x:v>
      </x:c>
      <x:c r="B361" t="e">
        <x:f>IF($A361="","",INDEX(대장!$A$1:$A$501,$A361))</x:f>
        <x:v>#NAME?</x:v>
      </x:c>
      <x:c r="C361" s="46" t="e">
        <x:f>IFERROR(IF($A361="","",INDEX(대장!$F$1:$F$501,$A361)),"")</x:f>
        <x:v>#NAME?</x:v>
      </x:c>
      <x:c r="D361" s="46" t="e">
        <x:f>IFERROR(IF($A361="","",INDEX(대장!$G$1:$G$501,$A361)),"")</x:f>
        <x:v>#NAME?</x:v>
      </x:c>
      <x:c r="E361" t="e">
        <x:f>IF($A361="","",IF(NOT(ISNUMBER(INDEX(대장!$F$1:$F$501,$A361))),"확인 필요",IF(AND(INDEX(대장!$G$1:$G$501,$A361)&lt;&gt;"",NOT(ISNUMBER(INDEX(대장!$G$1:$G$501,$A361)))),"확인 필요",IF(AND(ISNUMBER(INDEX(대장!$G$1:$G$501,$A361)),INDEX(대장!$G$1:$G$501,$A361)&lt;INDEX(대장!$F$1:$F$501,$A361)),"확인 필요",IF(INDEX(대장!$L$1:$L$501,$A361)&lt;&gt;"","메모 있음","정상")))))</x:f>
        <x:v>#NAME?</x:v>
      </x:c>
      <x:c r="F361" t="e">
        <x:f>IF($A361="","",IF($E361="확인 필요","시작일·종료일과 기간 순서를 확인해 주세요.",IF($E361="메모 있음",IFERROR(INDEX(대장!$L$1:$L$501,$A361),""),"")))</x:f>
        <x:v>#NAME?</x:v>
      </x:c>
    </x:row>
    <x:row r="362">
      <x:c r="A362" t="e">
        <x:f>IF(INDEX(대장!$A$1:$A$501,ROW()-2)="","",ROW()-2)</x:f>
        <x:v>#NAME?</x:v>
      </x:c>
      <x:c r="B362" t="e">
        <x:f>IF($A362="","",INDEX(대장!$A$1:$A$501,$A362))</x:f>
        <x:v>#NAME?</x:v>
      </x:c>
      <x:c r="C362" s="46" t="e">
        <x:f>IFERROR(IF($A362="","",INDEX(대장!$F$1:$F$501,$A362)),"")</x:f>
        <x:v>#NAME?</x:v>
      </x:c>
      <x:c r="D362" s="46" t="e">
        <x:f>IFERROR(IF($A362="","",INDEX(대장!$G$1:$G$501,$A362)),"")</x:f>
        <x:v>#NAME?</x:v>
      </x:c>
      <x:c r="E362" t="e">
        <x:f>IF($A362="","",IF(NOT(ISNUMBER(INDEX(대장!$F$1:$F$501,$A362))),"확인 필요",IF(AND(INDEX(대장!$G$1:$G$501,$A362)&lt;&gt;"",NOT(ISNUMBER(INDEX(대장!$G$1:$G$501,$A362)))),"확인 필요",IF(AND(ISNUMBER(INDEX(대장!$G$1:$G$501,$A362)),INDEX(대장!$G$1:$G$501,$A362)&lt;INDEX(대장!$F$1:$F$501,$A362)),"확인 필요",IF(INDEX(대장!$L$1:$L$501,$A362)&lt;&gt;"","메모 있음","정상")))))</x:f>
        <x:v>#NAME?</x:v>
      </x:c>
      <x:c r="F362" t="e">
        <x:f>IF($A362="","",IF($E362="확인 필요","시작일·종료일과 기간 순서를 확인해 주세요.",IF($E362="메모 있음",IFERROR(INDEX(대장!$L$1:$L$501,$A362),""),"")))</x:f>
        <x:v>#NAME?</x:v>
      </x:c>
    </x:row>
    <x:row r="363">
      <x:c r="A363" t="e">
        <x:f>IF(INDEX(대장!$A$1:$A$501,ROW()-2)="","",ROW()-2)</x:f>
        <x:v>#NAME?</x:v>
      </x:c>
      <x:c r="B363" t="e">
        <x:f>IF($A363="","",INDEX(대장!$A$1:$A$501,$A363))</x:f>
        <x:v>#NAME?</x:v>
      </x:c>
      <x:c r="C363" s="46" t="e">
        <x:f>IFERROR(IF($A363="","",INDEX(대장!$F$1:$F$501,$A363)),"")</x:f>
        <x:v>#NAME?</x:v>
      </x:c>
      <x:c r="D363" s="46" t="e">
        <x:f>IFERROR(IF($A363="","",INDEX(대장!$G$1:$G$501,$A363)),"")</x:f>
        <x:v>#NAME?</x:v>
      </x:c>
      <x:c r="E363" t="e">
        <x:f>IF($A363="","",IF(NOT(ISNUMBER(INDEX(대장!$F$1:$F$501,$A363))),"확인 필요",IF(AND(INDEX(대장!$G$1:$G$501,$A363)&lt;&gt;"",NOT(ISNUMBER(INDEX(대장!$G$1:$G$501,$A363)))),"확인 필요",IF(AND(ISNUMBER(INDEX(대장!$G$1:$G$501,$A363)),INDEX(대장!$G$1:$G$501,$A363)&lt;INDEX(대장!$F$1:$F$501,$A363)),"확인 필요",IF(INDEX(대장!$L$1:$L$501,$A363)&lt;&gt;"","메모 있음","정상")))))</x:f>
        <x:v>#NAME?</x:v>
      </x:c>
      <x:c r="F363" t="e">
        <x:f>IF($A363="","",IF($E363="확인 필요","시작일·종료일과 기간 순서를 확인해 주세요.",IF($E363="메모 있음",IFERROR(INDEX(대장!$L$1:$L$501,$A363),""),"")))</x:f>
        <x:v>#NAME?</x:v>
      </x:c>
    </x:row>
    <x:row r="364">
      <x:c r="A364" t="e">
        <x:f>IF(INDEX(대장!$A$1:$A$501,ROW()-2)="","",ROW()-2)</x:f>
        <x:v>#NAME?</x:v>
      </x:c>
      <x:c r="B364" t="e">
        <x:f>IF($A364="","",INDEX(대장!$A$1:$A$501,$A364))</x:f>
        <x:v>#NAME?</x:v>
      </x:c>
      <x:c r="C364" s="46" t="e">
        <x:f>IFERROR(IF($A364="","",INDEX(대장!$F$1:$F$501,$A364)),"")</x:f>
        <x:v>#NAME?</x:v>
      </x:c>
      <x:c r="D364" s="46" t="e">
        <x:f>IFERROR(IF($A364="","",INDEX(대장!$G$1:$G$501,$A364)),"")</x:f>
        <x:v>#NAME?</x:v>
      </x:c>
      <x:c r="E364" t="e">
        <x:f>IF($A364="","",IF(NOT(ISNUMBER(INDEX(대장!$F$1:$F$501,$A364))),"확인 필요",IF(AND(INDEX(대장!$G$1:$G$501,$A364)&lt;&gt;"",NOT(ISNUMBER(INDEX(대장!$G$1:$G$501,$A364)))),"확인 필요",IF(AND(ISNUMBER(INDEX(대장!$G$1:$G$501,$A364)),INDEX(대장!$G$1:$G$501,$A364)&lt;INDEX(대장!$F$1:$F$501,$A364)),"확인 필요",IF(INDEX(대장!$L$1:$L$501,$A364)&lt;&gt;"","메모 있음","정상")))))</x:f>
        <x:v>#NAME?</x:v>
      </x:c>
      <x:c r="F364" t="e">
        <x:f>IF($A364="","",IF($E364="확인 필요","시작일·종료일과 기간 순서를 확인해 주세요.",IF($E364="메모 있음",IFERROR(INDEX(대장!$L$1:$L$501,$A364),""),"")))</x:f>
        <x:v>#NAME?</x:v>
      </x:c>
    </x:row>
    <x:row r="365">
      <x:c r="A365" t="e">
        <x:f>IF(INDEX(대장!$A$1:$A$501,ROW()-2)="","",ROW()-2)</x:f>
        <x:v>#NAME?</x:v>
      </x:c>
      <x:c r="B365" t="e">
        <x:f>IF($A365="","",INDEX(대장!$A$1:$A$501,$A365))</x:f>
        <x:v>#NAME?</x:v>
      </x:c>
      <x:c r="C365" s="46" t="e">
        <x:f>IFERROR(IF($A365="","",INDEX(대장!$F$1:$F$501,$A365)),"")</x:f>
        <x:v>#NAME?</x:v>
      </x:c>
      <x:c r="D365" s="46" t="e">
        <x:f>IFERROR(IF($A365="","",INDEX(대장!$G$1:$G$501,$A365)),"")</x:f>
        <x:v>#NAME?</x:v>
      </x:c>
      <x:c r="E365" t="e">
        <x:f>IF($A365="","",IF(NOT(ISNUMBER(INDEX(대장!$F$1:$F$501,$A365))),"확인 필요",IF(AND(INDEX(대장!$G$1:$G$501,$A365)&lt;&gt;"",NOT(ISNUMBER(INDEX(대장!$G$1:$G$501,$A365)))),"확인 필요",IF(AND(ISNUMBER(INDEX(대장!$G$1:$G$501,$A365)),INDEX(대장!$G$1:$G$501,$A365)&lt;INDEX(대장!$F$1:$F$501,$A365)),"확인 필요",IF(INDEX(대장!$L$1:$L$501,$A365)&lt;&gt;"","메모 있음","정상")))))</x:f>
        <x:v>#NAME?</x:v>
      </x:c>
      <x:c r="F365" t="e">
        <x:f>IF($A365="","",IF($E365="확인 필요","시작일·종료일과 기간 순서를 확인해 주세요.",IF($E365="메모 있음",IFERROR(INDEX(대장!$L$1:$L$501,$A365),""),"")))</x:f>
        <x:v>#NAME?</x:v>
      </x:c>
    </x:row>
    <x:row r="366">
      <x:c r="A366" t="e">
        <x:f>IF(INDEX(대장!$A$1:$A$501,ROW()-2)="","",ROW()-2)</x:f>
        <x:v>#NAME?</x:v>
      </x:c>
      <x:c r="B366" t="e">
        <x:f>IF($A366="","",INDEX(대장!$A$1:$A$501,$A366))</x:f>
        <x:v>#NAME?</x:v>
      </x:c>
      <x:c r="C366" s="46" t="e">
        <x:f>IFERROR(IF($A366="","",INDEX(대장!$F$1:$F$501,$A366)),"")</x:f>
        <x:v>#NAME?</x:v>
      </x:c>
      <x:c r="D366" s="46" t="e">
        <x:f>IFERROR(IF($A366="","",INDEX(대장!$G$1:$G$501,$A366)),"")</x:f>
        <x:v>#NAME?</x:v>
      </x:c>
      <x:c r="E366" t="e">
        <x:f>IF($A366="","",IF(NOT(ISNUMBER(INDEX(대장!$F$1:$F$501,$A366))),"확인 필요",IF(AND(INDEX(대장!$G$1:$G$501,$A366)&lt;&gt;"",NOT(ISNUMBER(INDEX(대장!$G$1:$G$501,$A366)))),"확인 필요",IF(AND(ISNUMBER(INDEX(대장!$G$1:$G$501,$A366)),INDEX(대장!$G$1:$G$501,$A366)&lt;INDEX(대장!$F$1:$F$501,$A366)),"확인 필요",IF(INDEX(대장!$L$1:$L$501,$A366)&lt;&gt;"","메모 있음","정상")))))</x:f>
        <x:v>#NAME?</x:v>
      </x:c>
      <x:c r="F366" t="e">
        <x:f>IF($A366="","",IF($E366="확인 필요","시작일·종료일과 기간 순서를 확인해 주세요.",IF($E366="메모 있음",IFERROR(INDEX(대장!$L$1:$L$501,$A366),""),"")))</x:f>
        <x:v>#NAME?</x:v>
      </x:c>
    </x:row>
    <x:row r="367">
      <x:c r="A367" t="e">
        <x:f>IF(INDEX(대장!$A$1:$A$501,ROW()-2)="","",ROW()-2)</x:f>
        <x:v>#NAME?</x:v>
      </x:c>
      <x:c r="B367" t="e">
        <x:f>IF($A367="","",INDEX(대장!$A$1:$A$501,$A367))</x:f>
        <x:v>#NAME?</x:v>
      </x:c>
      <x:c r="C367" s="46" t="e">
        <x:f>IFERROR(IF($A367="","",INDEX(대장!$F$1:$F$501,$A367)),"")</x:f>
        <x:v>#NAME?</x:v>
      </x:c>
      <x:c r="D367" s="46" t="e">
        <x:f>IFERROR(IF($A367="","",INDEX(대장!$G$1:$G$501,$A367)),"")</x:f>
        <x:v>#NAME?</x:v>
      </x:c>
      <x:c r="E367" t="e">
        <x:f>IF($A367="","",IF(NOT(ISNUMBER(INDEX(대장!$F$1:$F$501,$A367))),"확인 필요",IF(AND(INDEX(대장!$G$1:$G$501,$A367)&lt;&gt;"",NOT(ISNUMBER(INDEX(대장!$G$1:$G$501,$A367)))),"확인 필요",IF(AND(ISNUMBER(INDEX(대장!$G$1:$G$501,$A367)),INDEX(대장!$G$1:$G$501,$A367)&lt;INDEX(대장!$F$1:$F$501,$A367)),"확인 필요",IF(INDEX(대장!$L$1:$L$501,$A367)&lt;&gt;"","메모 있음","정상")))))</x:f>
        <x:v>#NAME?</x:v>
      </x:c>
      <x:c r="F367" t="e">
        <x:f>IF($A367="","",IF($E367="확인 필요","시작일·종료일과 기간 순서를 확인해 주세요.",IF($E367="메모 있음",IFERROR(INDEX(대장!$L$1:$L$501,$A367),""),"")))</x:f>
        <x:v>#NAME?</x:v>
      </x:c>
    </x:row>
    <x:row r="368">
      <x:c r="A368" t="e">
        <x:f>IF(INDEX(대장!$A$1:$A$501,ROW()-2)="","",ROW()-2)</x:f>
        <x:v>#NAME?</x:v>
      </x:c>
      <x:c r="B368" t="e">
        <x:f>IF($A368="","",INDEX(대장!$A$1:$A$501,$A368))</x:f>
        <x:v>#NAME?</x:v>
      </x:c>
      <x:c r="C368" s="46" t="e">
        <x:f>IFERROR(IF($A368="","",INDEX(대장!$F$1:$F$501,$A368)),"")</x:f>
        <x:v>#NAME?</x:v>
      </x:c>
      <x:c r="D368" s="46" t="e">
        <x:f>IFERROR(IF($A368="","",INDEX(대장!$G$1:$G$501,$A368)),"")</x:f>
        <x:v>#NAME?</x:v>
      </x:c>
      <x:c r="E368" t="e">
        <x:f>IF($A368="","",IF(NOT(ISNUMBER(INDEX(대장!$F$1:$F$501,$A368))),"확인 필요",IF(AND(INDEX(대장!$G$1:$G$501,$A368)&lt;&gt;"",NOT(ISNUMBER(INDEX(대장!$G$1:$G$501,$A368)))),"확인 필요",IF(AND(ISNUMBER(INDEX(대장!$G$1:$G$501,$A368)),INDEX(대장!$G$1:$G$501,$A368)&lt;INDEX(대장!$F$1:$F$501,$A368)),"확인 필요",IF(INDEX(대장!$L$1:$L$501,$A368)&lt;&gt;"","메모 있음","정상")))))</x:f>
        <x:v>#NAME?</x:v>
      </x:c>
      <x:c r="F368" t="e">
        <x:f>IF($A368="","",IF($E368="확인 필요","시작일·종료일과 기간 순서를 확인해 주세요.",IF($E368="메모 있음",IFERROR(INDEX(대장!$L$1:$L$501,$A368),""),"")))</x:f>
        <x:v>#NAME?</x:v>
      </x:c>
    </x:row>
    <x:row r="369">
      <x:c r="A369" t="e">
        <x:f>IF(INDEX(대장!$A$1:$A$501,ROW()-2)="","",ROW()-2)</x:f>
        <x:v>#NAME?</x:v>
      </x:c>
      <x:c r="B369" t="e">
        <x:f>IF($A369="","",INDEX(대장!$A$1:$A$501,$A369))</x:f>
        <x:v>#NAME?</x:v>
      </x:c>
      <x:c r="C369" s="46" t="e">
        <x:f>IFERROR(IF($A369="","",INDEX(대장!$F$1:$F$501,$A369)),"")</x:f>
        <x:v>#NAME?</x:v>
      </x:c>
      <x:c r="D369" s="46" t="e">
        <x:f>IFERROR(IF($A369="","",INDEX(대장!$G$1:$G$501,$A369)),"")</x:f>
        <x:v>#NAME?</x:v>
      </x:c>
      <x:c r="E369" t="e">
        <x:f>IF($A369="","",IF(NOT(ISNUMBER(INDEX(대장!$F$1:$F$501,$A369))),"확인 필요",IF(AND(INDEX(대장!$G$1:$G$501,$A369)&lt;&gt;"",NOT(ISNUMBER(INDEX(대장!$G$1:$G$501,$A369)))),"확인 필요",IF(AND(ISNUMBER(INDEX(대장!$G$1:$G$501,$A369)),INDEX(대장!$G$1:$G$501,$A369)&lt;INDEX(대장!$F$1:$F$501,$A369)),"확인 필요",IF(INDEX(대장!$L$1:$L$501,$A369)&lt;&gt;"","메모 있음","정상")))))</x:f>
        <x:v>#NAME?</x:v>
      </x:c>
      <x:c r="F369" t="e">
        <x:f>IF($A369="","",IF($E369="확인 필요","시작일·종료일과 기간 순서를 확인해 주세요.",IF($E369="메모 있음",IFERROR(INDEX(대장!$L$1:$L$501,$A369),""),"")))</x:f>
        <x:v>#NAME?</x:v>
      </x:c>
    </x:row>
    <x:row r="370">
      <x:c r="A370" t="e">
        <x:f>IF(INDEX(대장!$A$1:$A$501,ROW()-2)="","",ROW()-2)</x:f>
        <x:v>#NAME?</x:v>
      </x:c>
      <x:c r="B370" t="e">
        <x:f>IF($A370="","",INDEX(대장!$A$1:$A$501,$A370))</x:f>
        <x:v>#NAME?</x:v>
      </x:c>
      <x:c r="C370" s="46" t="e">
        <x:f>IFERROR(IF($A370="","",INDEX(대장!$F$1:$F$501,$A370)),"")</x:f>
        <x:v>#NAME?</x:v>
      </x:c>
      <x:c r="D370" s="46" t="e">
        <x:f>IFERROR(IF($A370="","",INDEX(대장!$G$1:$G$501,$A370)),"")</x:f>
        <x:v>#NAME?</x:v>
      </x:c>
      <x:c r="E370" t="e">
        <x:f>IF($A370="","",IF(NOT(ISNUMBER(INDEX(대장!$F$1:$F$501,$A370))),"확인 필요",IF(AND(INDEX(대장!$G$1:$G$501,$A370)&lt;&gt;"",NOT(ISNUMBER(INDEX(대장!$G$1:$G$501,$A370)))),"확인 필요",IF(AND(ISNUMBER(INDEX(대장!$G$1:$G$501,$A370)),INDEX(대장!$G$1:$G$501,$A370)&lt;INDEX(대장!$F$1:$F$501,$A370)),"확인 필요",IF(INDEX(대장!$L$1:$L$501,$A370)&lt;&gt;"","메모 있음","정상")))))</x:f>
        <x:v>#NAME?</x:v>
      </x:c>
      <x:c r="F370" t="e">
        <x:f>IF($A370="","",IF($E370="확인 필요","시작일·종료일과 기간 순서를 확인해 주세요.",IF($E370="메모 있음",IFERROR(INDEX(대장!$L$1:$L$501,$A370),""),"")))</x:f>
        <x:v>#NAME?</x:v>
      </x:c>
    </x:row>
    <x:row r="371">
      <x:c r="A371" t="e">
        <x:f>IF(INDEX(대장!$A$1:$A$501,ROW()-2)="","",ROW()-2)</x:f>
        <x:v>#NAME?</x:v>
      </x:c>
      <x:c r="B371" t="e">
        <x:f>IF($A371="","",INDEX(대장!$A$1:$A$501,$A371))</x:f>
        <x:v>#NAME?</x:v>
      </x:c>
      <x:c r="C371" s="46" t="e">
        <x:f>IFERROR(IF($A371="","",INDEX(대장!$F$1:$F$501,$A371)),"")</x:f>
        <x:v>#NAME?</x:v>
      </x:c>
      <x:c r="D371" s="46" t="e">
        <x:f>IFERROR(IF($A371="","",INDEX(대장!$G$1:$G$501,$A371)),"")</x:f>
        <x:v>#NAME?</x:v>
      </x:c>
      <x:c r="E371" t="e">
        <x:f>IF($A371="","",IF(NOT(ISNUMBER(INDEX(대장!$F$1:$F$501,$A371))),"확인 필요",IF(AND(INDEX(대장!$G$1:$G$501,$A371)&lt;&gt;"",NOT(ISNUMBER(INDEX(대장!$G$1:$G$501,$A371)))),"확인 필요",IF(AND(ISNUMBER(INDEX(대장!$G$1:$G$501,$A371)),INDEX(대장!$G$1:$G$501,$A371)&lt;INDEX(대장!$F$1:$F$501,$A371)),"확인 필요",IF(INDEX(대장!$L$1:$L$501,$A371)&lt;&gt;"","메모 있음","정상")))))</x:f>
        <x:v>#NAME?</x:v>
      </x:c>
      <x:c r="F371" t="e">
        <x:f>IF($A371="","",IF($E371="확인 필요","시작일·종료일과 기간 순서를 확인해 주세요.",IF($E371="메모 있음",IFERROR(INDEX(대장!$L$1:$L$501,$A371),""),"")))</x:f>
        <x:v>#NAME?</x:v>
      </x:c>
    </x:row>
    <x:row r="372">
      <x:c r="A372" t="e">
        <x:f>IF(INDEX(대장!$A$1:$A$501,ROW()-2)="","",ROW()-2)</x:f>
        <x:v>#NAME?</x:v>
      </x:c>
      <x:c r="B372" t="e">
        <x:f>IF($A372="","",INDEX(대장!$A$1:$A$501,$A372))</x:f>
        <x:v>#NAME?</x:v>
      </x:c>
      <x:c r="C372" s="46" t="e">
        <x:f>IFERROR(IF($A372="","",INDEX(대장!$F$1:$F$501,$A372)),"")</x:f>
        <x:v>#NAME?</x:v>
      </x:c>
      <x:c r="D372" s="46" t="e">
        <x:f>IFERROR(IF($A372="","",INDEX(대장!$G$1:$G$501,$A372)),"")</x:f>
        <x:v>#NAME?</x:v>
      </x:c>
      <x:c r="E372" t="e">
        <x:f>IF($A372="","",IF(NOT(ISNUMBER(INDEX(대장!$F$1:$F$501,$A372))),"확인 필요",IF(AND(INDEX(대장!$G$1:$G$501,$A372)&lt;&gt;"",NOT(ISNUMBER(INDEX(대장!$G$1:$G$501,$A372)))),"확인 필요",IF(AND(ISNUMBER(INDEX(대장!$G$1:$G$501,$A372)),INDEX(대장!$G$1:$G$501,$A372)&lt;INDEX(대장!$F$1:$F$501,$A372)),"확인 필요",IF(INDEX(대장!$L$1:$L$501,$A372)&lt;&gt;"","메모 있음","정상")))))</x:f>
        <x:v>#NAME?</x:v>
      </x:c>
      <x:c r="F372" t="e">
        <x:f>IF($A372="","",IF($E372="확인 필요","시작일·종료일과 기간 순서를 확인해 주세요.",IF($E372="메모 있음",IFERROR(INDEX(대장!$L$1:$L$501,$A372),""),"")))</x:f>
        <x:v>#NAME?</x:v>
      </x:c>
    </x:row>
    <x:row r="373">
      <x:c r="A373" t="e">
        <x:f>IF(INDEX(대장!$A$1:$A$501,ROW()-2)="","",ROW()-2)</x:f>
        <x:v>#NAME?</x:v>
      </x:c>
      <x:c r="B373" t="e">
        <x:f>IF($A373="","",INDEX(대장!$A$1:$A$501,$A373))</x:f>
        <x:v>#NAME?</x:v>
      </x:c>
      <x:c r="C373" s="46" t="e">
        <x:f>IFERROR(IF($A373="","",INDEX(대장!$F$1:$F$501,$A373)),"")</x:f>
        <x:v>#NAME?</x:v>
      </x:c>
      <x:c r="D373" s="46" t="e">
        <x:f>IFERROR(IF($A373="","",INDEX(대장!$G$1:$G$501,$A373)),"")</x:f>
        <x:v>#NAME?</x:v>
      </x:c>
      <x:c r="E373" t="e">
        <x:f>IF($A373="","",IF(NOT(ISNUMBER(INDEX(대장!$F$1:$F$501,$A373))),"확인 필요",IF(AND(INDEX(대장!$G$1:$G$501,$A373)&lt;&gt;"",NOT(ISNUMBER(INDEX(대장!$G$1:$G$501,$A373)))),"확인 필요",IF(AND(ISNUMBER(INDEX(대장!$G$1:$G$501,$A373)),INDEX(대장!$G$1:$G$501,$A373)&lt;INDEX(대장!$F$1:$F$501,$A373)),"확인 필요",IF(INDEX(대장!$L$1:$L$501,$A373)&lt;&gt;"","메모 있음","정상")))))</x:f>
        <x:v>#NAME?</x:v>
      </x:c>
      <x:c r="F373" t="e">
        <x:f>IF($A373="","",IF($E373="확인 필요","시작일·종료일과 기간 순서를 확인해 주세요.",IF($E373="메모 있음",IFERROR(INDEX(대장!$L$1:$L$501,$A373),""),"")))</x:f>
        <x:v>#NAME?</x:v>
      </x:c>
    </x:row>
    <x:row r="374">
      <x:c r="A374" t="e">
        <x:f>IF(INDEX(대장!$A$1:$A$501,ROW()-2)="","",ROW()-2)</x:f>
        <x:v>#NAME?</x:v>
      </x:c>
      <x:c r="B374" t="e">
        <x:f>IF($A374="","",INDEX(대장!$A$1:$A$501,$A374))</x:f>
        <x:v>#NAME?</x:v>
      </x:c>
      <x:c r="C374" s="46" t="e">
        <x:f>IFERROR(IF($A374="","",INDEX(대장!$F$1:$F$501,$A374)),"")</x:f>
        <x:v>#NAME?</x:v>
      </x:c>
      <x:c r="D374" s="46" t="e">
        <x:f>IFERROR(IF($A374="","",INDEX(대장!$G$1:$G$501,$A374)),"")</x:f>
        <x:v>#NAME?</x:v>
      </x:c>
      <x:c r="E374" t="e">
        <x:f>IF($A374="","",IF(NOT(ISNUMBER(INDEX(대장!$F$1:$F$501,$A374))),"확인 필요",IF(AND(INDEX(대장!$G$1:$G$501,$A374)&lt;&gt;"",NOT(ISNUMBER(INDEX(대장!$G$1:$G$501,$A374)))),"확인 필요",IF(AND(ISNUMBER(INDEX(대장!$G$1:$G$501,$A374)),INDEX(대장!$G$1:$G$501,$A374)&lt;INDEX(대장!$F$1:$F$501,$A374)),"확인 필요",IF(INDEX(대장!$L$1:$L$501,$A374)&lt;&gt;"","메모 있음","정상")))))</x:f>
        <x:v>#NAME?</x:v>
      </x:c>
      <x:c r="F374" t="e">
        <x:f>IF($A374="","",IF($E374="확인 필요","시작일·종료일과 기간 순서를 확인해 주세요.",IF($E374="메모 있음",IFERROR(INDEX(대장!$L$1:$L$501,$A374),""),"")))</x:f>
        <x:v>#NAME?</x:v>
      </x:c>
    </x:row>
    <x:row r="375">
      <x:c r="A375" t="e">
        <x:f>IF(INDEX(대장!$A$1:$A$501,ROW()-2)="","",ROW()-2)</x:f>
        <x:v>#NAME?</x:v>
      </x:c>
      <x:c r="B375" t="e">
        <x:f>IF($A375="","",INDEX(대장!$A$1:$A$501,$A375))</x:f>
        <x:v>#NAME?</x:v>
      </x:c>
      <x:c r="C375" s="46" t="e">
        <x:f>IFERROR(IF($A375="","",INDEX(대장!$F$1:$F$501,$A375)),"")</x:f>
        <x:v>#NAME?</x:v>
      </x:c>
      <x:c r="D375" s="46" t="e">
        <x:f>IFERROR(IF($A375="","",INDEX(대장!$G$1:$G$501,$A375)),"")</x:f>
        <x:v>#NAME?</x:v>
      </x:c>
      <x:c r="E375" t="e">
        <x:f>IF($A375="","",IF(NOT(ISNUMBER(INDEX(대장!$F$1:$F$501,$A375))),"확인 필요",IF(AND(INDEX(대장!$G$1:$G$501,$A375)&lt;&gt;"",NOT(ISNUMBER(INDEX(대장!$G$1:$G$501,$A375)))),"확인 필요",IF(AND(ISNUMBER(INDEX(대장!$G$1:$G$501,$A375)),INDEX(대장!$G$1:$G$501,$A375)&lt;INDEX(대장!$F$1:$F$501,$A375)),"확인 필요",IF(INDEX(대장!$L$1:$L$501,$A375)&lt;&gt;"","메모 있음","정상")))))</x:f>
        <x:v>#NAME?</x:v>
      </x:c>
      <x:c r="F375" t="e">
        <x:f>IF($A375="","",IF($E375="확인 필요","시작일·종료일과 기간 순서를 확인해 주세요.",IF($E375="메모 있음",IFERROR(INDEX(대장!$L$1:$L$501,$A375),""),"")))</x:f>
        <x:v>#NAME?</x:v>
      </x:c>
    </x:row>
    <x:row r="376">
      <x:c r="A376" t="e">
        <x:f>IF(INDEX(대장!$A$1:$A$501,ROW()-2)="","",ROW()-2)</x:f>
        <x:v>#NAME?</x:v>
      </x:c>
      <x:c r="B376" t="e">
        <x:f>IF($A376="","",INDEX(대장!$A$1:$A$501,$A376))</x:f>
        <x:v>#NAME?</x:v>
      </x:c>
      <x:c r="C376" s="46" t="e">
        <x:f>IFERROR(IF($A376="","",INDEX(대장!$F$1:$F$501,$A376)),"")</x:f>
        <x:v>#NAME?</x:v>
      </x:c>
      <x:c r="D376" s="46" t="e">
        <x:f>IFERROR(IF($A376="","",INDEX(대장!$G$1:$G$501,$A376)),"")</x:f>
        <x:v>#NAME?</x:v>
      </x:c>
      <x:c r="E376" t="e">
        <x:f>IF($A376="","",IF(NOT(ISNUMBER(INDEX(대장!$F$1:$F$501,$A376))),"확인 필요",IF(AND(INDEX(대장!$G$1:$G$501,$A376)&lt;&gt;"",NOT(ISNUMBER(INDEX(대장!$G$1:$G$501,$A376)))),"확인 필요",IF(AND(ISNUMBER(INDEX(대장!$G$1:$G$501,$A376)),INDEX(대장!$G$1:$G$501,$A376)&lt;INDEX(대장!$F$1:$F$501,$A376)),"확인 필요",IF(INDEX(대장!$L$1:$L$501,$A376)&lt;&gt;"","메모 있음","정상")))))</x:f>
        <x:v>#NAME?</x:v>
      </x:c>
      <x:c r="F376" t="e">
        <x:f>IF($A376="","",IF($E376="확인 필요","시작일·종료일과 기간 순서를 확인해 주세요.",IF($E376="메모 있음",IFERROR(INDEX(대장!$L$1:$L$501,$A376),""),"")))</x:f>
        <x:v>#NAME?</x:v>
      </x:c>
    </x:row>
    <x:row r="377">
      <x:c r="A377" t="e">
        <x:f>IF(INDEX(대장!$A$1:$A$501,ROW()-2)="","",ROW()-2)</x:f>
        <x:v>#NAME?</x:v>
      </x:c>
      <x:c r="B377" t="e">
        <x:f>IF($A377="","",INDEX(대장!$A$1:$A$501,$A377))</x:f>
        <x:v>#NAME?</x:v>
      </x:c>
      <x:c r="C377" s="46" t="e">
        <x:f>IFERROR(IF($A377="","",INDEX(대장!$F$1:$F$501,$A377)),"")</x:f>
        <x:v>#NAME?</x:v>
      </x:c>
      <x:c r="D377" s="46" t="e">
        <x:f>IFERROR(IF($A377="","",INDEX(대장!$G$1:$G$501,$A377)),"")</x:f>
        <x:v>#NAME?</x:v>
      </x:c>
      <x:c r="E377" t="e">
        <x:f>IF($A377="","",IF(NOT(ISNUMBER(INDEX(대장!$F$1:$F$501,$A377))),"확인 필요",IF(AND(INDEX(대장!$G$1:$G$501,$A377)&lt;&gt;"",NOT(ISNUMBER(INDEX(대장!$G$1:$G$501,$A377)))),"확인 필요",IF(AND(ISNUMBER(INDEX(대장!$G$1:$G$501,$A377)),INDEX(대장!$G$1:$G$501,$A377)&lt;INDEX(대장!$F$1:$F$501,$A377)),"확인 필요",IF(INDEX(대장!$L$1:$L$501,$A377)&lt;&gt;"","메모 있음","정상")))))</x:f>
        <x:v>#NAME?</x:v>
      </x:c>
      <x:c r="F377" t="e">
        <x:f>IF($A377="","",IF($E377="확인 필요","시작일·종료일과 기간 순서를 확인해 주세요.",IF($E377="메모 있음",IFERROR(INDEX(대장!$L$1:$L$501,$A377),""),"")))</x:f>
        <x:v>#NAME?</x:v>
      </x:c>
    </x:row>
    <x:row r="378">
      <x:c r="A378" t="e">
        <x:f>IF(INDEX(대장!$A$1:$A$501,ROW()-2)="","",ROW()-2)</x:f>
        <x:v>#NAME?</x:v>
      </x:c>
      <x:c r="B378" t="e">
        <x:f>IF($A378="","",INDEX(대장!$A$1:$A$501,$A378))</x:f>
        <x:v>#NAME?</x:v>
      </x:c>
      <x:c r="C378" s="46" t="e">
        <x:f>IFERROR(IF($A378="","",INDEX(대장!$F$1:$F$501,$A378)),"")</x:f>
        <x:v>#NAME?</x:v>
      </x:c>
      <x:c r="D378" s="46" t="e">
        <x:f>IFERROR(IF($A378="","",INDEX(대장!$G$1:$G$501,$A378)),"")</x:f>
        <x:v>#NAME?</x:v>
      </x:c>
      <x:c r="E378" t="e">
        <x:f>IF($A378="","",IF(NOT(ISNUMBER(INDEX(대장!$F$1:$F$501,$A378))),"확인 필요",IF(AND(INDEX(대장!$G$1:$G$501,$A378)&lt;&gt;"",NOT(ISNUMBER(INDEX(대장!$G$1:$G$501,$A378)))),"확인 필요",IF(AND(ISNUMBER(INDEX(대장!$G$1:$G$501,$A378)),INDEX(대장!$G$1:$G$501,$A378)&lt;INDEX(대장!$F$1:$F$501,$A378)),"확인 필요",IF(INDEX(대장!$L$1:$L$501,$A378)&lt;&gt;"","메모 있음","정상")))))</x:f>
        <x:v>#NAME?</x:v>
      </x:c>
      <x:c r="F378" t="e">
        <x:f>IF($A378="","",IF($E378="확인 필요","시작일·종료일과 기간 순서를 확인해 주세요.",IF($E378="메모 있음",IFERROR(INDEX(대장!$L$1:$L$501,$A378),""),"")))</x:f>
        <x:v>#NAME?</x:v>
      </x:c>
    </x:row>
    <x:row r="379">
      <x:c r="A379" t="e">
        <x:f>IF(INDEX(대장!$A$1:$A$501,ROW()-2)="","",ROW()-2)</x:f>
        <x:v>#NAME?</x:v>
      </x:c>
      <x:c r="B379" t="e">
        <x:f>IF($A379="","",INDEX(대장!$A$1:$A$501,$A379))</x:f>
        <x:v>#NAME?</x:v>
      </x:c>
      <x:c r="C379" s="46" t="e">
        <x:f>IFERROR(IF($A379="","",INDEX(대장!$F$1:$F$501,$A379)),"")</x:f>
        <x:v>#NAME?</x:v>
      </x:c>
      <x:c r="D379" s="46" t="e">
        <x:f>IFERROR(IF($A379="","",INDEX(대장!$G$1:$G$501,$A379)),"")</x:f>
        <x:v>#NAME?</x:v>
      </x:c>
      <x:c r="E379" t="e">
        <x:f>IF($A379="","",IF(NOT(ISNUMBER(INDEX(대장!$F$1:$F$501,$A379))),"확인 필요",IF(AND(INDEX(대장!$G$1:$G$501,$A379)&lt;&gt;"",NOT(ISNUMBER(INDEX(대장!$G$1:$G$501,$A379)))),"확인 필요",IF(AND(ISNUMBER(INDEX(대장!$G$1:$G$501,$A379)),INDEX(대장!$G$1:$G$501,$A379)&lt;INDEX(대장!$F$1:$F$501,$A379)),"확인 필요",IF(INDEX(대장!$L$1:$L$501,$A379)&lt;&gt;"","메모 있음","정상")))))</x:f>
        <x:v>#NAME?</x:v>
      </x:c>
      <x:c r="F379" t="e">
        <x:f>IF($A379="","",IF($E379="확인 필요","시작일·종료일과 기간 순서를 확인해 주세요.",IF($E379="메모 있음",IFERROR(INDEX(대장!$L$1:$L$501,$A379),""),"")))</x:f>
        <x:v>#NAME?</x:v>
      </x:c>
    </x:row>
    <x:row r="380">
      <x:c r="A380" t="e">
        <x:f>IF(INDEX(대장!$A$1:$A$501,ROW()-2)="","",ROW()-2)</x:f>
        <x:v>#NAME?</x:v>
      </x:c>
      <x:c r="B380" t="e">
        <x:f>IF($A380="","",INDEX(대장!$A$1:$A$501,$A380))</x:f>
        <x:v>#NAME?</x:v>
      </x:c>
      <x:c r="C380" s="46" t="e">
        <x:f>IFERROR(IF($A380="","",INDEX(대장!$F$1:$F$501,$A380)),"")</x:f>
        <x:v>#NAME?</x:v>
      </x:c>
      <x:c r="D380" s="46" t="e">
        <x:f>IFERROR(IF($A380="","",INDEX(대장!$G$1:$G$501,$A380)),"")</x:f>
        <x:v>#NAME?</x:v>
      </x:c>
      <x:c r="E380" t="e">
        <x:f>IF($A380="","",IF(NOT(ISNUMBER(INDEX(대장!$F$1:$F$501,$A380))),"확인 필요",IF(AND(INDEX(대장!$G$1:$G$501,$A380)&lt;&gt;"",NOT(ISNUMBER(INDEX(대장!$G$1:$G$501,$A380)))),"확인 필요",IF(AND(ISNUMBER(INDEX(대장!$G$1:$G$501,$A380)),INDEX(대장!$G$1:$G$501,$A380)&lt;INDEX(대장!$F$1:$F$501,$A380)),"확인 필요",IF(INDEX(대장!$L$1:$L$501,$A380)&lt;&gt;"","메모 있음","정상")))))</x:f>
        <x:v>#NAME?</x:v>
      </x:c>
      <x:c r="F380" t="e">
        <x:f>IF($A380="","",IF($E380="확인 필요","시작일·종료일과 기간 순서를 확인해 주세요.",IF($E380="메모 있음",IFERROR(INDEX(대장!$L$1:$L$501,$A380),""),"")))</x:f>
        <x:v>#NAME?</x:v>
      </x:c>
    </x:row>
    <x:row r="381">
      <x:c r="A381" t="e">
        <x:f>IF(INDEX(대장!$A$1:$A$501,ROW()-2)="","",ROW()-2)</x:f>
        <x:v>#NAME?</x:v>
      </x:c>
      <x:c r="B381" t="e">
        <x:f>IF($A381="","",INDEX(대장!$A$1:$A$501,$A381))</x:f>
        <x:v>#NAME?</x:v>
      </x:c>
      <x:c r="C381" s="46" t="e">
        <x:f>IFERROR(IF($A381="","",INDEX(대장!$F$1:$F$501,$A381)),"")</x:f>
        <x:v>#NAME?</x:v>
      </x:c>
      <x:c r="D381" s="46" t="e">
        <x:f>IFERROR(IF($A381="","",INDEX(대장!$G$1:$G$501,$A381)),"")</x:f>
        <x:v>#NAME?</x:v>
      </x:c>
      <x:c r="E381" t="e">
        <x:f>IF($A381="","",IF(NOT(ISNUMBER(INDEX(대장!$F$1:$F$501,$A381))),"확인 필요",IF(AND(INDEX(대장!$G$1:$G$501,$A381)&lt;&gt;"",NOT(ISNUMBER(INDEX(대장!$G$1:$G$501,$A381)))),"확인 필요",IF(AND(ISNUMBER(INDEX(대장!$G$1:$G$501,$A381)),INDEX(대장!$G$1:$G$501,$A381)&lt;INDEX(대장!$F$1:$F$501,$A381)),"확인 필요",IF(INDEX(대장!$L$1:$L$501,$A381)&lt;&gt;"","메모 있음","정상")))))</x:f>
        <x:v>#NAME?</x:v>
      </x:c>
      <x:c r="F381" t="e">
        <x:f>IF($A381="","",IF($E381="확인 필요","시작일·종료일과 기간 순서를 확인해 주세요.",IF($E381="메모 있음",IFERROR(INDEX(대장!$L$1:$L$501,$A381),""),"")))</x:f>
        <x:v>#NAME?</x:v>
      </x:c>
    </x:row>
    <x:row r="382">
      <x:c r="A382" t="e">
        <x:f>IF(INDEX(대장!$A$1:$A$501,ROW()-2)="","",ROW()-2)</x:f>
        <x:v>#NAME?</x:v>
      </x:c>
      <x:c r="B382" t="e">
        <x:f>IF($A382="","",INDEX(대장!$A$1:$A$501,$A382))</x:f>
        <x:v>#NAME?</x:v>
      </x:c>
      <x:c r="C382" s="46" t="e">
        <x:f>IFERROR(IF($A382="","",INDEX(대장!$F$1:$F$501,$A382)),"")</x:f>
        <x:v>#NAME?</x:v>
      </x:c>
      <x:c r="D382" s="46" t="e">
        <x:f>IFERROR(IF($A382="","",INDEX(대장!$G$1:$G$501,$A382)),"")</x:f>
        <x:v>#NAME?</x:v>
      </x:c>
      <x:c r="E382" t="e">
        <x:f>IF($A382="","",IF(NOT(ISNUMBER(INDEX(대장!$F$1:$F$501,$A382))),"확인 필요",IF(AND(INDEX(대장!$G$1:$G$501,$A382)&lt;&gt;"",NOT(ISNUMBER(INDEX(대장!$G$1:$G$501,$A382)))),"확인 필요",IF(AND(ISNUMBER(INDEX(대장!$G$1:$G$501,$A382)),INDEX(대장!$G$1:$G$501,$A382)&lt;INDEX(대장!$F$1:$F$501,$A382)),"확인 필요",IF(INDEX(대장!$L$1:$L$501,$A382)&lt;&gt;"","메모 있음","정상")))))</x:f>
        <x:v>#NAME?</x:v>
      </x:c>
      <x:c r="F382" t="e">
        <x:f>IF($A382="","",IF($E382="확인 필요","시작일·종료일과 기간 순서를 확인해 주세요.",IF($E382="메모 있음",IFERROR(INDEX(대장!$L$1:$L$501,$A382),""),"")))</x:f>
        <x:v>#NAME?</x:v>
      </x:c>
    </x:row>
    <x:row r="383">
      <x:c r="A383" t="e">
        <x:f>IF(INDEX(대장!$A$1:$A$501,ROW()-2)="","",ROW()-2)</x:f>
        <x:v>#NAME?</x:v>
      </x:c>
      <x:c r="B383" t="e">
        <x:f>IF($A383="","",INDEX(대장!$A$1:$A$501,$A383))</x:f>
        <x:v>#NAME?</x:v>
      </x:c>
      <x:c r="C383" s="46" t="e">
        <x:f>IFERROR(IF($A383="","",INDEX(대장!$F$1:$F$501,$A383)),"")</x:f>
        <x:v>#NAME?</x:v>
      </x:c>
      <x:c r="D383" s="46" t="e">
        <x:f>IFERROR(IF($A383="","",INDEX(대장!$G$1:$G$501,$A383)),"")</x:f>
        <x:v>#NAME?</x:v>
      </x:c>
      <x:c r="E383" t="e">
        <x:f>IF($A383="","",IF(NOT(ISNUMBER(INDEX(대장!$F$1:$F$501,$A383))),"확인 필요",IF(AND(INDEX(대장!$G$1:$G$501,$A383)&lt;&gt;"",NOT(ISNUMBER(INDEX(대장!$G$1:$G$501,$A383)))),"확인 필요",IF(AND(ISNUMBER(INDEX(대장!$G$1:$G$501,$A383)),INDEX(대장!$G$1:$G$501,$A383)&lt;INDEX(대장!$F$1:$F$501,$A383)),"확인 필요",IF(INDEX(대장!$L$1:$L$501,$A383)&lt;&gt;"","메모 있음","정상")))))</x:f>
        <x:v>#NAME?</x:v>
      </x:c>
      <x:c r="F383" t="e">
        <x:f>IF($A383="","",IF($E383="확인 필요","시작일·종료일과 기간 순서를 확인해 주세요.",IF($E383="메모 있음",IFERROR(INDEX(대장!$L$1:$L$501,$A383),""),"")))</x:f>
        <x:v>#NAME?</x:v>
      </x:c>
    </x:row>
    <x:row r="384">
      <x:c r="A384" t="e">
        <x:f>IF(INDEX(대장!$A$1:$A$501,ROW()-2)="","",ROW()-2)</x:f>
        <x:v>#NAME?</x:v>
      </x:c>
      <x:c r="B384" t="e">
        <x:f>IF($A384="","",INDEX(대장!$A$1:$A$501,$A384))</x:f>
        <x:v>#NAME?</x:v>
      </x:c>
      <x:c r="C384" s="46" t="e">
        <x:f>IFERROR(IF($A384="","",INDEX(대장!$F$1:$F$501,$A384)),"")</x:f>
        <x:v>#NAME?</x:v>
      </x:c>
      <x:c r="D384" s="46" t="e">
        <x:f>IFERROR(IF($A384="","",INDEX(대장!$G$1:$G$501,$A384)),"")</x:f>
        <x:v>#NAME?</x:v>
      </x:c>
      <x:c r="E384" t="e">
        <x:f>IF($A384="","",IF(NOT(ISNUMBER(INDEX(대장!$F$1:$F$501,$A384))),"확인 필요",IF(AND(INDEX(대장!$G$1:$G$501,$A384)&lt;&gt;"",NOT(ISNUMBER(INDEX(대장!$G$1:$G$501,$A384)))),"확인 필요",IF(AND(ISNUMBER(INDEX(대장!$G$1:$G$501,$A384)),INDEX(대장!$G$1:$G$501,$A384)&lt;INDEX(대장!$F$1:$F$501,$A384)),"확인 필요",IF(INDEX(대장!$L$1:$L$501,$A384)&lt;&gt;"","메모 있음","정상")))))</x:f>
        <x:v>#NAME?</x:v>
      </x:c>
      <x:c r="F384" t="e">
        <x:f>IF($A384="","",IF($E384="확인 필요","시작일·종료일과 기간 순서를 확인해 주세요.",IF($E384="메모 있음",IFERROR(INDEX(대장!$L$1:$L$501,$A384),""),"")))</x:f>
        <x:v>#NAME?</x:v>
      </x:c>
    </x:row>
    <x:row r="385">
      <x:c r="A385" t="e">
        <x:f>IF(INDEX(대장!$A$1:$A$501,ROW()-2)="","",ROW()-2)</x:f>
        <x:v>#NAME?</x:v>
      </x:c>
      <x:c r="B385" t="e">
        <x:f>IF($A385="","",INDEX(대장!$A$1:$A$501,$A385))</x:f>
        <x:v>#NAME?</x:v>
      </x:c>
      <x:c r="C385" s="46" t="e">
        <x:f>IFERROR(IF($A385="","",INDEX(대장!$F$1:$F$501,$A385)),"")</x:f>
        <x:v>#NAME?</x:v>
      </x:c>
      <x:c r="D385" s="46" t="e">
        <x:f>IFERROR(IF($A385="","",INDEX(대장!$G$1:$G$501,$A385)),"")</x:f>
        <x:v>#NAME?</x:v>
      </x:c>
      <x:c r="E385" t="e">
        <x:f>IF($A385="","",IF(NOT(ISNUMBER(INDEX(대장!$F$1:$F$501,$A385))),"확인 필요",IF(AND(INDEX(대장!$G$1:$G$501,$A385)&lt;&gt;"",NOT(ISNUMBER(INDEX(대장!$G$1:$G$501,$A385)))),"확인 필요",IF(AND(ISNUMBER(INDEX(대장!$G$1:$G$501,$A385)),INDEX(대장!$G$1:$G$501,$A385)&lt;INDEX(대장!$F$1:$F$501,$A385)),"확인 필요",IF(INDEX(대장!$L$1:$L$501,$A385)&lt;&gt;"","메모 있음","정상")))))</x:f>
        <x:v>#NAME?</x:v>
      </x:c>
      <x:c r="F385" t="e">
        <x:f>IF($A385="","",IF($E385="확인 필요","시작일·종료일과 기간 순서를 확인해 주세요.",IF($E385="메모 있음",IFERROR(INDEX(대장!$L$1:$L$501,$A385),""),"")))</x:f>
        <x:v>#NAME?</x:v>
      </x:c>
    </x:row>
    <x:row r="386">
      <x:c r="A386" t="e">
        <x:f>IF(INDEX(대장!$A$1:$A$501,ROW()-2)="","",ROW()-2)</x:f>
        <x:v>#NAME?</x:v>
      </x:c>
      <x:c r="B386" t="e">
        <x:f>IF($A386="","",INDEX(대장!$A$1:$A$501,$A386))</x:f>
        <x:v>#NAME?</x:v>
      </x:c>
      <x:c r="C386" s="46" t="e">
        <x:f>IFERROR(IF($A386="","",INDEX(대장!$F$1:$F$501,$A386)),"")</x:f>
        <x:v>#NAME?</x:v>
      </x:c>
      <x:c r="D386" s="46" t="e">
        <x:f>IFERROR(IF($A386="","",INDEX(대장!$G$1:$G$501,$A386)),"")</x:f>
        <x:v>#NAME?</x:v>
      </x:c>
      <x:c r="E386" t="e">
        <x:f>IF($A386="","",IF(NOT(ISNUMBER(INDEX(대장!$F$1:$F$501,$A386))),"확인 필요",IF(AND(INDEX(대장!$G$1:$G$501,$A386)&lt;&gt;"",NOT(ISNUMBER(INDEX(대장!$G$1:$G$501,$A386)))),"확인 필요",IF(AND(ISNUMBER(INDEX(대장!$G$1:$G$501,$A386)),INDEX(대장!$G$1:$G$501,$A386)&lt;INDEX(대장!$F$1:$F$501,$A386)),"확인 필요",IF(INDEX(대장!$L$1:$L$501,$A386)&lt;&gt;"","메모 있음","정상")))))</x:f>
        <x:v>#NAME?</x:v>
      </x:c>
      <x:c r="F386" t="e">
        <x:f>IF($A386="","",IF($E386="확인 필요","시작일·종료일과 기간 순서를 확인해 주세요.",IF($E386="메모 있음",IFERROR(INDEX(대장!$L$1:$L$501,$A386),""),"")))</x:f>
        <x:v>#NAME?</x:v>
      </x:c>
    </x:row>
    <x:row r="387">
      <x:c r="A387" t="e">
        <x:f>IF(INDEX(대장!$A$1:$A$501,ROW()-2)="","",ROW()-2)</x:f>
        <x:v>#NAME?</x:v>
      </x:c>
      <x:c r="B387" t="e">
        <x:f>IF($A387="","",INDEX(대장!$A$1:$A$501,$A387))</x:f>
        <x:v>#NAME?</x:v>
      </x:c>
      <x:c r="C387" s="46" t="e">
        <x:f>IFERROR(IF($A387="","",INDEX(대장!$F$1:$F$501,$A387)),"")</x:f>
        <x:v>#NAME?</x:v>
      </x:c>
      <x:c r="D387" s="46" t="e">
        <x:f>IFERROR(IF($A387="","",INDEX(대장!$G$1:$G$501,$A387)),"")</x:f>
        <x:v>#NAME?</x:v>
      </x:c>
      <x:c r="E387" t="e">
        <x:f>IF($A387="","",IF(NOT(ISNUMBER(INDEX(대장!$F$1:$F$501,$A387))),"확인 필요",IF(AND(INDEX(대장!$G$1:$G$501,$A387)&lt;&gt;"",NOT(ISNUMBER(INDEX(대장!$G$1:$G$501,$A387)))),"확인 필요",IF(AND(ISNUMBER(INDEX(대장!$G$1:$G$501,$A387)),INDEX(대장!$G$1:$G$501,$A387)&lt;INDEX(대장!$F$1:$F$501,$A387)),"확인 필요",IF(INDEX(대장!$L$1:$L$501,$A387)&lt;&gt;"","메모 있음","정상")))))</x:f>
        <x:v>#NAME?</x:v>
      </x:c>
      <x:c r="F387" t="e">
        <x:f>IF($A387="","",IF($E387="확인 필요","시작일·종료일과 기간 순서를 확인해 주세요.",IF($E387="메모 있음",IFERROR(INDEX(대장!$L$1:$L$501,$A387),""),"")))</x:f>
        <x:v>#NAME?</x:v>
      </x:c>
    </x:row>
    <x:row r="388">
      <x:c r="A388" t="e">
        <x:f>IF(INDEX(대장!$A$1:$A$501,ROW()-2)="","",ROW()-2)</x:f>
        <x:v>#NAME?</x:v>
      </x:c>
      <x:c r="B388" t="e">
        <x:f>IF($A388="","",INDEX(대장!$A$1:$A$501,$A388))</x:f>
        <x:v>#NAME?</x:v>
      </x:c>
      <x:c r="C388" s="46" t="e">
        <x:f>IFERROR(IF($A388="","",INDEX(대장!$F$1:$F$501,$A388)),"")</x:f>
        <x:v>#NAME?</x:v>
      </x:c>
      <x:c r="D388" s="46" t="e">
        <x:f>IFERROR(IF($A388="","",INDEX(대장!$G$1:$G$501,$A388)),"")</x:f>
        <x:v>#NAME?</x:v>
      </x:c>
      <x:c r="E388" t="e">
        <x:f>IF($A388="","",IF(NOT(ISNUMBER(INDEX(대장!$F$1:$F$501,$A388))),"확인 필요",IF(AND(INDEX(대장!$G$1:$G$501,$A388)&lt;&gt;"",NOT(ISNUMBER(INDEX(대장!$G$1:$G$501,$A388)))),"확인 필요",IF(AND(ISNUMBER(INDEX(대장!$G$1:$G$501,$A388)),INDEX(대장!$G$1:$G$501,$A388)&lt;INDEX(대장!$F$1:$F$501,$A388)),"확인 필요",IF(INDEX(대장!$L$1:$L$501,$A388)&lt;&gt;"","메모 있음","정상")))))</x:f>
        <x:v>#NAME?</x:v>
      </x:c>
      <x:c r="F388" t="e">
        <x:f>IF($A388="","",IF($E388="확인 필요","시작일·종료일과 기간 순서를 확인해 주세요.",IF($E388="메모 있음",IFERROR(INDEX(대장!$L$1:$L$501,$A388),""),"")))</x:f>
        <x:v>#NAME?</x:v>
      </x:c>
    </x:row>
    <x:row r="389">
      <x:c r="A389" t="e">
        <x:f>IF(INDEX(대장!$A$1:$A$501,ROW()-2)="","",ROW()-2)</x:f>
        <x:v>#NAME?</x:v>
      </x:c>
      <x:c r="B389" t="e">
        <x:f>IF($A389="","",INDEX(대장!$A$1:$A$501,$A389))</x:f>
        <x:v>#NAME?</x:v>
      </x:c>
      <x:c r="C389" s="46" t="e">
        <x:f>IFERROR(IF($A389="","",INDEX(대장!$F$1:$F$501,$A389)),"")</x:f>
        <x:v>#NAME?</x:v>
      </x:c>
      <x:c r="D389" s="46" t="e">
        <x:f>IFERROR(IF($A389="","",INDEX(대장!$G$1:$G$501,$A389)),"")</x:f>
        <x:v>#NAME?</x:v>
      </x:c>
      <x:c r="E389" t="e">
        <x:f>IF($A389="","",IF(NOT(ISNUMBER(INDEX(대장!$F$1:$F$501,$A389))),"확인 필요",IF(AND(INDEX(대장!$G$1:$G$501,$A389)&lt;&gt;"",NOT(ISNUMBER(INDEX(대장!$G$1:$G$501,$A389)))),"확인 필요",IF(AND(ISNUMBER(INDEX(대장!$G$1:$G$501,$A389)),INDEX(대장!$G$1:$G$501,$A389)&lt;INDEX(대장!$F$1:$F$501,$A389)),"확인 필요",IF(INDEX(대장!$L$1:$L$501,$A389)&lt;&gt;"","메모 있음","정상")))))</x:f>
        <x:v>#NAME?</x:v>
      </x:c>
      <x:c r="F389" t="e">
        <x:f>IF($A389="","",IF($E389="확인 필요","시작일·종료일과 기간 순서를 확인해 주세요.",IF($E389="메모 있음",IFERROR(INDEX(대장!$L$1:$L$501,$A389),""),"")))</x:f>
        <x:v>#NAME?</x:v>
      </x:c>
    </x:row>
    <x:row r="390">
      <x:c r="A390" t="e">
        <x:f>IF(INDEX(대장!$A$1:$A$501,ROW()-2)="","",ROW()-2)</x:f>
        <x:v>#NAME?</x:v>
      </x:c>
      <x:c r="B390" t="e">
        <x:f>IF($A390="","",INDEX(대장!$A$1:$A$501,$A390))</x:f>
        <x:v>#NAME?</x:v>
      </x:c>
      <x:c r="C390" s="46" t="e">
        <x:f>IFERROR(IF($A390="","",INDEX(대장!$F$1:$F$501,$A390)),"")</x:f>
        <x:v>#NAME?</x:v>
      </x:c>
      <x:c r="D390" s="46" t="e">
        <x:f>IFERROR(IF($A390="","",INDEX(대장!$G$1:$G$501,$A390)),"")</x:f>
        <x:v>#NAME?</x:v>
      </x:c>
      <x:c r="E390" t="e">
        <x:f>IF($A390="","",IF(NOT(ISNUMBER(INDEX(대장!$F$1:$F$501,$A390))),"확인 필요",IF(AND(INDEX(대장!$G$1:$G$501,$A390)&lt;&gt;"",NOT(ISNUMBER(INDEX(대장!$G$1:$G$501,$A390)))),"확인 필요",IF(AND(ISNUMBER(INDEX(대장!$G$1:$G$501,$A390)),INDEX(대장!$G$1:$G$501,$A390)&lt;INDEX(대장!$F$1:$F$501,$A390)),"확인 필요",IF(INDEX(대장!$L$1:$L$501,$A390)&lt;&gt;"","메모 있음","정상")))))</x:f>
        <x:v>#NAME?</x:v>
      </x:c>
      <x:c r="F390" t="e">
        <x:f>IF($A390="","",IF($E390="확인 필요","시작일·종료일과 기간 순서를 확인해 주세요.",IF($E390="메모 있음",IFERROR(INDEX(대장!$L$1:$L$501,$A390),""),"")))</x:f>
        <x:v>#NAME?</x:v>
      </x:c>
    </x:row>
    <x:row r="391">
      <x:c r="A391" t="e">
        <x:f>IF(INDEX(대장!$A$1:$A$501,ROW()-2)="","",ROW()-2)</x:f>
        <x:v>#NAME?</x:v>
      </x:c>
      <x:c r="B391" t="e">
        <x:f>IF($A391="","",INDEX(대장!$A$1:$A$501,$A391))</x:f>
        <x:v>#NAME?</x:v>
      </x:c>
      <x:c r="C391" s="46" t="e">
        <x:f>IFERROR(IF($A391="","",INDEX(대장!$F$1:$F$501,$A391)),"")</x:f>
        <x:v>#NAME?</x:v>
      </x:c>
      <x:c r="D391" s="46" t="e">
        <x:f>IFERROR(IF($A391="","",INDEX(대장!$G$1:$G$501,$A391)),"")</x:f>
        <x:v>#NAME?</x:v>
      </x:c>
      <x:c r="E391" t="e">
        <x:f>IF($A391="","",IF(NOT(ISNUMBER(INDEX(대장!$F$1:$F$501,$A391))),"확인 필요",IF(AND(INDEX(대장!$G$1:$G$501,$A391)&lt;&gt;"",NOT(ISNUMBER(INDEX(대장!$G$1:$G$501,$A391)))),"확인 필요",IF(AND(ISNUMBER(INDEX(대장!$G$1:$G$501,$A391)),INDEX(대장!$G$1:$G$501,$A391)&lt;INDEX(대장!$F$1:$F$501,$A391)),"확인 필요",IF(INDEX(대장!$L$1:$L$501,$A391)&lt;&gt;"","메모 있음","정상")))))</x:f>
        <x:v>#NAME?</x:v>
      </x:c>
      <x:c r="F391" t="e">
        <x:f>IF($A391="","",IF($E391="확인 필요","시작일·종료일과 기간 순서를 확인해 주세요.",IF($E391="메모 있음",IFERROR(INDEX(대장!$L$1:$L$501,$A391),""),"")))</x:f>
        <x:v>#NAME?</x:v>
      </x:c>
    </x:row>
    <x:row r="392">
      <x:c r="A392" t="e">
        <x:f>IF(INDEX(대장!$A$1:$A$501,ROW()-2)="","",ROW()-2)</x:f>
        <x:v>#NAME?</x:v>
      </x:c>
      <x:c r="B392" t="e">
        <x:f>IF($A392="","",INDEX(대장!$A$1:$A$501,$A392))</x:f>
        <x:v>#NAME?</x:v>
      </x:c>
      <x:c r="C392" s="46" t="e">
        <x:f>IFERROR(IF($A392="","",INDEX(대장!$F$1:$F$501,$A392)),"")</x:f>
        <x:v>#NAME?</x:v>
      </x:c>
      <x:c r="D392" s="46" t="e">
        <x:f>IFERROR(IF($A392="","",INDEX(대장!$G$1:$G$501,$A392)),"")</x:f>
        <x:v>#NAME?</x:v>
      </x:c>
      <x:c r="E392" t="e">
        <x:f>IF($A392="","",IF(NOT(ISNUMBER(INDEX(대장!$F$1:$F$501,$A392))),"확인 필요",IF(AND(INDEX(대장!$G$1:$G$501,$A392)&lt;&gt;"",NOT(ISNUMBER(INDEX(대장!$G$1:$G$501,$A392)))),"확인 필요",IF(AND(ISNUMBER(INDEX(대장!$G$1:$G$501,$A392)),INDEX(대장!$G$1:$G$501,$A392)&lt;INDEX(대장!$F$1:$F$501,$A392)),"확인 필요",IF(INDEX(대장!$L$1:$L$501,$A392)&lt;&gt;"","메모 있음","정상")))))</x:f>
        <x:v>#NAME?</x:v>
      </x:c>
      <x:c r="F392" t="e">
        <x:f>IF($A392="","",IF($E392="확인 필요","시작일·종료일과 기간 순서를 확인해 주세요.",IF($E392="메모 있음",IFERROR(INDEX(대장!$L$1:$L$501,$A392),""),"")))</x:f>
        <x:v>#NAME?</x:v>
      </x:c>
    </x:row>
    <x:row r="393">
      <x:c r="A393" t="e">
        <x:f>IF(INDEX(대장!$A$1:$A$501,ROW()-2)="","",ROW()-2)</x:f>
        <x:v>#NAME?</x:v>
      </x:c>
      <x:c r="B393" t="e">
        <x:f>IF($A393="","",INDEX(대장!$A$1:$A$501,$A393))</x:f>
        <x:v>#NAME?</x:v>
      </x:c>
      <x:c r="C393" s="46" t="e">
        <x:f>IFERROR(IF($A393="","",INDEX(대장!$F$1:$F$501,$A393)),"")</x:f>
        <x:v>#NAME?</x:v>
      </x:c>
      <x:c r="D393" s="46" t="e">
        <x:f>IFERROR(IF($A393="","",INDEX(대장!$G$1:$G$501,$A393)),"")</x:f>
        <x:v>#NAME?</x:v>
      </x:c>
      <x:c r="E393" t="e">
        <x:f>IF($A393="","",IF(NOT(ISNUMBER(INDEX(대장!$F$1:$F$501,$A393))),"확인 필요",IF(AND(INDEX(대장!$G$1:$G$501,$A393)&lt;&gt;"",NOT(ISNUMBER(INDEX(대장!$G$1:$G$501,$A393)))),"확인 필요",IF(AND(ISNUMBER(INDEX(대장!$G$1:$G$501,$A393)),INDEX(대장!$G$1:$G$501,$A393)&lt;INDEX(대장!$F$1:$F$501,$A393)),"확인 필요",IF(INDEX(대장!$L$1:$L$501,$A393)&lt;&gt;"","메모 있음","정상")))))</x:f>
        <x:v>#NAME?</x:v>
      </x:c>
      <x:c r="F393" t="e">
        <x:f>IF($A393="","",IF($E393="확인 필요","시작일·종료일과 기간 순서를 확인해 주세요.",IF($E393="메모 있음",IFERROR(INDEX(대장!$L$1:$L$501,$A393),""),"")))</x:f>
        <x:v>#NAME?</x:v>
      </x:c>
    </x:row>
    <x:row r="394">
      <x:c r="A394" t="e">
        <x:f>IF(INDEX(대장!$A$1:$A$501,ROW()-2)="","",ROW()-2)</x:f>
        <x:v>#NAME?</x:v>
      </x:c>
      <x:c r="B394" t="e">
        <x:f>IF($A394="","",INDEX(대장!$A$1:$A$501,$A394))</x:f>
        <x:v>#NAME?</x:v>
      </x:c>
      <x:c r="C394" s="46" t="e">
        <x:f>IFERROR(IF($A394="","",INDEX(대장!$F$1:$F$501,$A394)),"")</x:f>
        <x:v>#NAME?</x:v>
      </x:c>
      <x:c r="D394" s="46" t="e">
        <x:f>IFERROR(IF($A394="","",INDEX(대장!$G$1:$G$501,$A394)),"")</x:f>
        <x:v>#NAME?</x:v>
      </x:c>
      <x:c r="E394" t="e">
        <x:f>IF($A394="","",IF(NOT(ISNUMBER(INDEX(대장!$F$1:$F$501,$A394))),"확인 필요",IF(AND(INDEX(대장!$G$1:$G$501,$A394)&lt;&gt;"",NOT(ISNUMBER(INDEX(대장!$G$1:$G$501,$A394)))),"확인 필요",IF(AND(ISNUMBER(INDEX(대장!$G$1:$G$501,$A394)),INDEX(대장!$G$1:$G$501,$A394)&lt;INDEX(대장!$F$1:$F$501,$A394)),"확인 필요",IF(INDEX(대장!$L$1:$L$501,$A394)&lt;&gt;"","메모 있음","정상")))))</x:f>
        <x:v>#NAME?</x:v>
      </x:c>
      <x:c r="F394" t="e">
        <x:f>IF($A394="","",IF($E394="확인 필요","시작일·종료일과 기간 순서를 확인해 주세요.",IF($E394="메모 있음",IFERROR(INDEX(대장!$L$1:$L$501,$A394),""),"")))</x:f>
        <x:v>#NAME?</x:v>
      </x:c>
    </x:row>
    <x:row r="395">
      <x:c r="A395" t="e">
        <x:f>IF(INDEX(대장!$A$1:$A$501,ROW()-2)="","",ROW()-2)</x:f>
        <x:v>#NAME?</x:v>
      </x:c>
      <x:c r="B395" t="e">
        <x:f>IF($A395="","",INDEX(대장!$A$1:$A$501,$A395))</x:f>
        <x:v>#NAME?</x:v>
      </x:c>
      <x:c r="C395" s="46" t="e">
        <x:f>IFERROR(IF($A395="","",INDEX(대장!$F$1:$F$501,$A395)),"")</x:f>
        <x:v>#NAME?</x:v>
      </x:c>
      <x:c r="D395" s="46" t="e">
        <x:f>IFERROR(IF($A395="","",INDEX(대장!$G$1:$G$501,$A395)),"")</x:f>
        <x:v>#NAME?</x:v>
      </x:c>
      <x:c r="E395" t="e">
        <x:f>IF($A395="","",IF(NOT(ISNUMBER(INDEX(대장!$F$1:$F$501,$A395))),"확인 필요",IF(AND(INDEX(대장!$G$1:$G$501,$A395)&lt;&gt;"",NOT(ISNUMBER(INDEX(대장!$G$1:$G$501,$A395)))),"확인 필요",IF(AND(ISNUMBER(INDEX(대장!$G$1:$G$501,$A395)),INDEX(대장!$G$1:$G$501,$A395)&lt;INDEX(대장!$F$1:$F$501,$A395)),"확인 필요",IF(INDEX(대장!$L$1:$L$501,$A395)&lt;&gt;"","메모 있음","정상")))))</x:f>
        <x:v>#NAME?</x:v>
      </x:c>
      <x:c r="F395" t="e">
        <x:f>IF($A395="","",IF($E395="확인 필요","시작일·종료일과 기간 순서를 확인해 주세요.",IF($E395="메모 있음",IFERROR(INDEX(대장!$L$1:$L$501,$A395),""),"")))</x:f>
        <x:v>#NAME?</x:v>
      </x:c>
    </x:row>
    <x:row r="396">
      <x:c r="A396" t="e">
        <x:f>IF(INDEX(대장!$A$1:$A$501,ROW()-2)="","",ROW()-2)</x:f>
        <x:v>#NAME?</x:v>
      </x:c>
      <x:c r="B396" t="e">
        <x:f>IF($A396="","",INDEX(대장!$A$1:$A$501,$A396))</x:f>
        <x:v>#NAME?</x:v>
      </x:c>
      <x:c r="C396" s="46" t="e">
        <x:f>IFERROR(IF($A396="","",INDEX(대장!$F$1:$F$501,$A396)),"")</x:f>
        <x:v>#NAME?</x:v>
      </x:c>
      <x:c r="D396" s="46" t="e">
        <x:f>IFERROR(IF($A396="","",INDEX(대장!$G$1:$G$501,$A396)),"")</x:f>
        <x:v>#NAME?</x:v>
      </x:c>
      <x:c r="E396" t="e">
        <x:f>IF($A396="","",IF(NOT(ISNUMBER(INDEX(대장!$F$1:$F$501,$A396))),"확인 필요",IF(AND(INDEX(대장!$G$1:$G$501,$A396)&lt;&gt;"",NOT(ISNUMBER(INDEX(대장!$G$1:$G$501,$A396)))),"확인 필요",IF(AND(ISNUMBER(INDEX(대장!$G$1:$G$501,$A396)),INDEX(대장!$G$1:$G$501,$A396)&lt;INDEX(대장!$F$1:$F$501,$A396)),"확인 필요",IF(INDEX(대장!$L$1:$L$501,$A396)&lt;&gt;"","메모 있음","정상")))))</x:f>
        <x:v>#NAME?</x:v>
      </x:c>
      <x:c r="F396" t="e">
        <x:f>IF($A396="","",IF($E396="확인 필요","시작일·종료일과 기간 순서를 확인해 주세요.",IF($E396="메모 있음",IFERROR(INDEX(대장!$L$1:$L$501,$A396),""),"")))</x:f>
        <x:v>#NAME?</x:v>
      </x:c>
    </x:row>
    <x:row r="397">
      <x:c r="A397" t="e">
        <x:f>IF(INDEX(대장!$A$1:$A$501,ROW()-2)="","",ROW()-2)</x:f>
        <x:v>#NAME?</x:v>
      </x:c>
      <x:c r="B397" t="e">
        <x:f>IF($A397="","",INDEX(대장!$A$1:$A$501,$A397))</x:f>
        <x:v>#NAME?</x:v>
      </x:c>
      <x:c r="C397" s="46" t="e">
        <x:f>IFERROR(IF($A397="","",INDEX(대장!$F$1:$F$501,$A397)),"")</x:f>
        <x:v>#NAME?</x:v>
      </x:c>
      <x:c r="D397" s="46" t="e">
        <x:f>IFERROR(IF($A397="","",INDEX(대장!$G$1:$G$501,$A397)),"")</x:f>
        <x:v>#NAME?</x:v>
      </x:c>
      <x:c r="E397" t="e">
        <x:f>IF($A397="","",IF(NOT(ISNUMBER(INDEX(대장!$F$1:$F$501,$A397))),"확인 필요",IF(AND(INDEX(대장!$G$1:$G$501,$A397)&lt;&gt;"",NOT(ISNUMBER(INDEX(대장!$G$1:$G$501,$A397)))),"확인 필요",IF(AND(ISNUMBER(INDEX(대장!$G$1:$G$501,$A397)),INDEX(대장!$G$1:$G$501,$A397)&lt;INDEX(대장!$F$1:$F$501,$A397)),"확인 필요",IF(INDEX(대장!$L$1:$L$501,$A397)&lt;&gt;"","메모 있음","정상")))))</x:f>
        <x:v>#NAME?</x:v>
      </x:c>
      <x:c r="F397" t="e">
        <x:f>IF($A397="","",IF($E397="확인 필요","시작일·종료일과 기간 순서를 확인해 주세요.",IF($E397="메모 있음",IFERROR(INDEX(대장!$L$1:$L$501,$A397),""),"")))</x:f>
        <x:v>#NAME?</x:v>
      </x:c>
    </x:row>
    <x:row r="398">
      <x:c r="A398" t="e">
        <x:f>IF(INDEX(대장!$A$1:$A$501,ROW()-2)="","",ROW()-2)</x:f>
        <x:v>#NAME?</x:v>
      </x:c>
      <x:c r="B398" t="e">
        <x:f>IF($A398="","",INDEX(대장!$A$1:$A$501,$A398))</x:f>
        <x:v>#NAME?</x:v>
      </x:c>
      <x:c r="C398" s="46" t="e">
        <x:f>IFERROR(IF($A398="","",INDEX(대장!$F$1:$F$501,$A398)),"")</x:f>
        <x:v>#NAME?</x:v>
      </x:c>
      <x:c r="D398" s="46" t="e">
        <x:f>IFERROR(IF($A398="","",INDEX(대장!$G$1:$G$501,$A398)),"")</x:f>
        <x:v>#NAME?</x:v>
      </x:c>
      <x:c r="E398" t="e">
        <x:f>IF($A398="","",IF(NOT(ISNUMBER(INDEX(대장!$F$1:$F$501,$A398))),"확인 필요",IF(AND(INDEX(대장!$G$1:$G$501,$A398)&lt;&gt;"",NOT(ISNUMBER(INDEX(대장!$G$1:$G$501,$A398)))),"확인 필요",IF(AND(ISNUMBER(INDEX(대장!$G$1:$G$501,$A398)),INDEX(대장!$G$1:$G$501,$A398)&lt;INDEX(대장!$F$1:$F$501,$A398)),"확인 필요",IF(INDEX(대장!$L$1:$L$501,$A398)&lt;&gt;"","메모 있음","정상")))))</x:f>
        <x:v>#NAME?</x:v>
      </x:c>
      <x:c r="F398" t="e">
        <x:f>IF($A398="","",IF($E398="확인 필요","시작일·종료일과 기간 순서를 확인해 주세요.",IF($E398="메모 있음",IFERROR(INDEX(대장!$L$1:$L$501,$A398),""),"")))</x:f>
        <x:v>#NAME?</x:v>
      </x:c>
    </x:row>
    <x:row r="399">
      <x:c r="A399" t="e">
        <x:f>IF(INDEX(대장!$A$1:$A$501,ROW()-2)="","",ROW()-2)</x:f>
        <x:v>#NAME?</x:v>
      </x:c>
      <x:c r="B399" t="e">
        <x:f>IF($A399="","",INDEX(대장!$A$1:$A$501,$A399))</x:f>
        <x:v>#NAME?</x:v>
      </x:c>
      <x:c r="C399" s="46" t="e">
        <x:f>IFERROR(IF($A399="","",INDEX(대장!$F$1:$F$501,$A399)),"")</x:f>
        <x:v>#NAME?</x:v>
      </x:c>
      <x:c r="D399" s="46" t="e">
        <x:f>IFERROR(IF($A399="","",INDEX(대장!$G$1:$G$501,$A399)),"")</x:f>
        <x:v>#NAME?</x:v>
      </x:c>
      <x:c r="E399" t="e">
        <x:f>IF($A399="","",IF(NOT(ISNUMBER(INDEX(대장!$F$1:$F$501,$A399))),"확인 필요",IF(AND(INDEX(대장!$G$1:$G$501,$A399)&lt;&gt;"",NOT(ISNUMBER(INDEX(대장!$G$1:$G$501,$A399)))),"확인 필요",IF(AND(ISNUMBER(INDEX(대장!$G$1:$G$501,$A399)),INDEX(대장!$G$1:$G$501,$A399)&lt;INDEX(대장!$F$1:$F$501,$A399)),"확인 필요",IF(INDEX(대장!$L$1:$L$501,$A399)&lt;&gt;"","메모 있음","정상")))))</x:f>
        <x:v>#NAME?</x:v>
      </x:c>
      <x:c r="F399" t="e">
        <x:f>IF($A399="","",IF($E399="확인 필요","시작일·종료일과 기간 순서를 확인해 주세요.",IF($E399="메모 있음",IFERROR(INDEX(대장!$L$1:$L$501,$A399),""),"")))</x:f>
        <x:v>#NAME?</x:v>
      </x:c>
    </x:row>
    <x:row r="400">
      <x:c r="A400" t="e">
        <x:f>IF(INDEX(대장!$A$1:$A$501,ROW()-2)="","",ROW()-2)</x:f>
        <x:v>#NAME?</x:v>
      </x:c>
      <x:c r="B400" t="e">
        <x:f>IF($A400="","",INDEX(대장!$A$1:$A$501,$A400))</x:f>
        <x:v>#NAME?</x:v>
      </x:c>
      <x:c r="C400" s="46" t="e">
        <x:f>IFERROR(IF($A400="","",INDEX(대장!$F$1:$F$501,$A400)),"")</x:f>
        <x:v>#NAME?</x:v>
      </x:c>
      <x:c r="D400" s="46" t="e">
        <x:f>IFERROR(IF($A400="","",INDEX(대장!$G$1:$G$501,$A400)),"")</x:f>
        <x:v>#NAME?</x:v>
      </x:c>
      <x:c r="E400" t="e">
        <x:f>IF($A400="","",IF(NOT(ISNUMBER(INDEX(대장!$F$1:$F$501,$A400))),"확인 필요",IF(AND(INDEX(대장!$G$1:$G$501,$A400)&lt;&gt;"",NOT(ISNUMBER(INDEX(대장!$G$1:$G$501,$A400)))),"확인 필요",IF(AND(ISNUMBER(INDEX(대장!$G$1:$G$501,$A400)),INDEX(대장!$G$1:$G$501,$A400)&lt;INDEX(대장!$F$1:$F$501,$A400)),"확인 필요",IF(INDEX(대장!$L$1:$L$501,$A400)&lt;&gt;"","메모 있음","정상")))))</x:f>
        <x:v>#NAME?</x:v>
      </x:c>
      <x:c r="F400" t="e">
        <x:f>IF($A400="","",IF($E400="확인 필요","시작일·종료일과 기간 순서를 확인해 주세요.",IF($E400="메모 있음",IFERROR(INDEX(대장!$L$1:$L$501,$A400),""),"")))</x:f>
        <x:v>#NAME?</x:v>
      </x:c>
    </x:row>
    <x:row r="401">
      <x:c r="A401" t="e">
        <x:f>IF(INDEX(대장!$A$1:$A$501,ROW()-2)="","",ROW()-2)</x:f>
        <x:v>#NAME?</x:v>
      </x:c>
      <x:c r="B401" t="e">
        <x:f>IF($A401="","",INDEX(대장!$A$1:$A$501,$A401))</x:f>
        <x:v>#NAME?</x:v>
      </x:c>
      <x:c r="C401" s="46" t="e">
        <x:f>IFERROR(IF($A401="","",INDEX(대장!$F$1:$F$501,$A401)),"")</x:f>
        <x:v>#NAME?</x:v>
      </x:c>
      <x:c r="D401" s="46" t="e">
        <x:f>IFERROR(IF($A401="","",INDEX(대장!$G$1:$G$501,$A401)),"")</x:f>
        <x:v>#NAME?</x:v>
      </x:c>
      <x:c r="E401" t="e">
        <x:f>IF($A401="","",IF(NOT(ISNUMBER(INDEX(대장!$F$1:$F$501,$A401))),"확인 필요",IF(AND(INDEX(대장!$G$1:$G$501,$A401)&lt;&gt;"",NOT(ISNUMBER(INDEX(대장!$G$1:$G$501,$A401)))),"확인 필요",IF(AND(ISNUMBER(INDEX(대장!$G$1:$G$501,$A401)),INDEX(대장!$G$1:$G$501,$A401)&lt;INDEX(대장!$F$1:$F$501,$A401)),"확인 필요",IF(INDEX(대장!$L$1:$L$501,$A401)&lt;&gt;"","메모 있음","정상")))))</x:f>
        <x:v>#NAME?</x:v>
      </x:c>
      <x:c r="F401" t="e">
        <x:f>IF($A401="","",IF($E401="확인 필요","시작일·종료일과 기간 순서를 확인해 주세요.",IF($E401="메모 있음",IFERROR(INDEX(대장!$L$1:$L$501,$A401),""),"")))</x:f>
        <x:v>#NAME?</x:v>
      </x:c>
    </x:row>
    <x:row r="402">
      <x:c r="A402" t="e">
        <x:f>IF(INDEX(대장!$A$1:$A$501,ROW()-2)="","",ROW()-2)</x:f>
        <x:v>#NAME?</x:v>
      </x:c>
      <x:c r="B402" t="e">
        <x:f>IF($A402="","",INDEX(대장!$A$1:$A$501,$A402))</x:f>
        <x:v>#NAME?</x:v>
      </x:c>
      <x:c r="C402" s="46" t="e">
        <x:f>IFERROR(IF($A402="","",INDEX(대장!$F$1:$F$501,$A402)),"")</x:f>
        <x:v>#NAME?</x:v>
      </x:c>
      <x:c r="D402" s="46" t="e">
        <x:f>IFERROR(IF($A402="","",INDEX(대장!$G$1:$G$501,$A402)),"")</x:f>
        <x:v>#NAME?</x:v>
      </x:c>
      <x:c r="E402" t="e">
        <x:f>IF($A402="","",IF(NOT(ISNUMBER(INDEX(대장!$F$1:$F$501,$A402))),"확인 필요",IF(AND(INDEX(대장!$G$1:$G$501,$A402)&lt;&gt;"",NOT(ISNUMBER(INDEX(대장!$G$1:$G$501,$A402)))),"확인 필요",IF(AND(ISNUMBER(INDEX(대장!$G$1:$G$501,$A402)),INDEX(대장!$G$1:$G$501,$A402)&lt;INDEX(대장!$F$1:$F$501,$A402)),"확인 필요",IF(INDEX(대장!$L$1:$L$501,$A402)&lt;&gt;"","메모 있음","정상")))))</x:f>
        <x:v>#NAME?</x:v>
      </x:c>
      <x:c r="F402" t="e">
        <x:f>IF($A402="","",IF($E402="확인 필요","시작일·종료일과 기간 순서를 확인해 주세요.",IF($E402="메모 있음",IFERROR(INDEX(대장!$L$1:$L$501,$A402),""),"")))</x:f>
        <x:v>#NAME?</x:v>
      </x:c>
    </x:row>
    <x:row r="403">
      <x:c r="A403" t="e">
        <x:f>IF(INDEX(대장!$A$1:$A$501,ROW()-2)="","",ROW()-2)</x:f>
        <x:v>#NAME?</x:v>
      </x:c>
      <x:c r="B403" t="e">
        <x:f>IF($A403="","",INDEX(대장!$A$1:$A$501,$A403))</x:f>
        <x:v>#NAME?</x:v>
      </x:c>
      <x:c r="C403" s="46" t="e">
        <x:f>IFERROR(IF($A403="","",INDEX(대장!$F$1:$F$501,$A403)),"")</x:f>
        <x:v>#NAME?</x:v>
      </x:c>
      <x:c r="D403" s="46" t="e">
        <x:f>IFERROR(IF($A403="","",INDEX(대장!$G$1:$G$501,$A403)),"")</x:f>
        <x:v>#NAME?</x:v>
      </x:c>
      <x:c r="E403" t="e">
        <x:f>IF($A403="","",IF(NOT(ISNUMBER(INDEX(대장!$F$1:$F$501,$A403))),"확인 필요",IF(AND(INDEX(대장!$G$1:$G$501,$A403)&lt;&gt;"",NOT(ISNUMBER(INDEX(대장!$G$1:$G$501,$A403)))),"확인 필요",IF(AND(ISNUMBER(INDEX(대장!$G$1:$G$501,$A403)),INDEX(대장!$G$1:$G$501,$A403)&lt;INDEX(대장!$F$1:$F$501,$A403)),"확인 필요",IF(INDEX(대장!$L$1:$L$501,$A403)&lt;&gt;"","메모 있음","정상")))))</x:f>
        <x:v>#NAME?</x:v>
      </x:c>
      <x:c r="F403" t="e">
        <x:f>IF($A403="","",IF($E403="확인 필요","시작일·종료일과 기간 순서를 확인해 주세요.",IF($E403="메모 있음",IFERROR(INDEX(대장!$L$1:$L$501,$A403),""),"")))</x:f>
        <x:v>#NAME?</x:v>
      </x:c>
    </x:row>
    <x:row r="404">
      <x:c r="A404" t="e">
        <x:f>IF(INDEX(대장!$A$1:$A$501,ROW()-2)="","",ROW()-2)</x:f>
        <x:v>#NAME?</x:v>
      </x:c>
      <x:c r="B404" t="e">
        <x:f>IF($A404="","",INDEX(대장!$A$1:$A$501,$A404))</x:f>
        <x:v>#NAME?</x:v>
      </x:c>
      <x:c r="C404" s="46" t="e">
        <x:f>IFERROR(IF($A404="","",INDEX(대장!$F$1:$F$501,$A404)),"")</x:f>
        <x:v>#NAME?</x:v>
      </x:c>
      <x:c r="D404" s="46" t="e">
        <x:f>IFERROR(IF($A404="","",INDEX(대장!$G$1:$G$501,$A404)),"")</x:f>
        <x:v>#NAME?</x:v>
      </x:c>
      <x:c r="E404" t="e">
        <x:f>IF($A404="","",IF(NOT(ISNUMBER(INDEX(대장!$F$1:$F$501,$A404))),"확인 필요",IF(AND(INDEX(대장!$G$1:$G$501,$A404)&lt;&gt;"",NOT(ISNUMBER(INDEX(대장!$G$1:$G$501,$A404)))),"확인 필요",IF(AND(ISNUMBER(INDEX(대장!$G$1:$G$501,$A404)),INDEX(대장!$G$1:$G$501,$A404)&lt;INDEX(대장!$F$1:$F$501,$A404)),"확인 필요",IF(INDEX(대장!$L$1:$L$501,$A404)&lt;&gt;"","메모 있음","정상")))))</x:f>
        <x:v>#NAME?</x:v>
      </x:c>
      <x:c r="F404" t="e">
        <x:f>IF($A404="","",IF($E404="확인 필요","시작일·종료일과 기간 순서를 확인해 주세요.",IF($E404="메모 있음",IFERROR(INDEX(대장!$L$1:$L$501,$A404),""),"")))</x:f>
        <x:v>#NAME?</x:v>
      </x:c>
    </x:row>
    <x:row r="405">
      <x:c r="A405" t="e">
        <x:f>IF(INDEX(대장!$A$1:$A$501,ROW()-2)="","",ROW()-2)</x:f>
        <x:v>#NAME?</x:v>
      </x:c>
      <x:c r="B405" t="e">
        <x:f>IF($A405="","",INDEX(대장!$A$1:$A$501,$A405))</x:f>
        <x:v>#NAME?</x:v>
      </x:c>
      <x:c r="C405" s="46" t="e">
        <x:f>IFERROR(IF($A405="","",INDEX(대장!$F$1:$F$501,$A405)),"")</x:f>
        <x:v>#NAME?</x:v>
      </x:c>
      <x:c r="D405" s="46" t="e">
        <x:f>IFERROR(IF($A405="","",INDEX(대장!$G$1:$G$501,$A405)),"")</x:f>
        <x:v>#NAME?</x:v>
      </x:c>
      <x:c r="E405" t="e">
        <x:f>IF($A405="","",IF(NOT(ISNUMBER(INDEX(대장!$F$1:$F$501,$A405))),"확인 필요",IF(AND(INDEX(대장!$G$1:$G$501,$A405)&lt;&gt;"",NOT(ISNUMBER(INDEX(대장!$G$1:$G$501,$A405)))),"확인 필요",IF(AND(ISNUMBER(INDEX(대장!$G$1:$G$501,$A405)),INDEX(대장!$G$1:$G$501,$A405)&lt;INDEX(대장!$F$1:$F$501,$A405)),"확인 필요",IF(INDEX(대장!$L$1:$L$501,$A405)&lt;&gt;"","메모 있음","정상")))))</x:f>
        <x:v>#NAME?</x:v>
      </x:c>
      <x:c r="F405" t="e">
        <x:f>IF($A405="","",IF($E405="확인 필요","시작일·종료일과 기간 순서를 확인해 주세요.",IF($E405="메모 있음",IFERROR(INDEX(대장!$L$1:$L$501,$A405),""),"")))</x:f>
        <x:v>#NAME?</x:v>
      </x:c>
    </x:row>
    <x:row r="406">
      <x:c r="A406" t="e">
        <x:f>IF(INDEX(대장!$A$1:$A$501,ROW()-2)="","",ROW()-2)</x:f>
        <x:v>#NAME?</x:v>
      </x:c>
      <x:c r="B406" t="e">
        <x:f>IF($A406="","",INDEX(대장!$A$1:$A$501,$A406))</x:f>
        <x:v>#NAME?</x:v>
      </x:c>
      <x:c r="C406" s="46" t="e">
        <x:f>IFERROR(IF($A406="","",INDEX(대장!$F$1:$F$501,$A406)),"")</x:f>
        <x:v>#NAME?</x:v>
      </x:c>
      <x:c r="D406" s="46" t="e">
        <x:f>IFERROR(IF($A406="","",INDEX(대장!$G$1:$G$501,$A406)),"")</x:f>
        <x:v>#NAME?</x:v>
      </x:c>
      <x:c r="E406" t="e">
        <x:f>IF($A406="","",IF(NOT(ISNUMBER(INDEX(대장!$F$1:$F$501,$A406))),"확인 필요",IF(AND(INDEX(대장!$G$1:$G$501,$A406)&lt;&gt;"",NOT(ISNUMBER(INDEX(대장!$G$1:$G$501,$A406)))),"확인 필요",IF(AND(ISNUMBER(INDEX(대장!$G$1:$G$501,$A406)),INDEX(대장!$G$1:$G$501,$A406)&lt;INDEX(대장!$F$1:$F$501,$A406)),"확인 필요",IF(INDEX(대장!$L$1:$L$501,$A406)&lt;&gt;"","메모 있음","정상")))))</x:f>
        <x:v>#NAME?</x:v>
      </x:c>
      <x:c r="F406" t="e">
        <x:f>IF($A406="","",IF($E406="확인 필요","시작일·종료일과 기간 순서를 확인해 주세요.",IF($E406="메모 있음",IFERROR(INDEX(대장!$L$1:$L$501,$A406),""),"")))</x:f>
        <x:v>#NAME?</x:v>
      </x:c>
    </x:row>
    <x:row r="407">
      <x:c r="A407" t="e">
        <x:f>IF(INDEX(대장!$A$1:$A$501,ROW()-2)="","",ROW()-2)</x:f>
        <x:v>#NAME?</x:v>
      </x:c>
      <x:c r="B407" t="e">
        <x:f>IF($A407="","",INDEX(대장!$A$1:$A$501,$A407))</x:f>
        <x:v>#NAME?</x:v>
      </x:c>
      <x:c r="C407" s="46" t="e">
        <x:f>IFERROR(IF($A407="","",INDEX(대장!$F$1:$F$501,$A407)),"")</x:f>
        <x:v>#NAME?</x:v>
      </x:c>
      <x:c r="D407" s="46" t="e">
        <x:f>IFERROR(IF($A407="","",INDEX(대장!$G$1:$G$501,$A407)),"")</x:f>
        <x:v>#NAME?</x:v>
      </x:c>
      <x:c r="E407" t="e">
        <x:f>IF($A407="","",IF(NOT(ISNUMBER(INDEX(대장!$F$1:$F$501,$A407))),"확인 필요",IF(AND(INDEX(대장!$G$1:$G$501,$A407)&lt;&gt;"",NOT(ISNUMBER(INDEX(대장!$G$1:$G$501,$A407)))),"확인 필요",IF(AND(ISNUMBER(INDEX(대장!$G$1:$G$501,$A407)),INDEX(대장!$G$1:$G$501,$A407)&lt;INDEX(대장!$F$1:$F$501,$A407)),"확인 필요",IF(INDEX(대장!$L$1:$L$501,$A407)&lt;&gt;"","메모 있음","정상")))))</x:f>
        <x:v>#NAME?</x:v>
      </x:c>
      <x:c r="F407" t="e">
        <x:f>IF($A407="","",IF($E407="확인 필요","시작일·종료일과 기간 순서를 확인해 주세요.",IF($E407="메모 있음",IFERROR(INDEX(대장!$L$1:$L$501,$A407),""),"")))</x:f>
        <x:v>#NAME?</x:v>
      </x:c>
    </x:row>
    <x:row r="408">
      <x:c r="A408" t="e">
        <x:f>IF(INDEX(대장!$A$1:$A$501,ROW()-2)="","",ROW()-2)</x:f>
        <x:v>#NAME?</x:v>
      </x:c>
      <x:c r="B408" t="e">
        <x:f>IF($A408="","",INDEX(대장!$A$1:$A$501,$A408))</x:f>
        <x:v>#NAME?</x:v>
      </x:c>
      <x:c r="C408" s="46" t="e">
        <x:f>IFERROR(IF($A408="","",INDEX(대장!$F$1:$F$501,$A408)),"")</x:f>
        <x:v>#NAME?</x:v>
      </x:c>
      <x:c r="D408" s="46" t="e">
        <x:f>IFERROR(IF($A408="","",INDEX(대장!$G$1:$G$501,$A408)),"")</x:f>
        <x:v>#NAME?</x:v>
      </x:c>
      <x:c r="E408" t="e">
        <x:f>IF($A408="","",IF(NOT(ISNUMBER(INDEX(대장!$F$1:$F$501,$A408))),"확인 필요",IF(AND(INDEX(대장!$G$1:$G$501,$A408)&lt;&gt;"",NOT(ISNUMBER(INDEX(대장!$G$1:$G$501,$A408)))),"확인 필요",IF(AND(ISNUMBER(INDEX(대장!$G$1:$G$501,$A408)),INDEX(대장!$G$1:$G$501,$A408)&lt;INDEX(대장!$F$1:$F$501,$A408)),"확인 필요",IF(INDEX(대장!$L$1:$L$501,$A408)&lt;&gt;"","메모 있음","정상")))))</x:f>
        <x:v>#NAME?</x:v>
      </x:c>
      <x:c r="F408" t="e">
        <x:f>IF($A408="","",IF($E408="확인 필요","시작일·종료일과 기간 순서를 확인해 주세요.",IF($E408="메모 있음",IFERROR(INDEX(대장!$L$1:$L$501,$A408),""),"")))</x:f>
        <x:v>#NAME?</x:v>
      </x:c>
    </x:row>
    <x:row r="409">
      <x:c r="A409" t="e">
        <x:f>IF(INDEX(대장!$A$1:$A$501,ROW()-2)="","",ROW()-2)</x:f>
        <x:v>#NAME?</x:v>
      </x:c>
      <x:c r="B409" t="e">
        <x:f>IF($A409="","",INDEX(대장!$A$1:$A$501,$A409))</x:f>
        <x:v>#NAME?</x:v>
      </x:c>
      <x:c r="C409" s="46" t="e">
        <x:f>IFERROR(IF($A409="","",INDEX(대장!$F$1:$F$501,$A409)),"")</x:f>
        <x:v>#NAME?</x:v>
      </x:c>
      <x:c r="D409" s="46" t="e">
        <x:f>IFERROR(IF($A409="","",INDEX(대장!$G$1:$G$501,$A409)),"")</x:f>
        <x:v>#NAME?</x:v>
      </x:c>
      <x:c r="E409" t="e">
        <x:f>IF($A409="","",IF(NOT(ISNUMBER(INDEX(대장!$F$1:$F$501,$A409))),"확인 필요",IF(AND(INDEX(대장!$G$1:$G$501,$A409)&lt;&gt;"",NOT(ISNUMBER(INDEX(대장!$G$1:$G$501,$A409)))),"확인 필요",IF(AND(ISNUMBER(INDEX(대장!$G$1:$G$501,$A409)),INDEX(대장!$G$1:$G$501,$A409)&lt;INDEX(대장!$F$1:$F$501,$A409)),"확인 필요",IF(INDEX(대장!$L$1:$L$501,$A409)&lt;&gt;"","메모 있음","정상")))))</x:f>
        <x:v>#NAME?</x:v>
      </x:c>
      <x:c r="F409" t="e">
        <x:f>IF($A409="","",IF($E409="확인 필요","시작일·종료일과 기간 순서를 확인해 주세요.",IF($E409="메모 있음",IFERROR(INDEX(대장!$L$1:$L$501,$A409),""),"")))</x:f>
        <x:v>#NAME?</x:v>
      </x:c>
    </x:row>
    <x:row r="410">
      <x:c r="A410" t="e">
        <x:f>IF(INDEX(대장!$A$1:$A$501,ROW()-2)="","",ROW()-2)</x:f>
        <x:v>#NAME?</x:v>
      </x:c>
      <x:c r="B410" t="e">
        <x:f>IF($A410="","",INDEX(대장!$A$1:$A$501,$A410))</x:f>
        <x:v>#NAME?</x:v>
      </x:c>
      <x:c r="C410" s="46" t="e">
        <x:f>IFERROR(IF($A410="","",INDEX(대장!$F$1:$F$501,$A410)),"")</x:f>
        <x:v>#NAME?</x:v>
      </x:c>
      <x:c r="D410" s="46" t="e">
        <x:f>IFERROR(IF($A410="","",INDEX(대장!$G$1:$G$501,$A410)),"")</x:f>
        <x:v>#NAME?</x:v>
      </x:c>
      <x:c r="E410" t="e">
        <x:f>IF($A410="","",IF(NOT(ISNUMBER(INDEX(대장!$F$1:$F$501,$A410))),"확인 필요",IF(AND(INDEX(대장!$G$1:$G$501,$A410)&lt;&gt;"",NOT(ISNUMBER(INDEX(대장!$G$1:$G$501,$A410)))),"확인 필요",IF(AND(ISNUMBER(INDEX(대장!$G$1:$G$501,$A410)),INDEX(대장!$G$1:$G$501,$A410)&lt;INDEX(대장!$F$1:$F$501,$A410)),"확인 필요",IF(INDEX(대장!$L$1:$L$501,$A410)&lt;&gt;"","메모 있음","정상")))))</x:f>
        <x:v>#NAME?</x:v>
      </x:c>
      <x:c r="F410" t="e">
        <x:f>IF($A410="","",IF($E410="확인 필요","시작일·종료일과 기간 순서를 확인해 주세요.",IF($E410="메모 있음",IFERROR(INDEX(대장!$L$1:$L$501,$A410),""),"")))</x:f>
        <x:v>#NAME?</x:v>
      </x:c>
    </x:row>
    <x:row r="411">
      <x:c r="A411" t="e">
        <x:f>IF(INDEX(대장!$A$1:$A$501,ROW()-2)="","",ROW()-2)</x:f>
        <x:v>#NAME?</x:v>
      </x:c>
      <x:c r="B411" t="e">
        <x:f>IF($A411="","",INDEX(대장!$A$1:$A$501,$A411))</x:f>
        <x:v>#NAME?</x:v>
      </x:c>
      <x:c r="C411" s="46" t="e">
        <x:f>IFERROR(IF($A411="","",INDEX(대장!$F$1:$F$501,$A411)),"")</x:f>
        <x:v>#NAME?</x:v>
      </x:c>
      <x:c r="D411" s="46" t="e">
        <x:f>IFERROR(IF($A411="","",INDEX(대장!$G$1:$G$501,$A411)),"")</x:f>
        <x:v>#NAME?</x:v>
      </x:c>
      <x:c r="E411" t="e">
        <x:f>IF($A411="","",IF(NOT(ISNUMBER(INDEX(대장!$F$1:$F$501,$A411))),"확인 필요",IF(AND(INDEX(대장!$G$1:$G$501,$A411)&lt;&gt;"",NOT(ISNUMBER(INDEX(대장!$G$1:$G$501,$A411)))),"확인 필요",IF(AND(ISNUMBER(INDEX(대장!$G$1:$G$501,$A411)),INDEX(대장!$G$1:$G$501,$A411)&lt;INDEX(대장!$F$1:$F$501,$A411)),"확인 필요",IF(INDEX(대장!$L$1:$L$501,$A411)&lt;&gt;"","메모 있음","정상")))))</x:f>
        <x:v>#NAME?</x:v>
      </x:c>
      <x:c r="F411" t="e">
        <x:f>IF($A411="","",IF($E411="확인 필요","시작일·종료일과 기간 순서를 확인해 주세요.",IF($E411="메모 있음",IFERROR(INDEX(대장!$L$1:$L$501,$A411),""),"")))</x:f>
        <x:v>#NAME?</x:v>
      </x:c>
    </x:row>
    <x:row r="412">
      <x:c r="A412" t="e">
        <x:f>IF(INDEX(대장!$A$1:$A$501,ROW()-2)="","",ROW()-2)</x:f>
        <x:v>#NAME?</x:v>
      </x:c>
      <x:c r="B412" t="e">
        <x:f>IF($A412="","",INDEX(대장!$A$1:$A$501,$A412))</x:f>
        <x:v>#NAME?</x:v>
      </x:c>
      <x:c r="C412" s="46" t="e">
        <x:f>IFERROR(IF($A412="","",INDEX(대장!$F$1:$F$501,$A412)),"")</x:f>
        <x:v>#NAME?</x:v>
      </x:c>
      <x:c r="D412" s="46" t="e">
        <x:f>IFERROR(IF($A412="","",INDEX(대장!$G$1:$G$501,$A412)),"")</x:f>
        <x:v>#NAME?</x:v>
      </x:c>
      <x:c r="E412" t="e">
        <x:f>IF($A412="","",IF(NOT(ISNUMBER(INDEX(대장!$F$1:$F$501,$A412))),"확인 필요",IF(AND(INDEX(대장!$G$1:$G$501,$A412)&lt;&gt;"",NOT(ISNUMBER(INDEX(대장!$G$1:$G$501,$A412)))),"확인 필요",IF(AND(ISNUMBER(INDEX(대장!$G$1:$G$501,$A412)),INDEX(대장!$G$1:$G$501,$A412)&lt;INDEX(대장!$F$1:$F$501,$A412)),"확인 필요",IF(INDEX(대장!$L$1:$L$501,$A412)&lt;&gt;"","메모 있음","정상")))))</x:f>
        <x:v>#NAME?</x:v>
      </x:c>
      <x:c r="F412" t="e">
        <x:f>IF($A412="","",IF($E412="확인 필요","시작일·종료일과 기간 순서를 확인해 주세요.",IF($E412="메모 있음",IFERROR(INDEX(대장!$L$1:$L$501,$A412),""),"")))</x:f>
        <x:v>#NAME?</x:v>
      </x:c>
    </x:row>
    <x:row r="413">
      <x:c r="A413" t="e">
        <x:f>IF(INDEX(대장!$A$1:$A$501,ROW()-2)="","",ROW()-2)</x:f>
        <x:v>#NAME?</x:v>
      </x:c>
      <x:c r="B413" t="e">
        <x:f>IF($A413="","",INDEX(대장!$A$1:$A$501,$A413))</x:f>
        <x:v>#NAME?</x:v>
      </x:c>
      <x:c r="C413" s="46" t="e">
        <x:f>IFERROR(IF($A413="","",INDEX(대장!$F$1:$F$501,$A413)),"")</x:f>
        <x:v>#NAME?</x:v>
      </x:c>
      <x:c r="D413" s="46" t="e">
        <x:f>IFERROR(IF($A413="","",INDEX(대장!$G$1:$G$501,$A413)),"")</x:f>
        <x:v>#NAME?</x:v>
      </x:c>
      <x:c r="E413" t="e">
        <x:f>IF($A413="","",IF(NOT(ISNUMBER(INDEX(대장!$F$1:$F$501,$A413))),"확인 필요",IF(AND(INDEX(대장!$G$1:$G$501,$A413)&lt;&gt;"",NOT(ISNUMBER(INDEX(대장!$G$1:$G$501,$A413)))),"확인 필요",IF(AND(ISNUMBER(INDEX(대장!$G$1:$G$501,$A413)),INDEX(대장!$G$1:$G$501,$A413)&lt;INDEX(대장!$F$1:$F$501,$A413)),"확인 필요",IF(INDEX(대장!$L$1:$L$501,$A413)&lt;&gt;"","메모 있음","정상")))))</x:f>
        <x:v>#NAME?</x:v>
      </x:c>
      <x:c r="F413" t="e">
        <x:f>IF($A413="","",IF($E413="확인 필요","시작일·종료일과 기간 순서를 확인해 주세요.",IF($E413="메모 있음",IFERROR(INDEX(대장!$L$1:$L$501,$A413),""),"")))</x:f>
        <x:v>#NAME?</x:v>
      </x:c>
    </x:row>
    <x:row r="414">
      <x:c r="A414" t="e">
        <x:f>IF(INDEX(대장!$A$1:$A$501,ROW()-2)="","",ROW()-2)</x:f>
        <x:v>#NAME?</x:v>
      </x:c>
      <x:c r="B414" t="e">
        <x:f>IF($A414="","",INDEX(대장!$A$1:$A$501,$A414))</x:f>
        <x:v>#NAME?</x:v>
      </x:c>
      <x:c r="C414" s="46" t="e">
        <x:f>IFERROR(IF($A414="","",INDEX(대장!$F$1:$F$501,$A414)),"")</x:f>
        <x:v>#NAME?</x:v>
      </x:c>
      <x:c r="D414" s="46" t="e">
        <x:f>IFERROR(IF($A414="","",INDEX(대장!$G$1:$G$501,$A414)),"")</x:f>
        <x:v>#NAME?</x:v>
      </x:c>
      <x:c r="E414" t="e">
        <x:f>IF($A414="","",IF(NOT(ISNUMBER(INDEX(대장!$F$1:$F$501,$A414))),"확인 필요",IF(AND(INDEX(대장!$G$1:$G$501,$A414)&lt;&gt;"",NOT(ISNUMBER(INDEX(대장!$G$1:$G$501,$A414)))),"확인 필요",IF(AND(ISNUMBER(INDEX(대장!$G$1:$G$501,$A414)),INDEX(대장!$G$1:$G$501,$A414)&lt;INDEX(대장!$F$1:$F$501,$A414)),"확인 필요",IF(INDEX(대장!$L$1:$L$501,$A414)&lt;&gt;"","메모 있음","정상")))))</x:f>
        <x:v>#NAME?</x:v>
      </x:c>
      <x:c r="F414" t="e">
        <x:f>IF($A414="","",IF($E414="확인 필요","시작일·종료일과 기간 순서를 확인해 주세요.",IF($E414="메모 있음",IFERROR(INDEX(대장!$L$1:$L$501,$A414),""),"")))</x:f>
        <x:v>#NAME?</x:v>
      </x:c>
    </x:row>
    <x:row r="415">
      <x:c r="A415" t="e">
        <x:f>IF(INDEX(대장!$A$1:$A$501,ROW()-2)="","",ROW()-2)</x:f>
        <x:v>#NAME?</x:v>
      </x:c>
      <x:c r="B415" t="e">
        <x:f>IF($A415="","",INDEX(대장!$A$1:$A$501,$A415))</x:f>
        <x:v>#NAME?</x:v>
      </x:c>
      <x:c r="C415" s="46" t="e">
        <x:f>IFERROR(IF($A415="","",INDEX(대장!$F$1:$F$501,$A415)),"")</x:f>
        <x:v>#NAME?</x:v>
      </x:c>
      <x:c r="D415" s="46" t="e">
        <x:f>IFERROR(IF($A415="","",INDEX(대장!$G$1:$G$501,$A415)),"")</x:f>
        <x:v>#NAME?</x:v>
      </x:c>
      <x:c r="E415" t="e">
        <x:f>IF($A415="","",IF(NOT(ISNUMBER(INDEX(대장!$F$1:$F$501,$A415))),"확인 필요",IF(AND(INDEX(대장!$G$1:$G$501,$A415)&lt;&gt;"",NOT(ISNUMBER(INDEX(대장!$G$1:$G$501,$A415)))),"확인 필요",IF(AND(ISNUMBER(INDEX(대장!$G$1:$G$501,$A415)),INDEX(대장!$G$1:$G$501,$A415)&lt;INDEX(대장!$F$1:$F$501,$A415)),"확인 필요",IF(INDEX(대장!$L$1:$L$501,$A415)&lt;&gt;"","메모 있음","정상")))))</x:f>
        <x:v>#NAME?</x:v>
      </x:c>
      <x:c r="F415" t="e">
        <x:f>IF($A415="","",IF($E415="확인 필요","시작일·종료일과 기간 순서를 확인해 주세요.",IF($E415="메모 있음",IFERROR(INDEX(대장!$L$1:$L$501,$A415),""),"")))</x:f>
        <x:v>#NAME?</x:v>
      </x:c>
    </x:row>
    <x:row r="416">
      <x:c r="A416" t="e">
        <x:f>IF(INDEX(대장!$A$1:$A$501,ROW()-2)="","",ROW()-2)</x:f>
        <x:v>#NAME?</x:v>
      </x:c>
      <x:c r="B416" t="e">
        <x:f>IF($A416="","",INDEX(대장!$A$1:$A$501,$A416))</x:f>
        <x:v>#NAME?</x:v>
      </x:c>
      <x:c r="C416" s="46" t="e">
        <x:f>IFERROR(IF($A416="","",INDEX(대장!$F$1:$F$501,$A416)),"")</x:f>
        <x:v>#NAME?</x:v>
      </x:c>
      <x:c r="D416" s="46" t="e">
        <x:f>IFERROR(IF($A416="","",INDEX(대장!$G$1:$G$501,$A416)),"")</x:f>
        <x:v>#NAME?</x:v>
      </x:c>
      <x:c r="E416" t="e">
        <x:f>IF($A416="","",IF(NOT(ISNUMBER(INDEX(대장!$F$1:$F$501,$A416))),"확인 필요",IF(AND(INDEX(대장!$G$1:$G$501,$A416)&lt;&gt;"",NOT(ISNUMBER(INDEX(대장!$G$1:$G$501,$A416)))),"확인 필요",IF(AND(ISNUMBER(INDEX(대장!$G$1:$G$501,$A416)),INDEX(대장!$G$1:$G$501,$A416)&lt;INDEX(대장!$F$1:$F$501,$A416)),"확인 필요",IF(INDEX(대장!$L$1:$L$501,$A416)&lt;&gt;"","메모 있음","정상")))))</x:f>
        <x:v>#NAME?</x:v>
      </x:c>
      <x:c r="F416" t="e">
        <x:f>IF($A416="","",IF($E416="확인 필요","시작일·종료일과 기간 순서를 확인해 주세요.",IF($E416="메모 있음",IFERROR(INDEX(대장!$L$1:$L$501,$A416),""),"")))</x:f>
        <x:v>#NAME?</x:v>
      </x:c>
    </x:row>
    <x:row r="417">
      <x:c r="A417" t="e">
        <x:f>IF(INDEX(대장!$A$1:$A$501,ROW()-2)="","",ROW()-2)</x:f>
        <x:v>#NAME?</x:v>
      </x:c>
      <x:c r="B417" t="e">
        <x:f>IF($A417="","",INDEX(대장!$A$1:$A$501,$A417))</x:f>
        <x:v>#NAME?</x:v>
      </x:c>
      <x:c r="C417" s="46" t="e">
        <x:f>IFERROR(IF($A417="","",INDEX(대장!$F$1:$F$501,$A417)),"")</x:f>
        <x:v>#NAME?</x:v>
      </x:c>
      <x:c r="D417" s="46" t="e">
        <x:f>IFERROR(IF($A417="","",INDEX(대장!$G$1:$G$501,$A417)),"")</x:f>
        <x:v>#NAME?</x:v>
      </x:c>
      <x:c r="E417" t="e">
        <x:f>IF($A417="","",IF(NOT(ISNUMBER(INDEX(대장!$F$1:$F$501,$A417))),"확인 필요",IF(AND(INDEX(대장!$G$1:$G$501,$A417)&lt;&gt;"",NOT(ISNUMBER(INDEX(대장!$G$1:$G$501,$A417)))),"확인 필요",IF(AND(ISNUMBER(INDEX(대장!$G$1:$G$501,$A417)),INDEX(대장!$G$1:$G$501,$A417)&lt;INDEX(대장!$F$1:$F$501,$A417)),"확인 필요",IF(INDEX(대장!$L$1:$L$501,$A417)&lt;&gt;"","메모 있음","정상")))))</x:f>
        <x:v>#NAME?</x:v>
      </x:c>
      <x:c r="F417" t="e">
        <x:f>IF($A417="","",IF($E417="확인 필요","시작일·종료일과 기간 순서를 확인해 주세요.",IF($E417="메모 있음",IFERROR(INDEX(대장!$L$1:$L$501,$A417),""),"")))</x:f>
        <x:v>#NAME?</x:v>
      </x:c>
    </x:row>
    <x:row r="418">
      <x:c r="A418" t="e">
        <x:f>IF(INDEX(대장!$A$1:$A$501,ROW()-2)="","",ROW()-2)</x:f>
        <x:v>#NAME?</x:v>
      </x:c>
      <x:c r="B418" t="e">
        <x:f>IF($A418="","",INDEX(대장!$A$1:$A$501,$A418))</x:f>
        <x:v>#NAME?</x:v>
      </x:c>
      <x:c r="C418" s="46" t="e">
        <x:f>IFERROR(IF($A418="","",INDEX(대장!$F$1:$F$501,$A418)),"")</x:f>
        <x:v>#NAME?</x:v>
      </x:c>
      <x:c r="D418" s="46" t="e">
        <x:f>IFERROR(IF($A418="","",INDEX(대장!$G$1:$G$501,$A418)),"")</x:f>
        <x:v>#NAME?</x:v>
      </x:c>
      <x:c r="E418" t="e">
        <x:f>IF($A418="","",IF(NOT(ISNUMBER(INDEX(대장!$F$1:$F$501,$A418))),"확인 필요",IF(AND(INDEX(대장!$G$1:$G$501,$A418)&lt;&gt;"",NOT(ISNUMBER(INDEX(대장!$G$1:$G$501,$A418)))),"확인 필요",IF(AND(ISNUMBER(INDEX(대장!$G$1:$G$501,$A418)),INDEX(대장!$G$1:$G$501,$A418)&lt;INDEX(대장!$F$1:$F$501,$A418)),"확인 필요",IF(INDEX(대장!$L$1:$L$501,$A418)&lt;&gt;"","메모 있음","정상")))))</x:f>
        <x:v>#NAME?</x:v>
      </x:c>
      <x:c r="F418" t="e">
        <x:f>IF($A418="","",IF($E418="확인 필요","시작일·종료일과 기간 순서를 확인해 주세요.",IF($E418="메모 있음",IFERROR(INDEX(대장!$L$1:$L$501,$A418),""),"")))</x:f>
        <x:v>#NAME?</x:v>
      </x:c>
    </x:row>
    <x:row r="419">
      <x:c r="A419" t="e">
        <x:f>IF(INDEX(대장!$A$1:$A$501,ROW()-2)="","",ROW()-2)</x:f>
        <x:v>#NAME?</x:v>
      </x:c>
      <x:c r="B419" t="e">
        <x:f>IF($A419="","",INDEX(대장!$A$1:$A$501,$A419))</x:f>
        <x:v>#NAME?</x:v>
      </x:c>
      <x:c r="C419" s="46" t="e">
        <x:f>IFERROR(IF($A419="","",INDEX(대장!$F$1:$F$501,$A419)),"")</x:f>
        <x:v>#NAME?</x:v>
      </x:c>
      <x:c r="D419" s="46" t="e">
        <x:f>IFERROR(IF($A419="","",INDEX(대장!$G$1:$G$501,$A419)),"")</x:f>
        <x:v>#NAME?</x:v>
      </x:c>
      <x:c r="E419" t="e">
        <x:f>IF($A419="","",IF(NOT(ISNUMBER(INDEX(대장!$F$1:$F$501,$A419))),"확인 필요",IF(AND(INDEX(대장!$G$1:$G$501,$A419)&lt;&gt;"",NOT(ISNUMBER(INDEX(대장!$G$1:$G$501,$A419)))),"확인 필요",IF(AND(ISNUMBER(INDEX(대장!$G$1:$G$501,$A419)),INDEX(대장!$G$1:$G$501,$A419)&lt;INDEX(대장!$F$1:$F$501,$A419)),"확인 필요",IF(INDEX(대장!$L$1:$L$501,$A419)&lt;&gt;"","메모 있음","정상")))))</x:f>
        <x:v>#NAME?</x:v>
      </x:c>
      <x:c r="F419" t="e">
        <x:f>IF($A419="","",IF($E419="확인 필요","시작일·종료일과 기간 순서를 확인해 주세요.",IF($E419="메모 있음",IFERROR(INDEX(대장!$L$1:$L$501,$A419),""),"")))</x:f>
        <x:v>#NAME?</x:v>
      </x:c>
    </x:row>
    <x:row r="420">
      <x:c r="A420" t="e">
        <x:f>IF(INDEX(대장!$A$1:$A$501,ROW()-2)="","",ROW()-2)</x:f>
        <x:v>#NAME?</x:v>
      </x:c>
      <x:c r="B420" t="e">
        <x:f>IF($A420="","",INDEX(대장!$A$1:$A$501,$A420))</x:f>
        <x:v>#NAME?</x:v>
      </x:c>
      <x:c r="C420" s="46" t="e">
        <x:f>IFERROR(IF($A420="","",INDEX(대장!$F$1:$F$501,$A420)),"")</x:f>
        <x:v>#NAME?</x:v>
      </x:c>
      <x:c r="D420" s="46" t="e">
        <x:f>IFERROR(IF($A420="","",INDEX(대장!$G$1:$G$501,$A420)),"")</x:f>
        <x:v>#NAME?</x:v>
      </x:c>
      <x:c r="E420" t="e">
        <x:f>IF($A420="","",IF(NOT(ISNUMBER(INDEX(대장!$F$1:$F$501,$A420))),"확인 필요",IF(AND(INDEX(대장!$G$1:$G$501,$A420)&lt;&gt;"",NOT(ISNUMBER(INDEX(대장!$G$1:$G$501,$A420)))),"확인 필요",IF(AND(ISNUMBER(INDEX(대장!$G$1:$G$501,$A420)),INDEX(대장!$G$1:$G$501,$A420)&lt;INDEX(대장!$F$1:$F$501,$A420)),"확인 필요",IF(INDEX(대장!$L$1:$L$501,$A420)&lt;&gt;"","메모 있음","정상")))))</x:f>
        <x:v>#NAME?</x:v>
      </x:c>
      <x:c r="F420" t="e">
        <x:f>IF($A420="","",IF($E420="확인 필요","시작일·종료일과 기간 순서를 확인해 주세요.",IF($E420="메모 있음",IFERROR(INDEX(대장!$L$1:$L$501,$A420),""),"")))</x:f>
        <x:v>#NAME?</x:v>
      </x:c>
    </x:row>
    <x:row r="421">
      <x:c r="A421" t="e">
        <x:f>IF(INDEX(대장!$A$1:$A$501,ROW()-2)="","",ROW()-2)</x:f>
        <x:v>#NAME?</x:v>
      </x:c>
      <x:c r="B421" t="e">
        <x:f>IF($A421="","",INDEX(대장!$A$1:$A$501,$A421))</x:f>
        <x:v>#NAME?</x:v>
      </x:c>
      <x:c r="C421" s="46" t="e">
        <x:f>IFERROR(IF($A421="","",INDEX(대장!$F$1:$F$501,$A421)),"")</x:f>
        <x:v>#NAME?</x:v>
      </x:c>
      <x:c r="D421" s="46" t="e">
        <x:f>IFERROR(IF($A421="","",INDEX(대장!$G$1:$G$501,$A421)),"")</x:f>
        <x:v>#NAME?</x:v>
      </x:c>
      <x:c r="E421" t="e">
        <x:f>IF($A421="","",IF(NOT(ISNUMBER(INDEX(대장!$F$1:$F$501,$A421))),"확인 필요",IF(AND(INDEX(대장!$G$1:$G$501,$A421)&lt;&gt;"",NOT(ISNUMBER(INDEX(대장!$G$1:$G$501,$A421)))),"확인 필요",IF(AND(ISNUMBER(INDEX(대장!$G$1:$G$501,$A421)),INDEX(대장!$G$1:$G$501,$A421)&lt;INDEX(대장!$F$1:$F$501,$A421)),"확인 필요",IF(INDEX(대장!$L$1:$L$501,$A421)&lt;&gt;"","메모 있음","정상")))))</x:f>
        <x:v>#NAME?</x:v>
      </x:c>
      <x:c r="F421" t="e">
        <x:f>IF($A421="","",IF($E421="확인 필요","시작일·종료일과 기간 순서를 확인해 주세요.",IF($E421="메모 있음",IFERROR(INDEX(대장!$L$1:$L$501,$A421),""),"")))</x:f>
        <x:v>#NAME?</x:v>
      </x:c>
    </x:row>
    <x:row r="422">
      <x:c r="A422" t="e">
        <x:f>IF(INDEX(대장!$A$1:$A$501,ROW()-2)="","",ROW()-2)</x:f>
        <x:v>#NAME?</x:v>
      </x:c>
      <x:c r="B422" t="e">
        <x:f>IF($A422="","",INDEX(대장!$A$1:$A$501,$A422))</x:f>
        <x:v>#NAME?</x:v>
      </x:c>
      <x:c r="C422" s="46" t="e">
        <x:f>IFERROR(IF($A422="","",INDEX(대장!$F$1:$F$501,$A422)),"")</x:f>
        <x:v>#NAME?</x:v>
      </x:c>
      <x:c r="D422" s="46" t="e">
        <x:f>IFERROR(IF($A422="","",INDEX(대장!$G$1:$G$501,$A422)),"")</x:f>
        <x:v>#NAME?</x:v>
      </x:c>
      <x:c r="E422" t="e">
        <x:f>IF($A422="","",IF(NOT(ISNUMBER(INDEX(대장!$F$1:$F$501,$A422))),"확인 필요",IF(AND(INDEX(대장!$G$1:$G$501,$A422)&lt;&gt;"",NOT(ISNUMBER(INDEX(대장!$G$1:$G$501,$A422)))),"확인 필요",IF(AND(ISNUMBER(INDEX(대장!$G$1:$G$501,$A422)),INDEX(대장!$G$1:$G$501,$A422)&lt;INDEX(대장!$F$1:$F$501,$A422)),"확인 필요",IF(INDEX(대장!$L$1:$L$501,$A422)&lt;&gt;"","메모 있음","정상")))))</x:f>
        <x:v>#NAME?</x:v>
      </x:c>
      <x:c r="F422" t="e">
        <x:f>IF($A422="","",IF($E422="확인 필요","시작일·종료일과 기간 순서를 확인해 주세요.",IF($E422="메모 있음",IFERROR(INDEX(대장!$L$1:$L$501,$A422),""),"")))</x:f>
        <x:v>#NAME?</x:v>
      </x:c>
    </x:row>
    <x:row r="423">
      <x:c r="A423" t="e">
        <x:f>IF(INDEX(대장!$A$1:$A$501,ROW()-2)="","",ROW()-2)</x:f>
        <x:v>#NAME?</x:v>
      </x:c>
      <x:c r="B423" t="e">
        <x:f>IF($A423="","",INDEX(대장!$A$1:$A$501,$A423))</x:f>
        <x:v>#NAME?</x:v>
      </x:c>
      <x:c r="C423" s="46" t="e">
        <x:f>IFERROR(IF($A423="","",INDEX(대장!$F$1:$F$501,$A423)),"")</x:f>
        <x:v>#NAME?</x:v>
      </x:c>
      <x:c r="D423" s="46" t="e">
        <x:f>IFERROR(IF($A423="","",INDEX(대장!$G$1:$G$501,$A423)),"")</x:f>
        <x:v>#NAME?</x:v>
      </x:c>
      <x:c r="E423" t="e">
        <x:f>IF($A423="","",IF(NOT(ISNUMBER(INDEX(대장!$F$1:$F$501,$A423))),"확인 필요",IF(AND(INDEX(대장!$G$1:$G$501,$A423)&lt;&gt;"",NOT(ISNUMBER(INDEX(대장!$G$1:$G$501,$A423)))),"확인 필요",IF(AND(ISNUMBER(INDEX(대장!$G$1:$G$501,$A423)),INDEX(대장!$G$1:$G$501,$A423)&lt;INDEX(대장!$F$1:$F$501,$A423)),"확인 필요",IF(INDEX(대장!$L$1:$L$501,$A423)&lt;&gt;"","메모 있음","정상")))))</x:f>
        <x:v>#NAME?</x:v>
      </x:c>
      <x:c r="F423" t="e">
        <x:f>IF($A423="","",IF($E423="확인 필요","시작일·종료일과 기간 순서를 확인해 주세요.",IF($E423="메모 있음",IFERROR(INDEX(대장!$L$1:$L$501,$A423),""),"")))</x:f>
        <x:v>#NAME?</x:v>
      </x:c>
    </x:row>
    <x:row r="424">
      <x:c r="A424" t="e">
        <x:f>IF(INDEX(대장!$A$1:$A$501,ROW()-2)="","",ROW()-2)</x:f>
        <x:v>#NAME?</x:v>
      </x:c>
      <x:c r="B424" t="e">
        <x:f>IF($A424="","",INDEX(대장!$A$1:$A$501,$A424))</x:f>
        <x:v>#NAME?</x:v>
      </x:c>
      <x:c r="C424" s="46" t="e">
        <x:f>IFERROR(IF($A424="","",INDEX(대장!$F$1:$F$501,$A424)),"")</x:f>
        <x:v>#NAME?</x:v>
      </x:c>
      <x:c r="D424" s="46" t="e">
        <x:f>IFERROR(IF($A424="","",INDEX(대장!$G$1:$G$501,$A424)),"")</x:f>
        <x:v>#NAME?</x:v>
      </x:c>
      <x:c r="E424" t="e">
        <x:f>IF($A424="","",IF(NOT(ISNUMBER(INDEX(대장!$F$1:$F$501,$A424))),"확인 필요",IF(AND(INDEX(대장!$G$1:$G$501,$A424)&lt;&gt;"",NOT(ISNUMBER(INDEX(대장!$G$1:$G$501,$A424)))),"확인 필요",IF(AND(ISNUMBER(INDEX(대장!$G$1:$G$501,$A424)),INDEX(대장!$G$1:$G$501,$A424)&lt;INDEX(대장!$F$1:$F$501,$A424)),"확인 필요",IF(INDEX(대장!$L$1:$L$501,$A424)&lt;&gt;"","메모 있음","정상")))))</x:f>
        <x:v>#NAME?</x:v>
      </x:c>
      <x:c r="F424" t="e">
        <x:f>IF($A424="","",IF($E424="확인 필요","시작일·종료일과 기간 순서를 확인해 주세요.",IF($E424="메모 있음",IFERROR(INDEX(대장!$L$1:$L$501,$A424),""),"")))</x:f>
        <x:v>#NAME?</x:v>
      </x:c>
    </x:row>
    <x:row r="425">
      <x:c r="A425" t="e">
        <x:f>IF(INDEX(대장!$A$1:$A$501,ROW()-2)="","",ROW()-2)</x:f>
        <x:v>#NAME?</x:v>
      </x:c>
      <x:c r="B425" t="e">
        <x:f>IF($A425="","",INDEX(대장!$A$1:$A$501,$A425))</x:f>
        <x:v>#NAME?</x:v>
      </x:c>
      <x:c r="C425" s="46" t="e">
        <x:f>IFERROR(IF($A425="","",INDEX(대장!$F$1:$F$501,$A425)),"")</x:f>
        <x:v>#NAME?</x:v>
      </x:c>
      <x:c r="D425" s="46" t="e">
        <x:f>IFERROR(IF($A425="","",INDEX(대장!$G$1:$G$501,$A425)),"")</x:f>
        <x:v>#NAME?</x:v>
      </x:c>
      <x:c r="E425" t="e">
        <x:f>IF($A425="","",IF(NOT(ISNUMBER(INDEX(대장!$F$1:$F$501,$A425))),"확인 필요",IF(AND(INDEX(대장!$G$1:$G$501,$A425)&lt;&gt;"",NOT(ISNUMBER(INDEX(대장!$G$1:$G$501,$A425)))),"확인 필요",IF(AND(ISNUMBER(INDEX(대장!$G$1:$G$501,$A425)),INDEX(대장!$G$1:$G$501,$A425)&lt;INDEX(대장!$F$1:$F$501,$A425)),"확인 필요",IF(INDEX(대장!$L$1:$L$501,$A425)&lt;&gt;"","메모 있음","정상")))))</x:f>
        <x:v>#NAME?</x:v>
      </x:c>
      <x:c r="F425" t="e">
        <x:f>IF($A425="","",IF($E425="확인 필요","시작일·종료일과 기간 순서를 확인해 주세요.",IF($E425="메모 있음",IFERROR(INDEX(대장!$L$1:$L$501,$A425),""),"")))</x:f>
        <x:v>#NAME?</x:v>
      </x:c>
    </x:row>
    <x:row r="426">
      <x:c r="A426" t="e">
        <x:f>IF(INDEX(대장!$A$1:$A$501,ROW()-2)="","",ROW()-2)</x:f>
        <x:v>#NAME?</x:v>
      </x:c>
      <x:c r="B426" t="e">
        <x:f>IF($A426="","",INDEX(대장!$A$1:$A$501,$A426))</x:f>
        <x:v>#NAME?</x:v>
      </x:c>
      <x:c r="C426" s="46" t="e">
        <x:f>IFERROR(IF($A426="","",INDEX(대장!$F$1:$F$501,$A426)),"")</x:f>
        <x:v>#NAME?</x:v>
      </x:c>
      <x:c r="D426" s="46" t="e">
        <x:f>IFERROR(IF($A426="","",INDEX(대장!$G$1:$G$501,$A426)),"")</x:f>
        <x:v>#NAME?</x:v>
      </x:c>
      <x:c r="E426" t="e">
        <x:f>IF($A426="","",IF(NOT(ISNUMBER(INDEX(대장!$F$1:$F$501,$A426))),"확인 필요",IF(AND(INDEX(대장!$G$1:$G$501,$A426)&lt;&gt;"",NOT(ISNUMBER(INDEX(대장!$G$1:$G$501,$A426)))),"확인 필요",IF(AND(ISNUMBER(INDEX(대장!$G$1:$G$501,$A426)),INDEX(대장!$G$1:$G$501,$A426)&lt;INDEX(대장!$F$1:$F$501,$A426)),"확인 필요",IF(INDEX(대장!$L$1:$L$501,$A426)&lt;&gt;"","메모 있음","정상")))))</x:f>
        <x:v>#NAME?</x:v>
      </x:c>
      <x:c r="F426" t="e">
        <x:f>IF($A426="","",IF($E426="확인 필요","시작일·종료일과 기간 순서를 확인해 주세요.",IF($E426="메모 있음",IFERROR(INDEX(대장!$L$1:$L$501,$A426),""),"")))</x:f>
        <x:v>#NAME?</x:v>
      </x:c>
    </x:row>
    <x:row r="427">
      <x:c r="A427" t="e">
        <x:f>IF(INDEX(대장!$A$1:$A$501,ROW()-2)="","",ROW()-2)</x:f>
        <x:v>#NAME?</x:v>
      </x:c>
      <x:c r="B427" t="e">
        <x:f>IF($A427="","",INDEX(대장!$A$1:$A$501,$A427))</x:f>
        <x:v>#NAME?</x:v>
      </x:c>
      <x:c r="C427" s="46" t="e">
        <x:f>IFERROR(IF($A427="","",INDEX(대장!$F$1:$F$501,$A427)),"")</x:f>
        <x:v>#NAME?</x:v>
      </x:c>
      <x:c r="D427" s="46" t="e">
        <x:f>IFERROR(IF($A427="","",INDEX(대장!$G$1:$G$501,$A427)),"")</x:f>
        <x:v>#NAME?</x:v>
      </x:c>
      <x:c r="E427" t="e">
        <x:f>IF($A427="","",IF(NOT(ISNUMBER(INDEX(대장!$F$1:$F$501,$A427))),"확인 필요",IF(AND(INDEX(대장!$G$1:$G$501,$A427)&lt;&gt;"",NOT(ISNUMBER(INDEX(대장!$G$1:$G$501,$A427)))),"확인 필요",IF(AND(ISNUMBER(INDEX(대장!$G$1:$G$501,$A427)),INDEX(대장!$G$1:$G$501,$A427)&lt;INDEX(대장!$F$1:$F$501,$A427)),"확인 필요",IF(INDEX(대장!$L$1:$L$501,$A427)&lt;&gt;"","메모 있음","정상")))))</x:f>
        <x:v>#NAME?</x:v>
      </x:c>
      <x:c r="F427" t="e">
        <x:f>IF($A427="","",IF($E427="확인 필요","시작일·종료일과 기간 순서를 확인해 주세요.",IF($E427="메모 있음",IFERROR(INDEX(대장!$L$1:$L$501,$A427),""),"")))</x:f>
        <x:v>#NAME?</x:v>
      </x:c>
    </x:row>
    <x:row r="428">
      <x:c r="A428" t="e">
        <x:f>IF(INDEX(대장!$A$1:$A$501,ROW()-2)="","",ROW()-2)</x:f>
        <x:v>#NAME?</x:v>
      </x:c>
      <x:c r="B428" t="e">
        <x:f>IF($A428="","",INDEX(대장!$A$1:$A$501,$A428))</x:f>
        <x:v>#NAME?</x:v>
      </x:c>
      <x:c r="C428" s="46" t="e">
        <x:f>IFERROR(IF($A428="","",INDEX(대장!$F$1:$F$501,$A428)),"")</x:f>
        <x:v>#NAME?</x:v>
      </x:c>
      <x:c r="D428" s="46" t="e">
        <x:f>IFERROR(IF($A428="","",INDEX(대장!$G$1:$G$501,$A428)),"")</x:f>
        <x:v>#NAME?</x:v>
      </x:c>
      <x:c r="E428" t="e">
        <x:f>IF($A428="","",IF(NOT(ISNUMBER(INDEX(대장!$F$1:$F$501,$A428))),"확인 필요",IF(AND(INDEX(대장!$G$1:$G$501,$A428)&lt;&gt;"",NOT(ISNUMBER(INDEX(대장!$G$1:$G$501,$A428)))),"확인 필요",IF(AND(ISNUMBER(INDEX(대장!$G$1:$G$501,$A428)),INDEX(대장!$G$1:$G$501,$A428)&lt;INDEX(대장!$F$1:$F$501,$A428)),"확인 필요",IF(INDEX(대장!$L$1:$L$501,$A428)&lt;&gt;"","메모 있음","정상")))))</x:f>
        <x:v>#NAME?</x:v>
      </x:c>
      <x:c r="F428" t="e">
        <x:f>IF($A428="","",IF($E428="확인 필요","시작일·종료일과 기간 순서를 확인해 주세요.",IF($E428="메모 있음",IFERROR(INDEX(대장!$L$1:$L$501,$A428),""),"")))</x:f>
        <x:v>#NAME?</x:v>
      </x:c>
    </x:row>
    <x:row r="429">
      <x:c r="A429" t="e">
        <x:f>IF(INDEX(대장!$A$1:$A$501,ROW()-2)="","",ROW()-2)</x:f>
        <x:v>#NAME?</x:v>
      </x:c>
      <x:c r="B429" t="e">
        <x:f>IF($A429="","",INDEX(대장!$A$1:$A$501,$A429))</x:f>
        <x:v>#NAME?</x:v>
      </x:c>
      <x:c r="C429" s="46" t="e">
        <x:f>IFERROR(IF($A429="","",INDEX(대장!$F$1:$F$501,$A429)),"")</x:f>
        <x:v>#NAME?</x:v>
      </x:c>
      <x:c r="D429" s="46" t="e">
        <x:f>IFERROR(IF($A429="","",INDEX(대장!$G$1:$G$501,$A429)),"")</x:f>
        <x:v>#NAME?</x:v>
      </x:c>
      <x:c r="E429" t="e">
        <x:f>IF($A429="","",IF(NOT(ISNUMBER(INDEX(대장!$F$1:$F$501,$A429))),"확인 필요",IF(AND(INDEX(대장!$G$1:$G$501,$A429)&lt;&gt;"",NOT(ISNUMBER(INDEX(대장!$G$1:$G$501,$A429)))),"확인 필요",IF(AND(ISNUMBER(INDEX(대장!$G$1:$G$501,$A429)),INDEX(대장!$G$1:$G$501,$A429)&lt;INDEX(대장!$F$1:$F$501,$A429)),"확인 필요",IF(INDEX(대장!$L$1:$L$501,$A429)&lt;&gt;"","메모 있음","정상")))))</x:f>
        <x:v>#NAME?</x:v>
      </x:c>
      <x:c r="F429" t="e">
        <x:f>IF($A429="","",IF($E429="확인 필요","시작일·종료일과 기간 순서를 확인해 주세요.",IF($E429="메모 있음",IFERROR(INDEX(대장!$L$1:$L$501,$A429),""),"")))</x:f>
        <x:v>#NAME?</x:v>
      </x:c>
    </x:row>
    <x:row r="430">
      <x:c r="A430" t="e">
        <x:f>IF(INDEX(대장!$A$1:$A$501,ROW()-2)="","",ROW()-2)</x:f>
        <x:v>#NAME?</x:v>
      </x:c>
      <x:c r="B430" t="e">
        <x:f>IF($A430="","",INDEX(대장!$A$1:$A$501,$A430))</x:f>
        <x:v>#NAME?</x:v>
      </x:c>
      <x:c r="C430" s="46" t="e">
        <x:f>IFERROR(IF($A430="","",INDEX(대장!$F$1:$F$501,$A430)),"")</x:f>
        <x:v>#NAME?</x:v>
      </x:c>
      <x:c r="D430" s="46" t="e">
        <x:f>IFERROR(IF($A430="","",INDEX(대장!$G$1:$G$501,$A430)),"")</x:f>
        <x:v>#NAME?</x:v>
      </x:c>
      <x:c r="E430" t="e">
        <x:f>IF($A430="","",IF(NOT(ISNUMBER(INDEX(대장!$F$1:$F$501,$A430))),"확인 필요",IF(AND(INDEX(대장!$G$1:$G$501,$A430)&lt;&gt;"",NOT(ISNUMBER(INDEX(대장!$G$1:$G$501,$A430)))),"확인 필요",IF(AND(ISNUMBER(INDEX(대장!$G$1:$G$501,$A430)),INDEX(대장!$G$1:$G$501,$A430)&lt;INDEX(대장!$F$1:$F$501,$A430)),"확인 필요",IF(INDEX(대장!$L$1:$L$501,$A430)&lt;&gt;"","메모 있음","정상")))))</x:f>
        <x:v>#NAME?</x:v>
      </x:c>
      <x:c r="F430" t="e">
        <x:f>IF($A430="","",IF($E430="확인 필요","시작일·종료일과 기간 순서를 확인해 주세요.",IF($E430="메모 있음",IFERROR(INDEX(대장!$L$1:$L$501,$A430),""),"")))</x:f>
        <x:v>#NAME?</x:v>
      </x:c>
    </x:row>
    <x:row r="431">
      <x:c r="A431" t="e">
        <x:f>IF(INDEX(대장!$A$1:$A$501,ROW()-2)="","",ROW()-2)</x:f>
        <x:v>#NAME?</x:v>
      </x:c>
      <x:c r="B431" t="e">
        <x:f>IF($A431="","",INDEX(대장!$A$1:$A$501,$A431))</x:f>
        <x:v>#NAME?</x:v>
      </x:c>
      <x:c r="C431" s="46" t="e">
        <x:f>IFERROR(IF($A431="","",INDEX(대장!$F$1:$F$501,$A431)),"")</x:f>
        <x:v>#NAME?</x:v>
      </x:c>
      <x:c r="D431" s="46" t="e">
        <x:f>IFERROR(IF($A431="","",INDEX(대장!$G$1:$G$501,$A431)),"")</x:f>
        <x:v>#NAME?</x:v>
      </x:c>
      <x:c r="E431" t="e">
        <x:f>IF($A431="","",IF(NOT(ISNUMBER(INDEX(대장!$F$1:$F$501,$A431))),"확인 필요",IF(AND(INDEX(대장!$G$1:$G$501,$A431)&lt;&gt;"",NOT(ISNUMBER(INDEX(대장!$G$1:$G$501,$A431)))),"확인 필요",IF(AND(ISNUMBER(INDEX(대장!$G$1:$G$501,$A431)),INDEX(대장!$G$1:$G$501,$A431)&lt;INDEX(대장!$F$1:$F$501,$A431)),"확인 필요",IF(INDEX(대장!$L$1:$L$501,$A431)&lt;&gt;"","메모 있음","정상")))))</x:f>
        <x:v>#NAME?</x:v>
      </x:c>
      <x:c r="F431" t="e">
        <x:f>IF($A431="","",IF($E431="확인 필요","시작일·종료일과 기간 순서를 확인해 주세요.",IF($E431="메모 있음",IFERROR(INDEX(대장!$L$1:$L$501,$A431),""),"")))</x:f>
        <x:v>#NAME?</x:v>
      </x:c>
    </x:row>
    <x:row r="432">
      <x:c r="A432" t="e">
        <x:f>IF(INDEX(대장!$A$1:$A$501,ROW()-2)="","",ROW()-2)</x:f>
        <x:v>#NAME?</x:v>
      </x:c>
      <x:c r="B432" t="e">
        <x:f>IF($A432="","",INDEX(대장!$A$1:$A$501,$A432))</x:f>
        <x:v>#NAME?</x:v>
      </x:c>
      <x:c r="C432" s="46" t="e">
        <x:f>IFERROR(IF($A432="","",INDEX(대장!$F$1:$F$501,$A432)),"")</x:f>
        <x:v>#NAME?</x:v>
      </x:c>
      <x:c r="D432" s="46" t="e">
        <x:f>IFERROR(IF($A432="","",INDEX(대장!$G$1:$G$501,$A432)),"")</x:f>
        <x:v>#NAME?</x:v>
      </x:c>
      <x:c r="E432" t="e">
        <x:f>IF($A432="","",IF(NOT(ISNUMBER(INDEX(대장!$F$1:$F$501,$A432))),"확인 필요",IF(AND(INDEX(대장!$G$1:$G$501,$A432)&lt;&gt;"",NOT(ISNUMBER(INDEX(대장!$G$1:$G$501,$A432)))),"확인 필요",IF(AND(ISNUMBER(INDEX(대장!$G$1:$G$501,$A432)),INDEX(대장!$G$1:$G$501,$A432)&lt;INDEX(대장!$F$1:$F$501,$A432)),"확인 필요",IF(INDEX(대장!$L$1:$L$501,$A432)&lt;&gt;"","메모 있음","정상")))))</x:f>
        <x:v>#NAME?</x:v>
      </x:c>
      <x:c r="F432" t="e">
        <x:f>IF($A432="","",IF($E432="확인 필요","시작일·종료일과 기간 순서를 확인해 주세요.",IF($E432="메모 있음",IFERROR(INDEX(대장!$L$1:$L$501,$A432),""),"")))</x:f>
        <x:v>#NAME?</x:v>
      </x:c>
    </x:row>
    <x:row r="433">
      <x:c r="A433" t="e">
        <x:f>IF(INDEX(대장!$A$1:$A$501,ROW()-2)="","",ROW()-2)</x:f>
        <x:v>#NAME?</x:v>
      </x:c>
      <x:c r="B433" t="e">
        <x:f>IF($A433="","",INDEX(대장!$A$1:$A$501,$A433))</x:f>
        <x:v>#NAME?</x:v>
      </x:c>
      <x:c r="C433" s="46" t="e">
        <x:f>IFERROR(IF($A433="","",INDEX(대장!$F$1:$F$501,$A433)),"")</x:f>
        <x:v>#NAME?</x:v>
      </x:c>
      <x:c r="D433" s="46" t="e">
        <x:f>IFERROR(IF($A433="","",INDEX(대장!$G$1:$G$501,$A433)),"")</x:f>
        <x:v>#NAME?</x:v>
      </x:c>
      <x:c r="E433" t="e">
        <x:f>IF($A433="","",IF(NOT(ISNUMBER(INDEX(대장!$F$1:$F$501,$A433))),"확인 필요",IF(AND(INDEX(대장!$G$1:$G$501,$A433)&lt;&gt;"",NOT(ISNUMBER(INDEX(대장!$G$1:$G$501,$A433)))),"확인 필요",IF(AND(ISNUMBER(INDEX(대장!$G$1:$G$501,$A433)),INDEX(대장!$G$1:$G$501,$A433)&lt;INDEX(대장!$F$1:$F$501,$A433)),"확인 필요",IF(INDEX(대장!$L$1:$L$501,$A433)&lt;&gt;"","메모 있음","정상")))))</x:f>
        <x:v>#NAME?</x:v>
      </x:c>
      <x:c r="F433" t="e">
        <x:f>IF($A433="","",IF($E433="확인 필요","시작일·종료일과 기간 순서를 확인해 주세요.",IF($E433="메모 있음",IFERROR(INDEX(대장!$L$1:$L$501,$A433),""),"")))</x:f>
        <x:v>#NAME?</x:v>
      </x:c>
    </x:row>
    <x:row r="434">
      <x:c r="A434" t="e">
        <x:f>IF(INDEX(대장!$A$1:$A$501,ROW()-2)="","",ROW()-2)</x:f>
        <x:v>#NAME?</x:v>
      </x:c>
      <x:c r="B434" t="e">
        <x:f>IF($A434="","",INDEX(대장!$A$1:$A$501,$A434))</x:f>
        <x:v>#NAME?</x:v>
      </x:c>
      <x:c r="C434" s="46" t="e">
        <x:f>IFERROR(IF($A434="","",INDEX(대장!$F$1:$F$501,$A434)),"")</x:f>
        <x:v>#NAME?</x:v>
      </x:c>
      <x:c r="D434" s="46" t="e">
        <x:f>IFERROR(IF($A434="","",INDEX(대장!$G$1:$G$501,$A434)),"")</x:f>
        <x:v>#NAME?</x:v>
      </x:c>
      <x:c r="E434" t="e">
        <x:f>IF($A434="","",IF(NOT(ISNUMBER(INDEX(대장!$F$1:$F$501,$A434))),"확인 필요",IF(AND(INDEX(대장!$G$1:$G$501,$A434)&lt;&gt;"",NOT(ISNUMBER(INDEX(대장!$G$1:$G$501,$A434)))),"확인 필요",IF(AND(ISNUMBER(INDEX(대장!$G$1:$G$501,$A434)),INDEX(대장!$G$1:$G$501,$A434)&lt;INDEX(대장!$F$1:$F$501,$A434)),"확인 필요",IF(INDEX(대장!$L$1:$L$501,$A434)&lt;&gt;"","메모 있음","정상")))))</x:f>
        <x:v>#NAME?</x:v>
      </x:c>
      <x:c r="F434" t="e">
        <x:f>IF($A434="","",IF($E434="확인 필요","시작일·종료일과 기간 순서를 확인해 주세요.",IF($E434="메모 있음",IFERROR(INDEX(대장!$L$1:$L$501,$A434),""),"")))</x:f>
        <x:v>#NAME?</x:v>
      </x:c>
    </x:row>
    <x:row r="435">
      <x:c r="A435" t="e">
        <x:f>IF(INDEX(대장!$A$1:$A$501,ROW()-2)="","",ROW()-2)</x:f>
        <x:v>#NAME?</x:v>
      </x:c>
      <x:c r="B435" t="e">
        <x:f>IF($A435="","",INDEX(대장!$A$1:$A$501,$A435))</x:f>
        <x:v>#NAME?</x:v>
      </x:c>
      <x:c r="C435" s="46" t="e">
        <x:f>IFERROR(IF($A435="","",INDEX(대장!$F$1:$F$501,$A435)),"")</x:f>
        <x:v>#NAME?</x:v>
      </x:c>
      <x:c r="D435" s="46" t="e">
        <x:f>IFERROR(IF($A435="","",INDEX(대장!$G$1:$G$501,$A435)),"")</x:f>
        <x:v>#NAME?</x:v>
      </x:c>
      <x:c r="E435" t="e">
        <x:f>IF($A435="","",IF(NOT(ISNUMBER(INDEX(대장!$F$1:$F$501,$A435))),"확인 필요",IF(AND(INDEX(대장!$G$1:$G$501,$A435)&lt;&gt;"",NOT(ISNUMBER(INDEX(대장!$G$1:$G$501,$A435)))),"확인 필요",IF(AND(ISNUMBER(INDEX(대장!$G$1:$G$501,$A435)),INDEX(대장!$G$1:$G$501,$A435)&lt;INDEX(대장!$F$1:$F$501,$A435)),"확인 필요",IF(INDEX(대장!$L$1:$L$501,$A435)&lt;&gt;"","메모 있음","정상")))))</x:f>
        <x:v>#NAME?</x:v>
      </x:c>
      <x:c r="F435" t="e">
        <x:f>IF($A435="","",IF($E435="확인 필요","시작일·종료일과 기간 순서를 확인해 주세요.",IF($E435="메모 있음",IFERROR(INDEX(대장!$L$1:$L$501,$A435),""),"")))</x:f>
        <x:v>#NAME?</x:v>
      </x:c>
    </x:row>
    <x:row r="436">
      <x:c r="A436" t="e">
        <x:f>IF(INDEX(대장!$A$1:$A$501,ROW()-2)="","",ROW()-2)</x:f>
        <x:v>#NAME?</x:v>
      </x:c>
      <x:c r="B436" t="e">
        <x:f>IF($A436="","",INDEX(대장!$A$1:$A$501,$A436))</x:f>
        <x:v>#NAME?</x:v>
      </x:c>
      <x:c r="C436" s="46" t="e">
        <x:f>IFERROR(IF($A436="","",INDEX(대장!$F$1:$F$501,$A436)),"")</x:f>
        <x:v>#NAME?</x:v>
      </x:c>
      <x:c r="D436" s="46" t="e">
        <x:f>IFERROR(IF($A436="","",INDEX(대장!$G$1:$G$501,$A436)),"")</x:f>
        <x:v>#NAME?</x:v>
      </x:c>
      <x:c r="E436" t="e">
        <x:f>IF($A436="","",IF(NOT(ISNUMBER(INDEX(대장!$F$1:$F$501,$A436))),"확인 필요",IF(AND(INDEX(대장!$G$1:$G$501,$A436)&lt;&gt;"",NOT(ISNUMBER(INDEX(대장!$G$1:$G$501,$A436)))),"확인 필요",IF(AND(ISNUMBER(INDEX(대장!$G$1:$G$501,$A436)),INDEX(대장!$G$1:$G$501,$A436)&lt;INDEX(대장!$F$1:$F$501,$A436)),"확인 필요",IF(INDEX(대장!$L$1:$L$501,$A436)&lt;&gt;"","메모 있음","정상")))))</x:f>
        <x:v>#NAME?</x:v>
      </x:c>
      <x:c r="F436" t="e">
        <x:f>IF($A436="","",IF($E436="확인 필요","시작일·종료일과 기간 순서를 확인해 주세요.",IF($E436="메모 있음",IFERROR(INDEX(대장!$L$1:$L$501,$A436),""),"")))</x:f>
        <x:v>#NAME?</x:v>
      </x:c>
    </x:row>
    <x:row r="437">
      <x:c r="A437" t="e">
        <x:f>IF(INDEX(대장!$A$1:$A$501,ROW()-2)="","",ROW()-2)</x:f>
        <x:v>#NAME?</x:v>
      </x:c>
      <x:c r="B437" t="e">
        <x:f>IF($A437="","",INDEX(대장!$A$1:$A$501,$A437))</x:f>
        <x:v>#NAME?</x:v>
      </x:c>
      <x:c r="C437" s="46" t="e">
        <x:f>IFERROR(IF($A437="","",INDEX(대장!$F$1:$F$501,$A437)),"")</x:f>
        <x:v>#NAME?</x:v>
      </x:c>
      <x:c r="D437" s="46" t="e">
        <x:f>IFERROR(IF($A437="","",INDEX(대장!$G$1:$G$501,$A437)),"")</x:f>
        <x:v>#NAME?</x:v>
      </x:c>
      <x:c r="E437" t="e">
        <x:f>IF($A437="","",IF(NOT(ISNUMBER(INDEX(대장!$F$1:$F$501,$A437))),"확인 필요",IF(AND(INDEX(대장!$G$1:$G$501,$A437)&lt;&gt;"",NOT(ISNUMBER(INDEX(대장!$G$1:$G$501,$A437)))),"확인 필요",IF(AND(ISNUMBER(INDEX(대장!$G$1:$G$501,$A437)),INDEX(대장!$G$1:$G$501,$A437)&lt;INDEX(대장!$F$1:$F$501,$A437)),"확인 필요",IF(INDEX(대장!$L$1:$L$501,$A437)&lt;&gt;"","메모 있음","정상")))))</x:f>
        <x:v>#NAME?</x:v>
      </x:c>
      <x:c r="F437" t="e">
        <x:f>IF($A437="","",IF($E437="확인 필요","시작일·종료일과 기간 순서를 확인해 주세요.",IF($E437="메모 있음",IFERROR(INDEX(대장!$L$1:$L$501,$A437),""),"")))</x:f>
        <x:v>#NAME?</x:v>
      </x:c>
    </x:row>
    <x:row r="438">
      <x:c r="A438" t="e">
        <x:f>IF(INDEX(대장!$A$1:$A$501,ROW()-2)="","",ROW()-2)</x:f>
        <x:v>#NAME?</x:v>
      </x:c>
      <x:c r="B438" t="e">
        <x:f>IF($A438="","",INDEX(대장!$A$1:$A$501,$A438))</x:f>
        <x:v>#NAME?</x:v>
      </x:c>
      <x:c r="C438" s="46" t="e">
        <x:f>IFERROR(IF($A438="","",INDEX(대장!$F$1:$F$501,$A438)),"")</x:f>
        <x:v>#NAME?</x:v>
      </x:c>
      <x:c r="D438" s="46" t="e">
        <x:f>IFERROR(IF($A438="","",INDEX(대장!$G$1:$G$501,$A438)),"")</x:f>
        <x:v>#NAME?</x:v>
      </x:c>
      <x:c r="E438" t="e">
        <x:f>IF($A438="","",IF(NOT(ISNUMBER(INDEX(대장!$F$1:$F$501,$A438))),"확인 필요",IF(AND(INDEX(대장!$G$1:$G$501,$A438)&lt;&gt;"",NOT(ISNUMBER(INDEX(대장!$G$1:$G$501,$A438)))),"확인 필요",IF(AND(ISNUMBER(INDEX(대장!$G$1:$G$501,$A438)),INDEX(대장!$G$1:$G$501,$A438)&lt;INDEX(대장!$F$1:$F$501,$A438)),"확인 필요",IF(INDEX(대장!$L$1:$L$501,$A438)&lt;&gt;"","메모 있음","정상")))))</x:f>
        <x:v>#NAME?</x:v>
      </x:c>
      <x:c r="F438" t="e">
        <x:f>IF($A438="","",IF($E438="확인 필요","시작일·종료일과 기간 순서를 확인해 주세요.",IF($E438="메모 있음",IFERROR(INDEX(대장!$L$1:$L$501,$A438),""),"")))</x:f>
        <x:v>#NAME?</x:v>
      </x:c>
    </x:row>
    <x:row r="439">
      <x:c r="A439" t="e">
        <x:f>IF(INDEX(대장!$A$1:$A$501,ROW()-2)="","",ROW()-2)</x:f>
        <x:v>#NAME?</x:v>
      </x:c>
      <x:c r="B439" t="e">
        <x:f>IF($A439="","",INDEX(대장!$A$1:$A$501,$A439))</x:f>
        <x:v>#NAME?</x:v>
      </x:c>
      <x:c r="C439" s="46" t="e">
        <x:f>IFERROR(IF($A439="","",INDEX(대장!$F$1:$F$501,$A439)),"")</x:f>
        <x:v>#NAME?</x:v>
      </x:c>
      <x:c r="D439" s="46" t="e">
        <x:f>IFERROR(IF($A439="","",INDEX(대장!$G$1:$G$501,$A439)),"")</x:f>
        <x:v>#NAME?</x:v>
      </x:c>
      <x:c r="E439" t="e">
        <x:f>IF($A439="","",IF(NOT(ISNUMBER(INDEX(대장!$F$1:$F$501,$A439))),"확인 필요",IF(AND(INDEX(대장!$G$1:$G$501,$A439)&lt;&gt;"",NOT(ISNUMBER(INDEX(대장!$G$1:$G$501,$A439)))),"확인 필요",IF(AND(ISNUMBER(INDEX(대장!$G$1:$G$501,$A439)),INDEX(대장!$G$1:$G$501,$A439)&lt;INDEX(대장!$F$1:$F$501,$A439)),"확인 필요",IF(INDEX(대장!$L$1:$L$501,$A439)&lt;&gt;"","메모 있음","정상")))))</x:f>
        <x:v>#NAME?</x:v>
      </x:c>
      <x:c r="F439" t="e">
        <x:f>IF($A439="","",IF($E439="확인 필요","시작일·종료일과 기간 순서를 확인해 주세요.",IF($E439="메모 있음",IFERROR(INDEX(대장!$L$1:$L$501,$A439),""),"")))</x:f>
        <x:v>#NAME?</x:v>
      </x:c>
    </x:row>
    <x:row r="440">
      <x:c r="A440" t="e">
        <x:f>IF(INDEX(대장!$A$1:$A$501,ROW()-2)="","",ROW()-2)</x:f>
        <x:v>#NAME?</x:v>
      </x:c>
      <x:c r="B440" t="e">
        <x:f>IF($A440="","",INDEX(대장!$A$1:$A$501,$A440))</x:f>
        <x:v>#NAME?</x:v>
      </x:c>
      <x:c r="C440" s="46" t="e">
        <x:f>IFERROR(IF($A440="","",INDEX(대장!$F$1:$F$501,$A440)),"")</x:f>
        <x:v>#NAME?</x:v>
      </x:c>
      <x:c r="D440" s="46" t="e">
        <x:f>IFERROR(IF($A440="","",INDEX(대장!$G$1:$G$501,$A440)),"")</x:f>
        <x:v>#NAME?</x:v>
      </x:c>
      <x:c r="E440" t="e">
        <x:f>IF($A440="","",IF(NOT(ISNUMBER(INDEX(대장!$F$1:$F$501,$A440))),"확인 필요",IF(AND(INDEX(대장!$G$1:$G$501,$A440)&lt;&gt;"",NOT(ISNUMBER(INDEX(대장!$G$1:$G$501,$A440)))),"확인 필요",IF(AND(ISNUMBER(INDEX(대장!$G$1:$G$501,$A440)),INDEX(대장!$G$1:$G$501,$A440)&lt;INDEX(대장!$F$1:$F$501,$A440)),"확인 필요",IF(INDEX(대장!$L$1:$L$501,$A440)&lt;&gt;"","메모 있음","정상")))))</x:f>
        <x:v>#NAME?</x:v>
      </x:c>
      <x:c r="F440" t="e">
        <x:f>IF($A440="","",IF($E440="확인 필요","시작일·종료일과 기간 순서를 확인해 주세요.",IF($E440="메모 있음",IFERROR(INDEX(대장!$L$1:$L$501,$A440),""),"")))</x:f>
        <x:v>#NAME?</x:v>
      </x:c>
    </x:row>
    <x:row r="441">
      <x:c r="A441" t="e">
        <x:f>IF(INDEX(대장!$A$1:$A$501,ROW()-2)="","",ROW()-2)</x:f>
        <x:v>#NAME?</x:v>
      </x:c>
      <x:c r="B441" t="e">
        <x:f>IF($A441="","",INDEX(대장!$A$1:$A$501,$A441))</x:f>
        <x:v>#NAME?</x:v>
      </x:c>
      <x:c r="C441" s="46" t="e">
        <x:f>IFERROR(IF($A441="","",INDEX(대장!$F$1:$F$501,$A441)),"")</x:f>
        <x:v>#NAME?</x:v>
      </x:c>
      <x:c r="D441" s="46" t="e">
        <x:f>IFERROR(IF($A441="","",INDEX(대장!$G$1:$G$501,$A441)),"")</x:f>
        <x:v>#NAME?</x:v>
      </x:c>
      <x:c r="E441" t="e">
        <x:f>IF($A441="","",IF(NOT(ISNUMBER(INDEX(대장!$F$1:$F$501,$A441))),"확인 필요",IF(AND(INDEX(대장!$G$1:$G$501,$A441)&lt;&gt;"",NOT(ISNUMBER(INDEX(대장!$G$1:$G$501,$A441)))),"확인 필요",IF(AND(ISNUMBER(INDEX(대장!$G$1:$G$501,$A441)),INDEX(대장!$G$1:$G$501,$A441)&lt;INDEX(대장!$F$1:$F$501,$A441)),"확인 필요",IF(INDEX(대장!$L$1:$L$501,$A441)&lt;&gt;"","메모 있음","정상")))))</x:f>
        <x:v>#NAME?</x:v>
      </x:c>
      <x:c r="F441" t="e">
        <x:f>IF($A441="","",IF($E441="확인 필요","시작일·종료일과 기간 순서를 확인해 주세요.",IF($E441="메모 있음",IFERROR(INDEX(대장!$L$1:$L$501,$A441),""),"")))</x:f>
        <x:v>#NAME?</x:v>
      </x:c>
    </x:row>
    <x:row r="442">
      <x:c r="A442" t="e">
        <x:f>IF(INDEX(대장!$A$1:$A$501,ROW()-2)="","",ROW()-2)</x:f>
        <x:v>#NAME?</x:v>
      </x:c>
      <x:c r="B442" t="e">
        <x:f>IF($A442="","",INDEX(대장!$A$1:$A$501,$A442))</x:f>
        <x:v>#NAME?</x:v>
      </x:c>
      <x:c r="C442" s="46" t="e">
        <x:f>IFERROR(IF($A442="","",INDEX(대장!$F$1:$F$501,$A442)),"")</x:f>
        <x:v>#NAME?</x:v>
      </x:c>
      <x:c r="D442" s="46" t="e">
        <x:f>IFERROR(IF($A442="","",INDEX(대장!$G$1:$G$501,$A442)),"")</x:f>
        <x:v>#NAME?</x:v>
      </x:c>
      <x:c r="E442" t="e">
        <x:f>IF($A442="","",IF(NOT(ISNUMBER(INDEX(대장!$F$1:$F$501,$A442))),"확인 필요",IF(AND(INDEX(대장!$G$1:$G$501,$A442)&lt;&gt;"",NOT(ISNUMBER(INDEX(대장!$G$1:$G$501,$A442)))),"확인 필요",IF(AND(ISNUMBER(INDEX(대장!$G$1:$G$501,$A442)),INDEX(대장!$G$1:$G$501,$A442)&lt;INDEX(대장!$F$1:$F$501,$A442)),"확인 필요",IF(INDEX(대장!$L$1:$L$501,$A442)&lt;&gt;"","메모 있음","정상")))))</x:f>
        <x:v>#NAME?</x:v>
      </x:c>
      <x:c r="F442" t="e">
        <x:f>IF($A442="","",IF($E442="확인 필요","시작일·종료일과 기간 순서를 확인해 주세요.",IF($E442="메모 있음",IFERROR(INDEX(대장!$L$1:$L$501,$A442),""),"")))</x:f>
        <x:v>#NAME?</x:v>
      </x:c>
    </x:row>
    <x:row r="443">
      <x:c r="A443" t="e">
        <x:f>IF(INDEX(대장!$A$1:$A$501,ROW()-2)="","",ROW()-2)</x:f>
        <x:v>#NAME?</x:v>
      </x:c>
      <x:c r="B443" t="e">
        <x:f>IF($A443="","",INDEX(대장!$A$1:$A$501,$A443))</x:f>
        <x:v>#NAME?</x:v>
      </x:c>
      <x:c r="C443" s="46" t="e">
        <x:f>IFERROR(IF($A443="","",INDEX(대장!$F$1:$F$501,$A443)),"")</x:f>
        <x:v>#NAME?</x:v>
      </x:c>
      <x:c r="D443" s="46" t="e">
        <x:f>IFERROR(IF($A443="","",INDEX(대장!$G$1:$G$501,$A443)),"")</x:f>
        <x:v>#NAME?</x:v>
      </x:c>
      <x:c r="E443" t="e">
        <x:f>IF($A443="","",IF(NOT(ISNUMBER(INDEX(대장!$F$1:$F$501,$A443))),"확인 필요",IF(AND(INDEX(대장!$G$1:$G$501,$A443)&lt;&gt;"",NOT(ISNUMBER(INDEX(대장!$G$1:$G$501,$A443)))),"확인 필요",IF(AND(ISNUMBER(INDEX(대장!$G$1:$G$501,$A443)),INDEX(대장!$G$1:$G$501,$A443)&lt;INDEX(대장!$F$1:$F$501,$A443)),"확인 필요",IF(INDEX(대장!$L$1:$L$501,$A443)&lt;&gt;"","메모 있음","정상")))))</x:f>
        <x:v>#NAME?</x:v>
      </x:c>
      <x:c r="F443" t="e">
        <x:f>IF($A443="","",IF($E443="확인 필요","시작일·종료일과 기간 순서를 확인해 주세요.",IF($E443="메모 있음",IFERROR(INDEX(대장!$L$1:$L$501,$A443),""),"")))</x:f>
        <x:v>#NAME?</x:v>
      </x:c>
    </x:row>
    <x:row r="444">
      <x:c r="A444" t="e">
        <x:f>IF(INDEX(대장!$A$1:$A$501,ROW()-2)="","",ROW()-2)</x:f>
        <x:v>#NAME?</x:v>
      </x:c>
      <x:c r="B444" t="e">
        <x:f>IF($A444="","",INDEX(대장!$A$1:$A$501,$A444))</x:f>
        <x:v>#NAME?</x:v>
      </x:c>
      <x:c r="C444" s="46" t="e">
        <x:f>IFERROR(IF($A444="","",INDEX(대장!$F$1:$F$501,$A444)),"")</x:f>
        <x:v>#NAME?</x:v>
      </x:c>
      <x:c r="D444" s="46" t="e">
        <x:f>IFERROR(IF($A444="","",INDEX(대장!$G$1:$G$501,$A444)),"")</x:f>
        <x:v>#NAME?</x:v>
      </x:c>
      <x:c r="E444" t="e">
        <x:f>IF($A444="","",IF(NOT(ISNUMBER(INDEX(대장!$F$1:$F$501,$A444))),"확인 필요",IF(AND(INDEX(대장!$G$1:$G$501,$A444)&lt;&gt;"",NOT(ISNUMBER(INDEX(대장!$G$1:$G$501,$A444)))),"확인 필요",IF(AND(ISNUMBER(INDEX(대장!$G$1:$G$501,$A444)),INDEX(대장!$G$1:$G$501,$A444)&lt;INDEX(대장!$F$1:$F$501,$A444)),"확인 필요",IF(INDEX(대장!$L$1:$L$501,$A444)&lt;&gt;"","메모 있음","정상")))))</x:f>
        <x:v>#NAME?</x:v>
      </x:c>
      <x:c r="F444" t="e">
        <x:f>IF($A444="","",IF($E444="확인 필요","시작일·종료일과 기간 순서를 확인해 주세요.",IF($E444="메모 있음",IFERROR(INDEX(대장!$L$1:$L$501,$A444),""),"")))</x:f>
        <x:v>#NAME?</x:v>
      </x:c>
    </x:row>
    <x:row r="445">
      <x:c r="A445" t="e">
        <x:f>IF(INDEX(대장!$A$1:$A$501,ROW()-2)="","",ROW()-2)</x:f>
        <x:v>#NAME?</x:v>
      </x:c>
      <x:c r="B445" t="e">
        <x:f>IF($A445="","",INDEX(대장!$A$1:$A$501,$A445))</x:f>
        <x:v>#NAME?</x:v>
      </x:c>
      <x:c r="C445" s="46" t="e">
        <x:f>IFERROR(IF($A445="","",INDEX(대장!$F$1:$F$501,$A445)),"")</x:f>
        <x:v>#NAME?</x:v>
      </x:c>
      <x:c r="D445" s="46" t="e">
        <x:f>IFERROR(IF($A445="","",INDEX(대장!$G$1:$G$501,$A445)),"")</x:f>
        <x:v>#NAME?</x:v>
      </x:c>
      <x:c r="E445" t="e">
        <x:f>IF($A445="","",IF(NOT(ISNUMBER(INDEX(대장!$F$1:$F$501,$A445))),"확인 필요",IF(AND(INDEX(대장!$G$1:$G$501,$A445)&lt;&gt;"",NOT(ISNUMBER(INDEX(대장!$G$1:$G$501,$A445)))),"확인 필요",IF(AND(ISNUMBER(INDEX(대장!$G$1:$G$501,$A445)),INDEX(대장!$G$1:$G$501,$A445)&lt;INDEX(대장!$F$1:$F$501,$A445)),"확인 필요",IF(INDEX(대장!$L$1:$L$501,$A445)&lt;&gt;"","메모 있음","정상")))))</x:f>
        <x:v>#NAME?</x:v>
      </x:c>
      <x:c r="F445" t="e">
        <x:f>IF($A445="","",IF($E445="확인 필요","시작일·종료일과 기간 순서를 확인해 주세요.",IF($E445="메모 있음",IFERROR(INDEX(대장!$L$1:$L$501,$A445),""),"")))</x:f>
        <x:v>#NAME?</x:v>
      </x:c>
    </x:row>
    <x:row r="446">
      <x:c r="A446" t="e">
        <x:f>IF(INDEX(대장!$A$1:$A$501,ROW()-2)="","",ROW()-2)</x:f>
        <x:v>#NAME?</x:v>
      </x:c>
      <x:c r="B446" t="e">
        <x:f>IF($A446="","",INDEX(대장!$A$1:$A$501,$A446))</x:f>
        <x:v>#NAME?</x:v>
      </x:c>
      <x:c r="C446" s="46" t="e">
        <x:f>IFERROR(IF($A446="","",INDEX(대장!$F$1:$F$501,$A446)),"")</x:f>
        <x:v>#NAME?</x:v>
      </x:c>
      <x:c r="D446" s="46" t="e">
        <x:f>IFERROR(IF($A446="","",INDEX(대장!$G$1:$G$501,$A446)),"")</x:f>
        <x:v>#NAME?</x:v>
      </x:c>
      <x:c r="E446" t="e">
        <x:f>IF($A446="","",IF(NOT(ISNUMBER(INDEX(대장!$F$1:$F$501,$A446))),"확인 필요",IF(AND(INDEX(대장!$G$1:$G$501,$A446)&lt;&gt;"",NOT(ISNUMBER(INDEX(대장!$G$1:$G$501,$A446)))),"확인 필요",IF(AND(ISNUMBER(INDEX(대장!$G$1:$G$501,$A446)),INDEX(대장!$G$1:$G$501,$A446)&lt;INDEX(대장!$F$1:$F$501,$A446)),"확인 필요",IF(INDEX(대장!$L$1:$L$501,$A446)&lt;&gt;"","메모 있음","정상")))))</x:f>
        <x:v>#NAME?</x:v>
      </x:c>
      <x:c r="F446" t="e">
        <x:f>IF($A446="","",IF($E446="확인 필요","시작일·종료일과 기간 순서를 확인해 주세요.",IF($E446="메모 있음",IFERROR(INDEX(대장!$L$1:$L$501,$A446),""),"")))</x:f>
        <x:v>#NAME?</x:v>
      </x:c>
    </x:row>
    <x:row r="447">
      <x:c r="A447" t="e">
        <x:f>IF(INDEX(대장!$A$1:$A$501,ROW()-2)="","",ROW()-2)</x:f>
        <x:v>#NAME?</x:v>
      </x:c>
      <x:c r="B447" t="e">
        <x:f>IF($A447="","",INDEX(대장!$A$1:$A$501,$A447))</x:f>
        <x:v>#NAME?</x:v>
      </x:c>
      <x:c r="C447" s="46" t="e">
        <x:f>IFERROR(IF($A447="","",INDEX(대장!$F$1:$F$501,$A447)),"")</x:f>
        <x:v>#NAME?</x:v>
      </x:c>
      <x:c r="D447" s="46" t="e">
        <x:f>IFERROR(IF($A447="","",INDEX(대장!$G$1:$G$501,$A447)),"")</x:f>
        <x:v>#NAME?</x:v>
      </x:c>
      <x:c r="E447" t="e">
        <x:f>IF($A447="","",IF(NOT(ISNUMBER(INDEX(대장!$F$1:$F$501,$A447))),"확인 필요",IF(AND(INDEX(대장!$G$1:$G$501,$A447)&lt;&gt;"",NOT(ISNUMBER(INDEX(대장!$G$1:$G$501,$A447)))),"확인 필요",IF(AND(ISNUMBER(INDEX(대장!$G$1:$G$501,$A447)),INDEX(대장!$G$1:$G$501,$A447)&lt;INDEX(대장!$F$1:$F$501,$A447)),"확인 필요",IF(INDEX(대장!$L$1:$L$501,$A447)&lt;&gt;"","메모 있음","정상")))))</x:f>
        <x:v>#NAME?</x:v>
      </x:c>
      <x:c r="F447" t="e">
        <x:f>IF($A447="","",IF($E447="확인 필요","시작일·종료일과 기간 순서를 확인해 주세요.",IF($E447="메모 있음",IFERROR(INDEX(대장!$L$1:$L$501,$A447),""),"")))</x:f>
        <x:v>#NAME?</x:v>
      </x:c>
    </x:row>
    <x:row r="448">
      <x:c r="A448" t="e">
        <x:f>IF(INDEX(대장!$A$1:$A$501,ROW()-2)="","",ROW()-2)</x:f>
        <x:v>#NAME?</x:v>
      </x:c>
      <x:c r="B448" t="e">
        <x:f>IF($A448="","",INDEX(대장!$A$1:$A$501,$A448))</x:f>
        <x:v>#NAME?</x:v>
      </x:c>
      <x:c r="C448" s="46" t="e">
        <x:f>IFERROR(IF($A448="","",INDEX(대장!$F$1:$F$501,$A448)),"")</x:f>
        <x:v>#NAME?</x:v>
      </x:c>
      <x:c r="D448" s="46" t="e">
        <x:f>IFERROR(IF($A448="","",INDEX(대장!$G$1:$G$501,$A448)),"")</x:f>
        <x:v>#NAME?</x:v>
      </x:c>
      <x:c r="E448" t="e">
        <x:f>IF($A448="","",IF(NOT(ISNUMBER(INDEX(대장!$F$1:$F$501,$A448))),"확인 필요",IF(AND(INDEX(대장!$G$1:$G$501,$A448)&lt;&gt;"",NOT(ISNUMBER(INDEX(대장!$G$1:$G$501,$A448)))),"확인 필요",IF(AND(ISNUMBER(INDEX(대장!$G$1:$G$501,$A448)),INDEX(대장!$G$1:$G$501,$A448)&lt;INDEX(대장!$F$1:$F$501,$A448)),"확인 필요",IF(INDEX(대장!$L$1:$L$501,$A448)&lt;&gt;"","메모 있음","정상")))))</x:f>
        <x:v>#NAME?</x:v>
      </x:c>
      <x:c r="F448" t="e">
        <x:f>IF($A448="","",IF($E448="확인 필요","시작일·종료일과 기간 순서를 확인해 주세요.",IF($E448="메모 있음",IFERROR(INDEX(대장!$L$1:$L$501,$A448),""),"")))</x:f>
        <x:v>#NAME?</x:v>
      </x:c>
    </x:row>
    <x:row r="449">
      <x:c r="A449" t="e">
        <x:f>IF(INDEX(대장!$A$1:$A$501,ROW()-2)="","",ROW()-2)</x:f>
        <x:v>#NAME?</x:v>
      </x:c>
      <x:c r="B449" t="e">
        <x:f>IF($A449="","",INDEX(대장!$A$1:$A$501,$A449))</x:f>
        <x:v>#NAME?</x:v>
      </x:c>
      <x:c r="C449" s="46" t="e">
        <x:f>IFERROR(IF($A449="","",INDEX(대장!$F$1:$F$501,$A449)),"")</x:f>
        <x:v>#NAME?</x:v>
      </x:c>
      <x:c r="D449" s="46" t="e">
        <x:f>IFERROR(IF($A449="","",INDEX(대장!$G$1:$G$501,$A449)),"")</x:f>
        <x:v>#NAME?</x:v>
      </x:c>
      <x:c r="E449" t="e">
        <x:f>IF($A449="","",IF(NOT(ISNUMBER(INDEX(대장!$F$1:$F$501,$A449))),"확인 필요",IF(AND(INDEX(대장!$G$1:$G$501,$A449)&lt;&gt;"",NOT(ISNUMBER(INDEX(대장!$G$1:$G$501,$A449)))),"확인 필요",IF(AND(ISNUMBER(INDEX(대장!$G$1:$G$501,$A449)),INDEX(대장!$G$1:$G$501,$A449)&lt;INDEX(대장!$F$1:$F$501,$A449)),"확인 필요",IF(INDEX(대장!$L$1:$L$501,$A449)&lt;&gt;"","메모 있음","정상")))))</x:f>
        <x:v>#NAME?</x:v>
      </x:c>
      <x:c r="F449" t="e">
        <x:f>IF($A449="","",IF($E449="확인 필요","시작일·종료일과 기간 순서를 확인해 주세요.",IF($E449="메모 있음",IFERROR(INDEX(대장!$L$1:$L$501,$A449),""),"")))</x:f>
        <x:v>#NAME?</x:v>
      </x:c>
    </x:row>
    <x:row r="450">
      <x:c r="A450" t="e">
        <x:f>IF(INDEX(대장!$A$1:$A$501,ROW()-2)="","",ROW()-2)</x:f>
        <x:v>#NAME?</x:v>
      </x:c>
      <x:c r="B450" t="e">
        <x:f>IF($A450="","",INDEX(대장!$A$1:$A$501,$A450))</x:f>
        <x:v>#NAME?</x:v>
      </x:c>
      <x:c r="C450" s="46" t="e">
        <x:f>IFERROR(IF($A450="","",INDEX(대장!$F$1:$F$501,$A450)),"")</x:f>
        <x:v>#NAME?</x:v>
      </x:c>
      <x:c r="D450" s="46" t="e">
        <x:f>IFERROR(IF($A450="","",INDEX(대장!$G$1:$G$501,$A450)),"")</x:f>
        <x:v>#NAME?</x:v>
      </x:c>
      <x:c r="E450" t="e">
        <x:f>IF($A450="","",IF(NOT(ISNUMBER(INDEX(대장!$F$1:$F$501,$A450))),"확인 필요",IF(AND(INDEX(대장!$G$1:$G$501,$A450)&lt;&gt;"",NOT(ISNUMBER(INDEX(대장!$G$1:$G$501,$A450)))),"확인 필요",IF(AND(ISNUMBER(INDEX(대장!$G$1:$G$501,$A450)),INDEX(대장!$G$1:$G$501,$A450)&lt;INDEX(대장!$F$1:$F$501,$A450)),"확인 필요",IF(INDEX(대장!$L$1:$L$501,$A450)&lt;&gt;"","메모 있음","정상")))))</x:f>
        <x:v>#NAME?</x:v>
      </x:c>
      <x:c r="F450" t="e">
        <x:f>IF($A450="","",IF($E450="확인 필요","시작일·종료일과 기간 순서를 확인해 주세요.",IF($E450="메모 있음",IFERROR(INDEX(대장!$L$1:$L$501,$A450),""),"")))</x:f>
        <x:v>#NAME?</x:v>
      </x:c>
    </x:row>
    <x:row r="451">
      <x:c r="A451" t="e">
        <x:f>IF(INDEX(대장!$A$1:$A$501,ROW()-2)="","",ROW()-2)</x:f>
        <x:v>#NAME?</x:v>
      </x:c>
      <x:c r="B451" t="e">
        <x:f>IF($A451="","",INDEX(대장!$A$1:$A$501,$A451))</x:f>
        <x:v>#NAME?</x:v>
      </x:c>
      <x:c r="C451" s="46" t="e">
        <x:f>IFERROR(IF($A451="","",INDEX(대장!$F$1:$F$501,$A451)),"")</x:f>
        <x:v>#NAME?</x:v>
      </x:c>
      <x:c r="D451" s="46" t="e">
        <x:f>IFERROR(IF($A451="","",INDEX(대장!$G$1:$G$501,$A451)),"")</x:f>
        <x:v>#NAME?</x:v>
      </x:c>
      <x:c r="E451" t="e">
        <x:f>IF($A451="","",IF(NOT(ISNUMBER(INDEX(대장!$F$1:$F$501,$A451))),"확인 필요",IF(AND(INDEX(대장!$G$1:$G$501,$A451)&lt;&gt;"",NOT(ISNUMBER(INDEX(대장!$G$1:$G$501,$A451)))),"확인 필요",IF(AND(ISNUMBER(INDEX(대장!$G$1:$G$501,$A451)),INDEX(대장!$G$1:$G$501,$A451)&lt;INDEX(대장!$F$1:$F$501,$A451)),"확인 필요",IF(INDEX(대장!$L$1:$L$501,$A451)&lt;&gt;"","메모 있음","정상")))))</x:f>
        <x:v>#NAME?</x:v>
      </x:c>
      <x:c r="F451" t="e">
        <x:f>IF($A451="","",IF($E451="확인 필요","시작일·종료일과 기간 순서를 확인해 주세요.",IF($E451="메모 있음",IFERROR(INDEX(대장!$L$1:$L$501,$A451),""),"")))</x:f>
        <x:v>#NAME?</x:v>
      </x:c>
    </x:row>
    <x:row r="452">
      <x:c r="A452" t="e">
        <x:f>IF(INDEX(대장!$A$1:$A$501,ROW()-2)="","",ROW()-2)</x:f>
        <x:v>#NAME?</x:v>
      </x:c>
      <x:c r="B452" t="e">
        <x:f>IF($A452="","",INDEX(대장!$A$1:$A$501,$A452))</x:f>
        <x:v>#NAME?</x:v>
      </x:c>
      <x:c r="C452" s="46" t="e">
        <x:f>IFERROR(IF($A452="","",INDEX(대장!$F$1:$F$501,$A452)),"")</x:f>
        <x:v>#NAME?</x:v>
      </x:c>
      <x:c r="D452" s="46" t="e">
        <x:f>IFERROR(IF($A452="","",INDEX(대장!$G$1:$G$501,$A452)),"")</x:f>
        <x:v>#NAME?</x:v>
      </x:c>
      <x:c r="E452" t="e">
        <x:f>IF($A452="","",IF(NOT(ISNUMBER(INDEX(대장!$F$1:$F$501,$A452))),"확인 필요",IF(AND(INDEX(대장!$G$1:$G$501,$A452)&lt;&gt;"",NOT(ISNUMBER(INDEX(대장!$G$1:$G$501,$A452)))),"확인 필요",IF(AND(ISNUMBER(INDEX(대장!$G$1:$G$501,$A452)),INDEX(대장!$G$1:$G$501,$A452)&lt;INDEX(대장!$F$1:$F$501,$A452)),"확인 필요",IF(INDEX(대장!$L$1:$L$501,$A452)&lt;&gt;"","메모 있음","정상")))))</x:f>
        <x:v>#NAME?</x:v>
      </x:c>
      <x:c r="F452" t="e">
        <x:f>IF($A452="","",IF($E452="확인 필요","시작일·종료일과 기간 순서를 확인해 주세요.",IF($E452="메모 있음",IFERROR(INDEX(대장!$L$1:$L$501,$A452),""),"")))</x:f>
        <x:v>#NAME?</x:v>
      </x:c>
    </x:row>
    <x:row r="453">
      <x:c r="A453" t="e">
        <x:f>IF(INDEX(대장!$A$1:$A$501,ROW()-2)="","",ROW()-2)</x:f>
        <x:v>#NAME?</x:v>
      </x:c>
      <x:c r="B453" t="e">
        <x:f>IF($A453="","",INDEX(대장!$A$1:$A$501,$A453))</x:f>
        <x:v>#NAME?</x:v>
      </x:c>
      <x:c r="C453" s="46" t="e">
        <x:f>IFERROR(IF($A453="","",INDEX(대장!$F$1:$F$501,$A453)),"")</x:f>
        <x:v>#NAME?</x:v>
      </x:c>
      <x:c r="D453" s="46" t="e">
        <x:f>IFERROR(IF($A453="","",INDEX(대장!$G$1:$G$501,$A453)),"")</x:f>
        <x:v>#NAME?</x:v>
      </x:c>
      <x:c r="E453" t="e">
        <x:f>IF($A453="","",IF(NOT(ISNUMBER(INDEX(대장!$F$1:$F$501,$A453))),"확인 필요",IF(AND(INDEX(대장!$G$1:$G$501,$A453)&lt;&gt;"",NOT(ISNUMBER(INDEX(대장!$G$1:$G$501,$A453)))),"확인 필요",IF(AND(ISNUMBER(INDEX(대장!$G$1:$G$501,$A453)),INDEX(대장!$G$1:$G$501,$A453)&lt;INDEX(대장!$F$1:$F$501,$A453)),"확인 필요",IF(INDEX(대장!$L$1:$L$501,$A453)&lt;&gt;"","메모 있음","정상")))))</x:f>
        <x:v>#NAME?</x:v>
      </x:c>
      <x:c r="F453" t="e">
        <x:f>IF($A453="","",IF($E453="확인 필요","시작일·종료일과 기간 순서를 확인해 주세요.",IF($E453="메모 있음",IFERROR(INDEX(대장!$L$1:$L$501,$A453),""),"")))</x:f>
        <x:v>#NAME?</x:v>
      </x:c>
    </x:row>
    <x:row r="454">
      <x:c r="A454" t="e">
        <x:f>IF(INDEX(대장!$A$1:$A$501,ROW()-2)="","",ROW()-2)</x:f>
        <x:v>#NAME?</x:v>
      </x:c>
      <x:c r="B454" t="e">
        <x:f>IF($A454="","",INDEX(대장!$A$1:$A$501,$A454))</x:f>
        <x:v>#NAME?</x:v>
      </x:c>
      <x:c r="C454" s="46" t="e">
        <x:f>IFERROR(IF($A454="","",INDEX(대장!$F$1:$F$501,$A454)),"")</x:f>
        <x:v>#NAME?</x:v>
      </x:c>
      <x:c r="D454" s="46" t="e">
        <x:f>IFERROR(IF($A454="","",INDEX(대장!$G$1:$G$501,$A454)),"")</x:f>
        <x:v>#NAME?</x:v>
      </x:c>
      <x:c r="E454" t="e">
        <x:f>IF($A454="","",IF(NOT(ISNUMBER(INDEX(대장!$F$1:$F$501,$A454))),"확인 필요",IF(AND(INDEX(대장!$G$1:$G$501,$A454)&lt;&gt;"",NOT(ISNUMBER(INDEX(대장!$G$1:$G$501,$A454)))),"확인 필요",IF(AND(ISNUMBER(INDEX(대장!$G$1:$G$501,$A454)),INDEX(대장!$G$1:$G$501,$A454)&lt;INDEX(대장!$F$1:$F$501,$A454)),"확인 필요",IF(INDEX(대장!$L$1:$L$501,$A454)&lt;&gt;"","메모 있음","정상")))))</x:f>
        <x:v>#NAME?</x:v>
      </x:c>
      <x:c r="F454" t="e">
        <x:f>IF($A454="","",IF($E454="확인 필요","시작일·종료일과 기간 순서를 확인해 주세요.",IF($E454="메모 있음",IFERROR(INDEX(대장!$L$1:$L$501,$A454),""),"")))</x:f>
        <x:v>#NAME?</x:v>
      </x:c>
    </x:row>
    <x:row r="455">
      <x:c r="A455" t="e">
        <x:f>IF(INDEX(대장!$A$1:$A$501,ROW()-2)="","",ROW()-2)</x:f>
        <x:v>#NAME?</x:v>
      </x:c>
      <x:c r="B455" t="e">
        <x:f>IF($A455="","",INDEX(대장!$A$1:$A$501,$A455))</x:f>
        <x:v>#NAME?</x:v>
      </x:c>
      <x:c r="C455" s="46" t="e">
        <x:f>IFERROR(IF($A455="","",INDEX(대장!$F$1:$F$501,$A455)),"")</x:f>
        <x:v>#NAME?</x:v>
      </x:c>
      <x:c r="D455" s="46" t="e">
        <x:f>IFERROR(IF($A455="","",INDEX(대장!$G$1:$G$501,$A455)),"")</x:f>
        <x:v>#NAME?</x:v>
      </x:c>
      <x:c r="E455" t="e">
        <x:f>IF($A455="","",IF(NOT(ISNUMBER(INDEX(대장!$F$1:$F$501,$A455))),"확인 필요",IF(AND(INDEX(대장!$G$1:$G$501,$A455)&lt;&gt;"",NOT(ISNUMBER(INDEX(대장!$G$1:$G$501,$A455)))),"확인 필요",IF(AND(ISNUMBER(INDEX(대장!$G$1:$G$501,$A455)),INDEX(대장!$G$1:$G$501,$A455)&lt;INDEX(대장!$F$1:$F$501,$A455)),"확인 필요",IF(INDEX(대장!$L$1:$L$501,$A455)&lt;&gt;"","메모 있음","정상")))))</x:f>
        <x:v>#NAME?</x:v>
      </x:c>
      <x:c r="F455" t="e">
        <x:f>IF($A455="","",IF($E455="확인 필요","시작일·종료일과 기간 순서를 확인해 주세요.",IF($E455="메모 있음",IFERROR(INDEX(대장!$L$1:$L$501,$A455),""),"")))</x:f>
        <x:v>#NAME?</x:v>
      </x:c>
    </x:row>
    <x:row r="456">
      <x:c r="A456" t="e">
        <x:f>IF(INDEX(대장!$A$1:$A$501,ROW()-2)="","",ROW()-2)</x:f>
        <x:v>#NAME?</x:v>
      </x:c>
      <x:c r="B456" t="e">
        <x:f>IF($A456="","",INDEX(대장!$A$1:$A$501,$A456))</x:f>
        <x:v>#NAME?</x:v>
      </x:c>
      <x:c r="C456" s="46" t="e">
        <x:f>IFERROR(IF($A456="","",INDEX(대장!$F$1:$F$501,$A456)),"")</x:f>
        <x:v>#NAME?</x:v>
      </x:c>
      <x:c r="D456" s="46" t="e">
        <x:f>IFERROR(IF($A456="","",INDEX(대장!$G$1:$G$501,$A456)),"")</x:f>
        <x:v>#NAME?</x:v>
      </x:c>
      <x:c r="E456" t="e">
        <x:f>IF($A456="","",IF(NOT(ISNUMBER(INDEX(대장!$F$1:$F$501,$A456))),"확인 필요",IF(AND(INDEX(대장!$G$1:$G$501,$A456)&lt;&gt;"",NOT(ISNUMBER(INDEX(대장!$G$1:$G$501,$A456)))),"확인 필요",IF(AND(ISNUMBER(INDEX(대장!$G$1:$G$501,$A456)),INDEX(대장!$G$1:$G$501,$A456)&lt;INDEX(대장!$F$1:$F$501,$A456)),"확인 필요",IF(INDEX(대장!$L$1:$L$501,$A456)&lt;&gt;"","메모 있음","정상")))))</x:f>
        <x:v>#NAME?</x:v>
      </x:c>
      <x:c r="F456" t="e">
        <x:f>IF($A456="","",IF($E456="확인 필요","시작일·종료일과 기간 순서를 확인해 주세요.",IF($E456="메모 있음",IFERROR(INDEX(대장!$L$1:$L$501,$A456),""),"")))</x:f>
        <x:v>#NAME?</x:v>
      </x:c>
    </x:row>
    <x:row r="457">
      <x:c r="A457" t="e">
        <x:f>IF(INDEX(대장!$A$1:$A$501,ROW()-2)="","",ROW()-2)</x:f>
        <x:v>#NAME?</x:v>
      </x:c>
      <x:c r="B457" t="e">
        <x:f>IF($A457="","",INDEX(대장!$A$1:$A$501,$A457))</x:f>
        <x:v>#NAME?</x:v>
      </x:c>
      <x:c r="C457" s="46" t="e">
        <x:f>IFERROR(IF($A457="","",INDEX(대장!$F$1:$F$501,$A457)),"")</x:f>
        <x:v>#NAME?</x:v>
      </x:c>
      <x:c r="D457" s="46" t="e">
        <x:f>IFERROR(IF($A457="","",INDEX(대장!$G$1:$G$501,$A457)),"")</x:f>
        <x:v>#NAME?</x:v>
      </x:c>
      <x:c r="E457" t="e">
        <x:f>IF($A457="","",IF(NOT(ISNUMBER(INDEX(대장!$F$1:$F$501,$A457))),"확인 필요",IF(AND(INDEX(대장!$G$1:$G$501,$A457)&lt;&gt;"",NOT(ISNUMBER(INDEX(대장!$G$1:$G$501,$A457)))),"확인 필요",IF(AND(ISNUMBER(INDEX(대장!$G$1:$G$501,$A457)),INDEX(대장!$G$1:$G$501,$A457)&lt;INDEX(대장!$F$1:$F$501,$A457)),"확인 필요",IF(INDEX(대장!$L$1:$L$501,$A457)&lt;&gt;"","메모 있음","정상")))))</x:f>
        <x:v>#NAME?</x:v>
      </x:c>
      <x:c r="F457" t="e">
        <x:f>IF($A457="","",IF($E457="확인 필요","시작일·종료일과 기간 순서를 확인해 주세요.",IF($E457="메모 있음",IFERROR(INDEX(대장!$L$1:$L$501,$A457),""),"")))</x:f>
        <x:v>#NAME?</x:v>
      </x:c>
    </x:row>
    <x:row r="458">
      <x:c r="A458" t="e">
        <x:f>IF(INDEX(대장!$A$1:$A$501,ROW()-2)="","",ROW()-2)</x:f>
        <x:v>#NAME?</x:v>
      </x:c>
      <x:c r="B458" t="e">
        <x:f>IF($A458="","",INDEX(대장!$A$1:$A$501,$A458))</x:f>
        <x:v>#NAME?</x:v>
      </x:c>
      <x:c r="C458" s="46" t="e">
        <x:f>IFERROR(IF($A458="","",INDEX(대장!$F$1:$F$501,$A458)),"")</x:f>
        <x:v>#NAME?</x:v>
      </x:c>
      <x:c r="D458" s="46" t="e">
        <x:f>IFERROR(IF($A458="","",INDEX(대장!$G$1:$G$501,$A458)),"")</x:f>
        <x:v>#NAME?</x:v>
      </x:c>
      <x:c r="E458" t="e">
        <x:f>IF($A458="","",IF(NOT(ISNUMBER(INDEX(대장!$F$1:$F$501,$A458))),"확인 필요",IF(AND(INDEX(대장!$G$1:$G$501,$A458)&lt;&gt;"",NOT(ISNUMBER(INDEX(대장!$G$1:$G$501,$A458)))),"확인 필요",IF(AND(ISNUMBER(INDEX(대장!$G$1:$G$501,$A458)),INDEX(대장!$G$1:$G$501,$A458)&lt;INDEX(대장!$F$1:$F$501,$A458)),"확인 필요",IF(INDEX(대장!$L$1:$L$501,$A458)&lt;&gt;"","메모 있음","정상")))))</x:f>
        <x:v>#NAME?</x:v>
      </x:c>
      <x:c r="F458" t="e">
        <x:f>IF($A458="","",IF($E458="확인 필요","시작일·종료일과 기간 순서를 확인해 주세요.",IF($E458="메모 있음",IFERROR(INDEX(대장!$L$1:$L$501,$A458),""),"")))</x:f>
        <x:v>#NAME?</x:v>
      </x:c>
    </x:row>
    <x:row r="459">
      <x:c r="A459" t="e">
        <x:f>IF(INDEX(대장!$A$1:$A$501,ROW()-2)="","",ROW()-2)</x:f>
        <x:v>#NAME?</x:v>
      </x:c>
      <x:c r="B459" t="e">
        <x:f>IF($A459="","",INDEX(대장!$A$1:$A$501,$A459))</x:f>
        <x:v>#NAME?</x:v>
      </x:c>
      <x:c r="C459" s="46" t="e">
        <x:f>IFERROR(IF($A459="","",INDEX(대장!$F$1:$F$501,$A459)),"")</x:f>
        <x:v>#NAME?</x:v>
      </x:c>
      <x:c r="D459" s="46" t="e">
        <x:f>IFERROR(IF($A459="","",INDEX(대장!$G$1:$G$501,$A459)),"")</x:f>
        <x:v>#NAME?</x:v>
      </x:c>
      <x:c r="E459" t="e">
        <x:f>IF($A459="","",IF(NOT(ISNUMBER(INDEX(대장!$F$1:$F$501,$A459))),"확인 필요",IF(AND(INDEX(대장!$G$1:$G$501,$A459)&lt;&gt;"",NOT(ISNUMBER(INDEX(대장!$G$1:$G$501,$A459)))),"확인 필요",IF(AND(ISNUMBER(INDEX(대장!$G$1:$G$501,$A459)),INDEX(대장!$G$1:$G$501,$A459)&lt;INDEX(대장!$F$1:$F$501,$A459)),"확인 필요",IF(INDEX(대장!$L$1:$L$501,$A459)&lt;&gt;"","메모 있음","정상")))))</x:f>
        <x:v>#NAME?</x:v>
      </x:c>
      <x:c r="F459" t="e">
        <x:f>IF($A459="","",IF($E459="확인 필요","시작일·종료일과 기간 순서를 확인해 주세요.",IF($E459="메모 있음",IFERROR(INDEX(대장!$L$1:$L$501,$A459),""),"")))</x:f>
        <x:v>#NAME?</x:v>
      </x:c>
    </x:row>
    <x:row r="460">
      <x:c r="A460" t="e">
        <x:f>IF(INDEX(대장!$A$1:$A$501,ROW()-2)="","",ROW()-2)</x:f>
        <x:v>#NAME?</x:v>
      </x:c>
      <x:c r="B460" t="e">
        <x:f>IF($A460="","",INDEX(대장!$A$1:$A$501,$A460))</x:f>
        <x:v>#NAME?</x:v>
      </x:c>
      <x:c r="C460" s="46" t="e">
        <x:f>IFERROR(IF($A460="","",INDEX(대장!$F$1:$F$501,$A460)),"")</x:f>
        <x:v>#NAME?</x:v>
      </x:c>
      <x:c r="D460" s="46" t="e">
        <x:f>IFERROR(IF($A460="","",INDEX(대장!$G$1:$G$501,$A460)),"")</x:f>
        <x:v>#NAME?</x:v>
      </x:c>
      <x:c r="E460" t="e">
        <x:f>IF($A460="","",IF(NOT(ISNUMBER(INDEX(대장!$F$1:$F$501,$A460))),"확인 필요",IF(AND(INDEX(대장!$G$1:$G$501,$A460)&lt;&gt;"",NOT(ISNUMBER(INDEX(대장!$G$1:$G$501,$A460)))),"확인 필요",IF(AND(ISNUMBER(INDEX(대장!$G$1:$G$501,$A460)),INDEX(대장!$G$1:$G$501,$A460)&lt;INDEX(대장!$F$1:$F$501,$A460)),"확인 필요",IF(INDEX(대장!$L$1:$L$501,$A460)&lt;&gt;"","메모 있음","정상")))))</x:f>
        <x:v>#NAME?</x:v>
      </x:c>
      <x:c r="F460" t="e">
        <x:f>IF($A460="","",IF($E460="확인 필요","시작일·종료일과 기간 순서를 확인해 주세요.",IF($E460="메모 있음",IFERROR(INDEX(대장!$L$1:$L$501,$A460),""),"")))</x:f>
        <x:v>#NAME?</x:v>
      </x:c>
    </x:row>
    <x:row r="461">
      <x:c r="A461" t="e">
        <x:f>IF(INDEX(대장!$A$1:$A$501,ROW()-2)="","",ROW()-2)</x:f>
        <x:v>#NAME?</x:v>
      </x:c>
      <x:c r="B461" t="e">
        <x:f>IF($A461="","",INDEX(대장!$A$1:$A$501,$A461))</x:f>
        <x:v>#NAME?</x:v>
      </x:c>
      <x:c r="C461" s="46" t="e">
        <x:f>IFERROR(IF($A461="","",INDEX(대장!$F$1:$F$501,$A461)),"")</x:f>
        <x:v>#NAME?</x:v>
      </x:c>
      <x:c r="D461" s="46" t="e">
        <x:f>IFERROR(IF($A461="","",INDEX(대장!$G$1:$G$501,$A461)),"")</x:f>
        <x:v>#NAME?</x:v>
      </x:c>
      <x:c r="E461" t="e">
        <x:f>IF($A461="","",IF(NOT(ISNUMBER(INDEX(대장!$F$1:$F$501,$A461))),"확인 필요",IF(AND(INDEX(대장!$G$1:$G$501,$A461)&lt;&gt;"",NOT(ISNUMBER(INDEX(대장!$G$1:$G$501,$A461)))),"확인 필요",IF(AND(ISNUMBER(INDEX(대장!$G$1:$G$501,$A461)),INDEX(대장!$G$1:$G$501,$A461)&lt;INDEX(대장!$F$1:$F$501,$A461)),"확인 필요",IF(INDEX(대장!$L$1:$L$501,$A461)&lt;&gt;"","메모 있음","정상")))))</x:f>
        <x:v>#NAME?</x:v>
      </x:c>
      <x:c r="F461" t="e">
        <x:f>IF($A461="","",IF($E461="확인 필요","시작일·종료일과 기간 순서를 확인해 주세요.",IF($E461="메모 있음",IFERROR(INDEX(대장!$L$1:$L$501,$A461),""),"")))</x:f>
        <x:v>#NAME?</x:v>
      </x:c>
    </x:row>
    <x:row r="462">
      <x:c r="A462" t="e">
        <x:f>IF(INDEX(대장!$A$1:$A$501,ROW()-2)="","",ROW()-2)</x:f>
        <x:v>#NAME?</x:v>
      </x:c>
      <x:c r="B462" t="e">
        <x:f>IF($A462="","",INDEX(대장!$A$1:$A$501,$A462))</x:f>
        <x:v>#NAME?</x:v>
      </x:c>
      <x:c r="C462" s="46" t="e">
        <x:f>IFERROR(IF($A462="","",INDEX(대장!$F$1:$F$501,$A462)),"")</x:f>
        <x:v>#NAME?</x:v>
      </x:c>
      <x:c r="D462" s="46" t="e">
        <x:f>IFERROR(IF($A462="","",INDEX(대장!$G$1:$G$501,$A462)),"")</x:f>
        <x:v>#NAME?</x:v>
      </x:c>
      <x:c r="E462" t="e">
        <x:f>IF($A462="","",IF(NOT(ISNUMBER(INDEX(대장!$F$1:$F$501,$A462))),"확인 필요",IF(AND(INDEX(대장!$G$1:$G$501,$A462)&lt;&gt;"",NOT(ISNUMBER(INDEX(대장!$G$1:$G$501,$A462)))),"확인 필요",IF(AND(ISNUMBER(INDEX(대장!$G$1:$G$501,$A462)),INDEX(대장!$G$1:$G$501,$A462)&lt;INDEX(대장!$F$1:$F$501,$A462)),"확인 필요",IF(INDEX(대장!$L$1:$L$501,$A462)&lt;&gt;"","메모 있음","정상")))))</x:f>
        <x:v>#NAME?</x:v>
      </x:c>
      <x:c r="F462" t="e">
        <x:f>IF($A462="","",IF($E462="확인 필요","시작일·종료일과 기간 순서를 확인해 주세요.",IF($E462="메모 있음",IFERROR(INDEX(대장!$L$1:$L$501,$A462),""),"")))</x:f>
        <x:v>#NAME?</x:v>
      </x:c>
    </x:row>
    <x:row r="463">
      <x:c r="A463" t="e">
        <x:f>IF(INDEX(대장!$A$1:$A$501,ROW()-2)="","",ROW()-2)</x:f>
        <x:v>#NAME?</x:v>
      </x:c>
      <x:c r="B463" t="e">
        <x:f>IF($A463="","",INDEX(대장!$A$1:$A$501,$A463))</x:f>
        <x:v>#NAME?</x:v>
      </x:c>
      <x:c r="C463" s="46" t="e">
        <x:f>IFERROR(IF($A463="","",INDEX(대장!$F$1:$F$501,$A463)),"")</x:f>
        <x:v>#NAME?</x:v>
      </x:c>
      <x:c r="D463" s="46" t="e">
        <x:f>IFERROR(IF($A463="","",INDEX(대장!$G$1:$G$501,$A463)),"")</x:f>
        <x:v>#NAME?</x:v>
      </x:c>
      <x:c r="E463" t="e">
        <x:f>IF($A463="","",IF(NOT(ISNUMBER(INDEX(대장!$F$1:$F$501,$A463))),"확인 필요",IF(AND(INDEX(대장!$G$1:$G$501,$A463)&lt;&gt;"",NOT(ISNUMBER(INDEX(대장!$G$1:$G$501,$A463)))),"확인 필요",IF(AND(ISNUMBER(INDEX(대장!$G$1:$G$501,$A463)),INDEX(대장!$G$1:$G$501,$A463)&lt;INDEX(대장!$F$1:$F$501,$A463)),"확인 필요",IF(INDEX(대장!$L$1:$L$501,$A463)&lt;&gt;"","메모 있음","정상")))))</x:f>
        <x:v>#NAME?</x:v>
      </x:c>
      <x:c r="F463" t="e">
        <x:f>IF($A463="","",IF($E463="확인 필요","시작일·종료일과 기간 순서를 확인해 주세요.",IF($E463="메모 있음",IFERROR(INDEX(대장!$L$1:$L$501,$A463),""),"")))</x:f>
        <x:v>#NAME?</x:v>
      </x:c>
    </x:row>
    <x:row r="464">
      <x:c r="A464" t="e">
        <x:f>IF(INDEX(대장!$A$1:$A$501,ROW()-2)="","",ROW()-2)</x:f>
        <x:v>#NAME?</x:v>
      </x:c>
      <x:c r="B464" t="e">
        <x:f>IF($A464="","",INDEX(대장!$A$1:$A$501,$A464))</x:f>
        <x:v>#NAME?</x:v>
      </x:c>
      <x:c r="C464" s="46" t="e">
        <x:f>IFERROR(IF($A464="","",INDEX(대장!$F$1:$F$501,$A464)),"")</x:f>
        <x:v>#NAME?</x:v>
      </x:c>
      <x:c r="D464" s="46" t="e">
        <x:f>IFERROR(IF($A464="","",INDEX(대장!$G$1:$G$501,$A464)),"")</x:f>
        <x:v>#NAME?</x:v>
      </x:c>
      <x:c r="E464" t="e">
        <x:f>IF($A464="","",IF(NOT(ISNUMBER(INDEX(대장!$F$1:$F$501,$A464))),"확인 필요",IF(AND(INDEX(대장!$G$1:$G$501,$A464)&lt;&gt;"",NOT(ISNUMBER(INDEX(대장!$G$1:$G$501,$A464)))),"확인 필요",IF(AND(ISNUMBER(INDEX(대장!$G$1:$G$501,$A464)),INDEX(대장!$G$1:$G$501,$A464)&lt;INDEX(대장!$F$1:$F$501,$A464)),"확인 필요",IF(INDEX(대장!$L$1:$L$501,$A464)&lt;&gt;"","메모 있음","정상")))))</x:f>
        <x:v>#NAME?</x:v>
      </x:c>
      <x:c r="F464" t="e">
        <x:f>IF($A464="","",IF($E464="확인 필요","시작일·종료일과 기간 순서를 확인해 주세요.",IF($E464="메모 있음",IFERROR(INDEX(대장!$L$1:$L$501,$A464),""),"")))</x:f>
        <x:v>#NAME?</x:v>
      </x:c>
    </x:row>
    <x:row r="465">
      <x:c r="A465" t="e">
        <x:f>IF(INDEX(대장!$A$1:$A$501,ROW()-2)="","",ROW()-2)</x:f>
        <x:v>#NAME?</x:v>
      </x:c>
      <x:c r="B465" t="e">
        <x:f>IF($A465="","",INDEX(대장!$A$1:$A$501,$A465))</x:f>
        <x:v>#NAME?</x:v>
      </x:c>
      <x:c r="C465" s="46" t="e">
        <x:f>IFERROR(IF($A465="","",INDEX(대장!$F$1:$F$501,$A465)),"")</x:f>
        <x:v>#NAME?</x:v>
      </x:c>
      <x:c r="D465" s="46" t="e">
        <x:f>IFERROR(IF($A465="","",INDEX(대장!$G$1:$G$501,$A465)),"")</x:f>
        <x:v>#NAME?</x:v>
      </x:c>
      <x:c r="E465" t="e">
        <x:f>IF($A465="","",IF(NOT(ISNUMBER(INDEX(대장!$F$1:$F$501,$A465))),"확인 필요",IF(AND(INDEX(대장!$G$1:$G$501,$A465)&lt;&gt;"",NOT(ISNUMBER(INDEX(대장!$G$1:$G$501,$A465)))),"확인 필요",IF(AND(ISNUMBER(INDEX(대장!$G$1:$G$501,$A465)),INDEX(대장!$G$1:$G$501,$A465)&lt;INDEX(대장!$F$1:$F$501,$A465)),"확인 필요",IF(INDEX(대장!$L$1:$L$501,$A465)&lt;&gt;"","메모 있음","정상")))))</x:f>
        <x:v>#NAME?</x:v>
      </x:c>
      <x:c r="F465" t="e">
        <x:f>IF($A465="","",IF($E465="확인 필요","시작일·종료일과 기간 순서를 확인해 주세요.",IF($E465="메모 있음",IFERROR(INDEX(대장!$L$1:$L$501,$A465),""),"")))</x:f>
        <x:v>#NAME?</x:v>
      </x:c>
    </x:row>
    <x:row r="466">
      <x:c r="A466" t="e">
        <x:f>IF(INDEX(대장!$A$1:$A$501,ROW()-2)="","",ROW()-2)</x:f>
        <x:v>#NAME?</x:v>
      </x:c>
      <x:c r="B466" t="e">
        <x:f>IF($A466="","",INDEX(대장!$A$1:$A$501,$A466))</x:f>
        <x:v>#NAME?</x:v>
      </x:c>
      <x:c r="C466" s="46" t="e">
        <x:f>IFERROR(IF($A466="","",INDEX(대장!$F$1:$F$501,$A466)),"")</x:f>
        <x:v>#NAME?</x:v>
      </x:c>
      <x:c r="D466" s="46" t="e">
        <x:f>IFERROR(IF($A466="","",INDEX(대장!$G$1:$G$501,$A466)),"")</x:f>
        <x:v>#NAME?</x:v>
      </x:c>
      <x:c r="E466" t="e">
        <x:f>IF($A466="","",IF(NOT(ISNUMBER(INDEX(대장!$F$1:$F$501,$A466))),"확인 필요",IF(AND(INDEX(대장!$G$1:$G$501,$A466)&lt;&gt;"",NOT(ISNUMBER(INDEX(대장!$G$1:$G$501,$A466)))),"확인 필요",IF(AND(ISNUMBER(INDEX(대장!$G$1:$G$501,$A466)),INDEX(대장!$G$1:$G$501,$A466)&lt;INDEX(대장!$F$1:$F$501,$A466)),"확인 필요",IF(INDEX(대장!$L$1:$L$501,$A466)&lt;&gt;"","메모 있음","정상")))))</x:f>
        <x:v>#NAME?</x:v>
      </x:c>
      <x:c r="F466" t="e">
        <x:f>IF($A466="","",IF($E466="확인 필요","시작일·종료일과 기간 순서를 확인해 주세요.",IF($E466="메모 있음",IFERROR(INDEX(대장!$L$1:$L$501,$A466),""),"")))</x:f>
        <x:v>#NAME?</x:v>
      </x:c>
    </x:row>
    <x:row r="467">
      <x:c r="A467" t="e">
        <x:f>IF(INDEX(대장!$A$1:$A$501,ROW()-2)="","",ROW()-2)</x:f>
        <x:v>#NAME?</x:v>
      </x:c>
      <x:c r="B467" t="e">
        <x:f>IF($A467="","",INDEX(대장!$A$1:$A$501,$A467))</x:f>
        <x:v>#NAME?</x:v>
      </x:c>
      <x:c r="C467" s="46" t="e">
        <x:f>IFERROR(IF($A467="","",INDEX(대장!$F$1:$F$501,$A467)),"")</x:f>
        <x:v>#NAME?</x:v>
      </x:c>
      <x:c r="D467" s="46" t="e">
        <x:f>IFERROR(IF($A467="","",INDEX(대장!$G$1:$G$501,$A467)),"")</x:f>
        <x:v>#NAME?</x:v>
      </x:c>
      <x:c r="E467" t="e">
        <x:f>IF($A467="","",IF(NOT(ISNUMBER(INDEX(대장!$F$1:$F$501,$A467))),"확인 필요",IF(AND(INDEX(대장!$G$1:$G$501,$A467)&lt;&gt;"",NOT(ISNUMBER(INDEX(대장!$G$1:$G$501,$A467)))),"확인 필요",IF(AND(ISNUMBER(INDEX(대장!$G$1:$G$501,$A467)),INDEX(대장!$G$1:$G$501,$A467)&lt;INDEX(대장!$F$1:$F$501,$A467)),"확인 필요",IF(INDEX(대장!$L$1:$L$501,$A467)&lt;&gt;"","메모 있음","정상")))))</x:f>
        <x:v>#NAME?</x:v>
      </x:c>
      <x:c r="F467" t="e">
        <x:f>IF($A467="","",IF($E467="확인 필요","시작일·종료일과 기간 순서를 확인해 주세요.",IF($E467="메모 있음",IFERROR(INDEX(대장!$L$1:$L$501,$A467),""),"")))</x:f>
        <x:v>#NAME?</x:v>
      </x:c>
    </x:row>
    <x:row r="468">
      <x:c r="A468" t="e">
        <x:f>IF(INDEX(대장!$A$1:$A$501,ROW()-2)="","",ROW()-2)</x:f>
        <x:v>#NAME?</x:v>
      </x:c>
      <x:c r="B468" t="e">
        <x:f>IF($A468="","",INDEX(대장!$A$1:$A$501,$A468))</x:f>
        <x:v>#NAME?</x:v>
      </x:c>
      <x:c r="C468" s="46" t="e">
        <x:f>IFERROR(IF($A468="","",INDEX(대장!$F$1:$F$501,$A468)),"")</x:f>
        <x:v>#NAME?</x:v>
      </x:c>
      <x:c r="D468" s="46" t="e">
        <x:f>IFERROR(IF($A468="","",INDEX(대장!$G$1:$G$501,$A468)),"")</x:f>
        <x:v>#NAME?</x:v>
      </x:c>
      <x:c r="E468" t="e">
        <x:f>IF($A468="","",IF(NOT(ISNUMBER(INDEX(대장!$F$1:$F$501,$A468))),"확인 필요",IF(AND(INDEX(대장!$G$1:$G$501,$A468)&lt;&gt;"",NOT(ISNUMBER(INDEX(대장!$G$1:$G$501,$A468)))),"확인 필요",IF(AND(ISNUMBER(INDEX(대장!$G$1:$G$501,$A468)),INDEX(대장!$G$1:$G$501,$A468)&lt;INDEX(대장!$F$1:$F$501,$A468)),"확인 필요",IF(INDEX(대장!$L$1:$L$501,$A468)&lt;&gt;"","메모 있음","정상")))))</x:f>
        <x:v>#NAME?</x:v>
      </x:c>
      <x:c r="F468" t="e">
        <x:f>IF($A468="","",IF($E468="확인 필요","시작일·종료일과 기간 순서를 확인해 주세요.",IF($E468="메모 있음",IFERROR(INDEX(대장!$L$1:$L$501,$A468),""),"")))</x:f>
        <x:v>#NAME?</x:v>
      </x:c>
    </x:row>
    <x:row r="469">
      <x:c r="A469" t="e">
        <x:f>IF(INDEX(대장!$A$1:$A$501,ROW()-2)="","",ROW()-2)</x:f>
        <x:v>#NAME?</x:v>
      </x:c>
      <x:c r="B469" t="e">
        <x:f>IF($A469="","",INDEX(대장!$A$1:$A$501,$A469))</x:f>
        <x:v>#NAME?</x:v>
      </x:c>
      <x:c r="C469" s="46" t="e">
        <x:f>IFERROR(IF($A469="","",INDEX(대장!$F$1:$F$501,$A469)),"")</x:f>
        <x:v>#NAME?</x:v>
      </x:c>
      <x:c r="D469" s="46" t="e">
        <x:f>IFERROR(IF($A469="","",INDEX(대장!$G$1:$G$501,$A469)),"")</x:f>
        <x:v>#NAME?</x:v>
      </x:c>
      <x:c r="E469" t="e">
        <x:f>IF($A469="","",IF(NOT(ISNUMBER(INDEX(대장!$F$1:$F$501,$A469))),"확인 필요",IF(AND(INDEX(대장!$G$1:$G$501,$A469)&lt;&gt;"",NOT(ISNUMBER(INDEX(대장!$G$1:$G$501,$A469)))),"확인 필요",IF(AND(ISNUMBER(INDEX(대장!$G$1:$G$501,$A469)),INDEX(대장!$G$1:$G$501,$A469)&lt;INDEX(대장!$F$1:$F$501,$A469)),"확인 필요",IF(INDEX(대장!$L$1:$L$501,$A469)&lt;&gt;"","메모 있음","정상")))))</x:f>
        <x:v>#NAME?</x:v>
      </x:c>
      <x:c r="F469" t="e">
        <x:f>IF($A469="","",IF($E469="확인 필요","시작일·종료일과 기간 순서를 확인해 주세요.",IF($E469="메모 있음",IFERROR(INDEX(대장!$L$1:$L$501,$A469),""),"")))</x:f>
        <x:v>#NAME?</x:v>
      </x:c>
    </x:row>
    <x:row r="470">
      <x:c r="A470" t="e">
        <x:f>IF(INDEX(대장!$A$1:$A$501,ROW()-2)="","",ROW()-2)</x:f>
        <x:v>#NAME?</x:v>
      </x:c>
      <x:c r="B470" t="e">
        <x:f>IF($A470="","",INDEX(대장!$A$1:$A$501,$A470))</x:f>
        <x:v>#NAME?</x:v>
      </x:c>
      <x:c r="C470" s="46" t="e">
        <x:f>IFERROR(IF($A470="","",INDEX(대장!$F$1:$F$501,$A470)),"")</x:f>
        <x:v>#NAME?</x:v>
      </x:c>
      <x:c r="D470" s="46" t="e">
        <x:f>IFERROR(IF($A470="","",INDEX(대장!$G$1:$G$501,$A470)),"")</x:f>
        <x:v>#NAME?</x:v>
      </x:c>
      <x:c r="E470" t="e">
        <x:f>IF($A470="","",IF(NOT(ISNUMBER(INDEX(대장!$F$1:$F$501,$A470))),"확인 필요",IF(AND(INDEX(대장!$G$1:$G$501,$A470)&lt;&gt;"",NOT(ISNUMBER(INDEX(대장!$G$1:$G$501,$A470)))),"확인 필요",IF(AND(ISNUMBER(INDEX(대장!$G$1:$G$501,$A470)),INDEX(대장!$G$1:$G$501,$A470)&lt;INDEX(대장!$F$1:$F$501,$A470)),"확인 필요",IF(INDEX(대장!$L$1:$L$501,$A470)&lt;&gt;"","메모 있음","정상")))))</x:f>
        <x:v>#NAME?</x:v>
      </x:c>
      <x:c r="F470" t="e">
        <x:f>IF($A470="","",IF($E470="확인 필요","시작일·종료일과 기간 순서를 확인해 주세요.",IF($E470="메모 있음",IFERROR(INDEX(대장!$L$1:$L$501,$A470),""),"")))</x:f>
        <x:v>#NAME?</x:v>
      </x:c>
    </x:row>
    <x:row r="471">
      <x:c r="A471" t="e">
        <x:f>IF(INDEX(대장!$A$1:$A$501,ROW()-2)="","",ROW()-2)</x:f>
        <x:v>#NAME?</x:v>
      </x:c>
      <x:c r="B471" t="e">
        <x:f>IF($A471="","",INDEX(대장!$A$1:$A$501,$A471))</x:f>
        <x:v>#NAME?</x:v>
      </x:c>
      <x:c r="C471" s="46" t="e">
        <x:f>IFERROR(IF($A471="","",INDEX(대장!$F$1:$F$501,$A471)),"")</x:f>
        <x:v>#NAME?</x:v>
      </x:c>
      <x:c r="D471" s="46" t="e">
        <x:f>IFERROR(IF($A471="","",INDEX(대장!$G$1:$G$501,$A471)),"")</x:f>
        <x:v>#NAME?</x:v>
      </x:c>
      <x:c r="E471" t="e">
        <x:f>IF($A471="","",IF(NOT(ISNUMBER(INDEX(대장!$F$1:$F$501,$A471))),"확인 필요",IF(AND(INDEX(대장!$G$1:$G$501,$A471)&lt;&gt;"",NOT(ISNUMBER(INDEX(대장!$G$1:$G$501,$A471)))),"확인 필요",IF(AND(ISNUMBER(INDEX(대장!$G$1:$G$501,$A471)),INDEX(대장!$G$1:$G$501,$A471)&lt;INDEX(대장!$F$1:$F$501,$A471)),"확인 필요",IF(INDEX(대장!$L$1:$L$501,$A471)&lt;&gt;"","메모 있음","정상")))))</x:f>
        <x:v>#NAME?</x:v>
      </x:c>
      <x:c r="F471" t="e">
        <x:f>IF($A471="","",IF($E471="확인 필요","시작일·종료일과 기간 순서를 확인해 주세요.",IF($E471="메모 있음",IFERROR(INDEX(대장!$L$1:$L$501,$A471),""),"")))</x:f>
        <x:v>#NAME?</x:v>
      </x:c>
    </x:row>
    <x:row r="472">
      <x:c r="A472" t="e">
        <x:f>IF(INDEX(대장!$A$1:$A$501,ROW()-2)="","",ROW()-2)</x:f>
        <x:v>#NAME?</x:v>
      </x:c>
      <x:c r="B472" t="e">
        <x:f>IF($A472="","",INDEX(대장!$A$1:$A$501,$A472))</x:f>
        <x:v>#NAME?</x:v>
      </x:c>
      <x:c r="C472" s="46" t="e">
        <x:f>IFERROR(IF($A472="","",INDEX(대장!$F$1:$F$501,$A472)),"")</x:f>
        <x:v>#NAME?</x:v>
      </x:c>
      <x:c r="D472" s="46" t="e">
        <x:f>IFERROR(IF($A472="","",INDEX(대장!$G$1:$G$501,$A472)),"")</x:f>
        <x:v>#NAME?</x:v>
      </x:c>
      <x:c r="E472" t="e">
        <x:f>IF($A472="","",IF(NOT(ISNUMBER(INDEX(대장!$F$1:$F$501,$A472))),"확인 필요",IF(AND(INDEX(대장!$G$1:$G$501,$A472)&lt;&gt;"",NOT(ISNUMBER(INDEX(대장!$G$1:$G$501,$A472)))),"확인 필요",IF(AND(ISNUMBER(INDEX(대장!$G$1:$G$501,$A472)),INDEX(대장!$G$1:$G$501,$A472)&lt;INDEX(대장!$F$1:$F$501,$A472)),"확인 필요",IF(INDEX(대장!$L$1:$L$501,$A472)&lt;&gt;"","메모 있음","정상")))))</x:f>
        <x:v>#NAME?</x:v>
      </x:c>
      <x:c r="F472" t="e">
        <x:f>IF($A472="","",IF($E472="확인 필요","시작일·종료일과 기간 순서를 확인해 주세요.",IF($E472="메모 있음",IFERROR(INDEX(대장!$L$1:$L$501,$A472),""),"")))</x:f>
        <x:v>#NAME?</x:v>
      </x:c>
    </x:row>
    <x:row r="473">
      <x:c r="A473" t="e">
        <x:f>IF(INDEX(대장!$A$1:$A$501,ROW()-2)="","",ROW()-2)</x:f>
        <x:v>#NAME?</x:v>
      </x:c>
      <x:c r="B473" t="e">
        <x:f>IF($A473="","",INDEX(대장!$A$1:$A$501,$A473))</x:f>
        <x:v>#NAME?</x:v>
      </x:c>
      <x:c r="C473" s="46" t="e">
        <x:f>IFERROR(IF($A473="","",INDEX(대장!$F$1:$F$501,$A473)),"")</x:f>
        <x:v>#NAME?</x:v>
      </x:c>
      <x:c r="D473" s="46" t="e">
        <x:f>IFERROR(IF($A473="","",INDEX(대장!$G$1:$G$501,$A473)),"")</x:f>
        <x:v>#NAME?</x:v>
      </x:c>
      <x:c r="E473" t="e">
        <x:f>IF($A473="","",IF(NOT(ISNUMBER(INDEX(대장!$F$1:$F$501,$A473))),"확인 필요",IF(AND(INDEX(대장!$G$1:$G$501,$A473)&lt;&gt;"",NOT(ISNUMBER(INDEX(대장!$G$1:$G$501,$A473)))),"확인 필요",IF(AND(ISNUMBER(INDEX(대장!$G$1:$G$501,$A473)),INDEX(대장!$G$1:$G$501,$A473)&lt;INDEX(대장!$F$1:$F$501,$A473)),"확인 필요",IF(INDEX(대장!$L$1:$L$501,$A473)&lt;&gt;"","메모 있음","정상")))))</x:f>
        <x:v>#NAME?</x:v>
      </x:c>
      <x:c r="F473" t="e">
        <x:f>IF($A473="","",IF($E473="확인 필요","시작일·종료일과 기간 순서를 확인해 주세요.",IF($E473="메모 있음",IFERROR(INDEX(대장!$L$1:$L$501,$A473),""),"")))</x:f>
        <x:v>#NAME?</x:v>
      </x:c>
    </x:row>
    <x:row r="474">
      <x:c r="A474" t="e">
        <x:f>IF(INDEX(대장!$A$1:$A$501,ROW()-2)="","",ROW()-2)</x:f>
        <x:v>#NAME?</x:v>
      </x:c>
      <x:c r="B474" t="e">
        <x:f>IF($A474="","",INDEX(대장!$A$1:$A$501,$A474))</x:f>
        <x:v>#NAME?</x:v>
      </x:c>
      <x:c r="C474" s="46" t="e">
        <x:f>IFERROR(IF($A474="","",INDEX(대장!$F$1:$F$501,$A474)),"")</x:f>
        <x:v>#NAME?</x:v>
      </x:c>
      <x:c r="D474" s="46" t="e">
        <x:f>IFERROR(IF($A474="","",INDEX(대장!$G$1:$G$501,$A474)),"")</x:f>
        <x:v>#NAME?</x:v>
      </x:c>
      <x:c r="E474" t="e">
        <x:f>IF($A474="","",IF(NOT(ISNUMBER(INDEX(대장!$F$1:$F$501,$A474))),"확인 필요",IF(AND(INDEX(대장!$G$1:$G$501,$A474)&lt;&gt;"",NOT(ISNUMBER(INDEX(대장!$G$1:$G$501,$A474)))),"확인 필요",IF(AND(ISNUMBER(INDEX(대장!$G$1:$G$501,$A474)),INDEX(대장!$G$1:$G$501,$A474)&lt;INDEX(대장!$F$1:$F$501,$A474)),"확인 필요",IF(INDEX(대장!$L$1:$L$501,$A474)&lt;&gt;"","메모 있음","정상")))))</x:f>
        <x:v>#NAME?</x:v>
      </x:c>
      <x:c r="F474" t="e">
        <x:f>IF($A474="","",IF($E474="확인 필요","시작일·종료일과 기간 순서를 확인해 주세요.",IF($E474="메모 있음",IFERROR(INDEX(대장!$L$1:$L$501,$A474),""),"")))</x:f>
        <x:v>#NAME?</x:v>
      </x:c>
    </x:row>
    <x:row r="475">
      <x:c r="A475" t="e">
        <x:f>IF(INDEX(대장!$A$1:$A$501,ROW()-2)="","",ROW()-2)</x:f>
        <x:v>#NAME?</x:v>
      </x:c>
      <x:c r="B475" t="e">
        <x:f>IF($A475="","",INDEX(대장!$A$1:$A$501,$A475))</x:f>
        <x:v>#NAME?</x:v>
      </x:c>
      <x:c r="C475" s="46" t="e">
        <x:f>IFERROR(IF($A475="","",INDEX(대장!$F$1:$F$501,$A475)),"")</x:f>
        <x:v>#NAME?</x:v>
      </x:c>
      <x:c r="D475" s="46" t="e">
        <x:f>IFERROR(IF($A475="","",INDEX(대장!$G$1:$G$501,$A475)),"")</x:f>
        <x:v>#NAME?</x:v>
      </x:c>
      <x:c r="E475" t="e">
        <x:f>IF($A475="","",IF(NOT(ISNUMBER(INDEX(대장!$F$1:$F$501,$A475))),"확인 필요",IF(AND(INDEX(대장!$G$1:$G$501,$A475)&lt;&gt;"",NOT(ISNUMBER(INDEX(대장!$G$1:$G$501,$A475)))),"확인 필요",IF(AND(ISNUMBER(INDEX(대장!$G$1:$G$501,$A475)),INDEX(대장!$G$1:$G$501,$A475)&lt;INDEX(대장!$F$1:$F$501,$A475)),"확인 필요",IF(INDEX(대장!$L$1:$L$501,$A475)&lt;&gt;"","메모 있음","정상")))))</x:f>
        <x:v>#NAME?</x:v>
      </x:c>
      <x:c r="F475" t="e">
        <x:f>IF($A475="","",IF($E475="확인 필요","시작일·종료일과 기간 순서를 확인해 주세요.",IF($E475="메모 있음",IFERROR(INDEX(대장!$L$1:$L$501,$A475),""),"")))</x:f>
        <x:v>#NAME?</x:v>
      </x:c>
    </x:row>
    <x:row r="476">
      <x:c r="A476" t="e">
        <x:f>IF(INDEX(대장!$A$1:$A$501,ROW()-2)="","",ROW()-2)</x:f>
        <x:v>#NAME?</x:v>
      </x:c>
      <x:c r="B476" t="e">
        <x:f>IF($A476="","",INDEX(대장!$A$1:$A$501,$A476))</x:f>
        <x:v>#NAME?</x:v>
      </x:c>
      <x:c r="C476" s="46" t="e">
        <x:f>IFERROR(IF($A476="","",INDEX(대장!$F$1:$F$501,$A476)),"")</x:f>
        <x:v>#NAME?</x:v>
      </x:c>
      <x:c r="D476" s="46" t="e">
        <x:f>IFERROR(IF($A476="","",INDEX(대장!$G$1:$G$501,$A476)),"")</x:f>
        <x:v>#NAME?</x:v>
      </x:c>
      <x:c r="E476" t="e">
        <x:f>IF($A476="","",IF(NOT(ISNUMBER(INDEX(대장!$F$1:$F$501,$A476))),"확인 필요",IF(AND(INDEX(대장!$G$1:$G$501,$A476)&lt;&gt;"",NOT(ISNUMBER(INDEX(대장!$G$1:$G$501,$A476)))),"확인 필요",IF(AND(ISNUMBER(INDEX(대장!$G$1:$G$501,$A476)),INDEX(대장!$G$1:$G$501,$A476)&lt;INDEX(대장!$F$1:$F$501,$A476)),"확인 필요",IF(INDEX(대장!$L$1:$L$501,$A476)&lt;&gt;"","메모 있음","정상")))))</x:f>
        <x:v>#NAME?</x:v>
      </x:c>
      <x:c r="F476" t="e">
        <x:f>IF($A476="","",IF($E476="확인 필요","시작일·종료일과 기간 순서를 확인해 주세요.",IF($E476="메모 있음",IFERROR(INDEX(대장!$L$1:$L$501,$A476),""),"")))</x:f>
        <x:v>#NAME?</x:v>
      </x:c>
    </x:row>
    <x:row r="477">
      <x:c r="A477" t="e">
        <x:f>IF(INDEX(대장!$A$1:$A$501,ROW()-2)="","",ROW()-2)</x:f>
        <x:v>#NAME?</x:v>
      </x:c>
      <x:c r="B477" t="e">
        <x:f>IF($A477="","",INDEX(대장!$A$1:$A$501,$A477))</x:f>
        <x:v>#NAME?</x:v>
      </x:c>
      <x:c r="C477" s="46" t="e">
        <x:f>IFERROR(IF($A477="","",INDEX(대장!$F$1:$F$501,$A477)),"")</x:f>
        <x:v>#NAME?</x:v>
      </x:c>
      <x:c r="D477" s="46" t="e">
        <x:f>IFERROR(IF($A477="","",INDEX(대장!$G$1:$G$501,$A477)),"")</x:f>
        <x:v>#NAME?</x:v>
      </x:c>
      <x:c r="E477" t="e">
        <x:f>IF($A477="","",IF(NOT(ISNUMBER(INDEX(대장!$F$1:$F$501,$A477))),"확인 필요",IF(AND(INDEX(대장!$G$1:$G$501,$A477)&lt;&gt;"",NOT(ISNUMBER(INDEX(대장!$G$1:$G$501,$A477)))),"확인 필요",IF(AND(ISNUMBER(INDEX(대장!$G$1:$G$501,$A477)),INDEX(대장!$G$1:$G$501,$A477)&lt;INDEX(대장!$F$1:$F$501,$A477)),"확인 필요",IF(INDEX(대장!$L$1:$L$501,$A477)&lt;&gt;"","메모 있음","정상")))))</x:f>
        <x:v>#NAME?</x:v>
      </x:c>
      <x:c r="F477" t="e">
        <x:f>IF($A477="","",IF($E477="확인 필요","시작일·종료일과 기간 순서를 확인해 주세요.",IF($E477="메모 있음",IFERROR(INDEX(대장!$L$1:$L$501,$A477),""),"")))</x:f>
        <x:v>#NAME?</x:v>
      </x:c>
    </x:row>
    <x:row r="478">
      <x:c r="A478" t="e">
        <x:f>IF(INDEX(대장!$A$1:$A$501,ROW()-2)="","",ROW()-2)</x:f>
        <x:v>#NAME?</x:v>
      </x:c>
      <x:c r="B478" t="e">
        <x:f>IF($A478="","",INDEX(대장!$A$1:$A$501,$A478))</x:f>
        <x:v>#NAME?</x:v>
      </x:c>
      <x:c r="C478" s="46" t="e">
        <x:f>IFERROR(IF($A478="","",INDEX(대장!$F$1:$F$501,$A478)),"")</x:f>
        <x:v>#NAME?</x:v>
      </x:c>
      <x:c r="D478" s="46" t="e">
        <x:f>IFERROR(IF($A478="","",INDEX(대장!$G$1:$G$501,$A478)),"")</x:f>
        <x:v>#NAME?</x:v>
      </x:c>
      <x:c r="E478" t="e">
        <x:f>IF($A478="","",IF(NOT(ISNUMBER(INDEX(대장!$F$1:$F$501,$A478))),"확인 필요",IF(AND(INDEX(대장!$G$1:$G$501,$A478)&lt;&gt;"",NOT(ISNUMBER(INDEX(대장!$G$1:$G$501,$A478)))),"확인 필요",IF(AND(ISNUMBER(INDEX(대장!$G$1:$G$501,$A478)),INDEX(대장!$G$1:$G$501,$A478)&lt;INDEX(대장!$F$1:$F$501,$A478)),"확인 필요",IF(INDEX(대장!$L$1:$L$501,$A478)&lt;&gt;"","메모 있음","정상")))))</x:f>
        <x:v>#NAME?</x:v>
      </x:c>
      <x:c r="F478" t="e">
        <x:f>IF($A478="","",IF($E478="확인 필요","시작일·종료일과 기간 순서를 확인해 주세요.",IF($E478="메모 있음",IFERROR(INDEX(대장!$L$1:$L$501,$A478),""),"")))</x:f>
        <x:v>#NAME?</x:v>
      </x:c>
    </x:row>
    <x:row r="479">
      <x:c r="A479" t="e">
        <x:f>IF(INDEX(대장!$A$1:$A$501,ROW()-2)="","",ROW()-2)</x:f>
        <x:v>#NAME?</x:v>
      </x:c>
      <x:c r="B479" t="e">
        <x:f>IF($A479="","",INDEX(대장!$A$1:$A$501,$A479))</x:f>
        <x:v>#NAME?</x:v>
      </x:c>
      <x:c r="C479" s="46" t="e">
        <x:f>IFERROR(IF($A479="","",INDEX(대장!$F$1:$F$501,$A479)),"")</x:f>
        <x:v>#NAME?</x:v>
      </x:c>
      <x:c r="D479" s="46" t="e">
        <x:f>IFERROR(IF($A479="","",INDEX(대장!$G$1:$G$501,$A479)),"")</x:f>
        <x:v>#NAME?</x:v>
      </x:c>
      <x:c r="E479" t="e">
        <x:f>IF($A479="","",IF(NOT(ISNUMBER(INDEX(대장!$F$1:$F$501,$A479))),"확인 필요",IF(AND(INDEX(대장!$G$1:$G$501,$A479)&lt;&gt;"",NOT(ISNUMBER(INDEX(대장!$G$1:$G$501,$A479)))),"확인 필요",IF(AND(ISNUMBER(INDEX(대장!$G$1:$G$501,$A479)),INDEX(대장!$G$1:$G$501,$A479)&lt;INDEX(대장!$F$1:$F$501,$A479)),"확인 필요",IF(INDEX(대장!$L$1:$L$501,$A479)&lt;&gt;"","메모 있음","정상")))))</x:f>
        <x:v>#NAME?</x:v>
      </x:c>
      <x:c r="F479" t="e">
        <x:f>IF($A479="","",IF($E479="확인 필요","시작일·종료일과 기간 순서를 확인해 주세요.",IF($E479="메모 있음",IFERROR(INDEX(대장!$L$1:$L$501,$A479),""),"")))</x:f>
        <x:v>#NAME?</x:v>
      </x:c>
    </x:row>
    <x:row r="480">
      <x:c r="A480" t="e">
        <x:f>IF(INDEX(대장!$A$1:$A$501,ROW()-2)="","",ROW()-2)</x:f>
        <x:v>#NAME?</x:v>
      </x:c>
      <x:c r="B480" t="e">
        <x:f>IF($A480="","",INDEX(대장!$A$1:$A$501,$A480))</x:f>
        <x:v>#NAME?</x:v>
      </x:c>
      <x:c r="C480" s="46" t="e">
        <x:f>IFERROR(IF($A480="","",INDEX(대장!$F$1:$F$501,$A480)),"")</x:f>
        <x:v>#NAME?</x:v>
      </x:c>
      <x:c r="D480" s="46" t="e">
        <x:f>IFERROR(IF($A480="","",INDEX(대장!$G$1:$G$501,$A480)),"")</x:f>
        <x:v>#NAME?</x:v>
      </x:c>
      <x:c r="E480" t="e">
        <x:f>IF($A480="","",IF(NOT(ISNUMBER(INDEX(대장!$F$1:$F$501,$A480))),"확인 필요",IF(AND(INDEX(대장!$G$1:$G$501,$A480)&lt;&gt;"",NOT(ISNUMBER(INDEX(대장!$G$1:$G$501,$A480)))),"확인 필요",IF(AND(ISNUMBER(INDEX(대장!$G$1:$G$501,$A480)),INDEX(대장!$G$1:$G$501,$A480)&lt;INDEX(대장!$F$1:$F$501,$A480)),"확인 필요",IF(INDEX(대장!$L$1:$L$501,$A480)&lt;&gt;"","메모 있음","정상")))))</x:f>
        <x:v>#NAME?</x:v>
      </x:c>
      <x:c r="F480" t="e">
        <x:f>IF($A480="","",IF($E480="확인 필요","시작일·종료일과 기간 순서를 확인해 주세요.",IF($E480="메모 있음",IFERROR(INDEX(대장!$L$1:$L$501,$A480),""),"")))</x:f>
        <x:v>#NAME?</x:v>
      </x:c>
    </x:row>
    <x:row r="481">
      <x:c r="A481" t="e">
        <x:f>IF(INDEX(대장!$A$1:$A$501,ROW()-2)="","",ROW()-2)</x:f>
        <x:v>#NAME?</x:v>
      </x:c>
      <x:c r="B481" t="e">
        <x:f>IF($A481="","",INDEX(대장!$A$1:$A$501,$A481))</x:f>
        <x:v>#NAME?</x:v>
      </x:c>
      <x:c r="C481" s="46" t="e">
        <x:f>IFERROR(IF($A481="","",INDEX(대장!$F$1:$F$501,$A481)),"")</x:f>
        <x:v>#NAME?</x:v>
      </x:c>
      <x:c r="D481" s="46" t="e">
        <x:f>IFERROR(IF($A481="","",INDEX(대장!$G$1:$G$501,$A481)),"")</x:f>
        <x:v>#NAME?</x:v>
      </x:c>
      <x:c r="E481" t="e">
        <x:f>IF($A481="","",IF(NOT(ISNUMBER(INDEX(대장!$F$1:$F$501,$A481))),"확인 필요",IF(AND(INDEX(대장!$G$1:$G$501,$A481)&lt;&gt;"",NOT(ISNUMBER(INDEX(대장!$G$1:$G$501,$A481)))),"확인 필요",IF(AND(ISNUMBER(INDEX(대장!$G$1:$G$501,$A481)),INDEX(대장!$G$1:$G$501,$A481)&lt;INDEX(대장!$F$1:$F$501,$A481)),"확인 필요",IF(INDEX(대장!$L$1:$L$501,$A481)&lt;&gt;"","메모 있음","정상")))))</x:f>
        <x:v>#NAME?</x:v>
      </x:c>
      <x:c r="F481" t="e">
        <x:f>IF($A481="","",IF($E481="확인 필요","시작일·종료일과 기간 순서를 확인해 주세요.",IF($E481="메모 있음",IFERROR(INDEX(대장!$L$1:$L$501,$A481),""),"")))</x:f>
        <x:v>#NAME?</x:v>
      </x:c>
    </x:row>
    <x:row r="482">
      <x:c r="A482" t="e">
        <x:f>IF(INDEX(대장!$A$1:$A$501,ROW()-2)="","",ROW()-2)</x:f>
        <x:v>#NAME?</x:v>
      </x:c>
      <x:c r="B482" t="e">
        <x:f>IF($A482="","",INDEX(대장!$A$1:$A$501,$A482))</x:f>
        <x:v>#NAME?</x:v>
      </x:c>
      <x:c r="C482" s="46" t="e">
        <x:f>IFERROR(IF($A482="","",INDEX(대장!$F$1:$F$501,$A482)),"")</x:f>
        <x:v>#NAME?</x:v>
      </x:c>
      <x:c r="D482" s="46" t="e">
        <x:f>IFERROR(IF($A482="","",INDEX(대장!$G$1:$G$501,$A482)),"")</x:f>
        <x:v>#NAME?</x:v>
      </x:c>
      <x:c r="E482" t="e">
        <x:f>IF($A482="","",IF(NOT(ISNUMBER(INDEX(대장!$F$1:$F$501,$A482))),"확인 필요",IF(AND(INDEX(대장!$G$1:$G$501,$A482)&lt;&gt;"",NOT(ISNUMBER(INDEX(대장!$G$1:$G$501,$A482)))),"확인 필요",IF(AND(ISNUMBER(INDEX(대장!$G$1:$G$501,$A482)),INDEX(대장!$G$1:$G$501,$A482)&lt;INDEX(대장!$F$1:$F$501,$A482)),"확인 필요",IF(INDEX(대장!$L$1:$L$501,$A482)&lt;&gt;"","메모 있음","정상")))))</x:f>
        <x:v>#NAME?</x:v>
      </x:c>
      <x:c r="F482" t="e">
        <x:f>IF($A482="","",IF($E482="확인 필요","시작일·종료일과 기간 순서를 확인해 주세요.",IF($E482="메모 있음",IFERROR(INDEX(대장!$L$1:$L$501,$A482),""),"")))</x:f>
        <x:v>#NAME?</x:v>
      </x:c>
    </x:row>
    <x:row r="483">
      <x:c r="A483" t="e">
        <x:f>IF(INDEX(대장!$A$1:$A$501,ROW()-2)="","",ROW()-2)</x:f>
        <x:v>#NAME?</x:v>
      </x:c>
      <x:c r="B483" t="e">
        <x:f>IF($A483="","",INDEX(대장!$A$1:$A$501,$A483))</x:f>
        <x:v>#NAME?</x:v>
      </x:c>
      <x:c r="C483" s="46" t="e">
        <x:f>IFERROR(IF($A483="","",INDEX(대장!$F$1:$F$501,$A483)),"")</x:f>
        <x:v>#NAME?</x:v>
      </x:c>
      <x:c r="D483" s="46" t="e">
        <x:f>IFERROR(IF($A483="","",INDEX(대장!$G$1:$G$501,$A483)),"")</x:f>
        <x:v>#NAME?</x:v>
      </x:c>
      <x:c r="E483" t="e">
        <x:f>IF($A483="","",IF(NOT(ISNUMBER(INDEX(대장!$F$1:$F$501,$A483))),"확인 필요",IF(AND(INDEX(대장!$G$1:$G$501,$A483)&lt;&gt;"",NOT(ISNUMBER(INDEX(대장!$G$1:$G$501,$A483)))),"확인 필요",IF(AND(ISNUMBER(INDEX(대장!$G$1:$G$501,$A483)),INDEX(대장!$G$1:$G$501,$A483)&lt;INDEX(대장!$F$1:$F$501,$A483)),"확인 필요",IF(INDEX(대장!$L$1:$L$501,$A483)&lt;&gt;"","메모 있음","정상")))))</x:f>
        <x:v>#NAME?</x:v>
      </x:c>
      <x:c r="F483" t="e">
        <x:f>IF($A483="","",IF($E483="확인 필요","시작일·종료일과 기간 순서를 확인해 주세요.",IF($E483="메모 있음",IFERROR(INDEX(대장!$L$1:$L$501,$A483),""),"")))</x:f>
        <x:v>#NAME?</x:v>
      </x:c>
    </x:row>
    <x:row r="484">
      <x:c r="A484" t="e">
        <x:f>IF(INDEX(대장!$A$1:$A$501,ROW()-2)="","",ROW()-2)</x:f>
        <x:v>#NAME?</x:v>
      </x:c>
      <x:c r="B484" t="e">
        <x:f>IF($A484="","",INDEX(대장!$A$1:$A$501,$A484))</x:f>
        <x:v>#NAME?</x:v>
      </x:c>
      <x:c r="C484" s="46" t="e">
        <x:f>IFERROR(IF($A484="","",INDEX(대장!$F$1:$F$501,$A484)),"")</x:f>
        <x:v>#NAME?</x:v>
      </x:c>
      <x:c r="D484" s="46" t="e">
        <x:f>IFERROR(IF($A484="","",INDEX(대장!$G$1:$G$501,$A484)),"")</x:f>
        <x:v>#NAME?</x:v>
      </x:c>
      <x:c r="E484" t="e">
        <x:f>IF($A484="","",IF(NOT(ISNUMBER(INDEX(대장!$F$1:$F$501,$A484))),"확인 필요",IF(AND(INDEX(대장!$G$1:$G$501,$A484)&lt;&gt;"",NOT(ISNUMBER(INDEX(대장!$G$1:$G$501,$A484)))),"확인 필요",IF(AND(ISNUMBER(INDEX(대장!$G$1:$G$501,$A484)),INDEX(대장!$G$1:$G$501,$A484)&lt;INDEX(대장!$F$1:$F$501,$A484)),"확인 필요",IF(INDEX(대장!$L$1:$L$501,$A484)&lt;&gt;"","메모 있음","정상")))))</x:f>
        <x:v>#NAME?</x:v>
      </x:c>
      <x:c r="F484" t="e">
        <x:f>IF($A484="","",IF($E484="확인 필요","시작일·종료일과 기간 순서를 확인해 주세요.",IF($E484="메모 있음",IFERROR(INDEX(대장!$L$1:$L$501,$A484),""),"")))</x:f>
        <x:v>#NAME?</x:v>
      </x:c>
    </x:row>
    <x:row r="485">
      <x:c r="A485" t="e">
        <x:f>IF(INDEX(대장!$A$1:$A$501,ROW()-2)="","",ROW()-2)</x:f>
        <x:v>#NAME?</x:v>
      </x:c>
      <x:c r="B485" t="e">
        <x:f>IF($A485="","",INDEX(대장!$A$1:$A$501,$A485))</x:f>
        <x:v>#NAME?</x:v>
      </x:c>
      <x:c r="C485" s="46" t="e">
        <x:f>IFERROR(IF($A485="","",INDEX(대장!$F$1:$F$501,$A485)),"")</x:f>
        <x:v>#NAME?</x:v>
      </x:c>
      <x:c r="D485" s="46" t="e">
        <x:f>IFERROR(IF($A485="","",INDEX(대장!$G$1:$G$501,$A485)),"")</x:f>
        <x:v>#NAME?</x:v>
      </x:c>
      <x:c r="E485" t="e">
        <x:f>IF($A485="","",IF(NOT(ISNUMBER(INDEX(대장!$F$1:$F$501,$A485))),"확인 필요",IF(AND(INDEX(대장!$G$1:$G$501,$A485)&lt;&gt;"",NOT(ISNUMBER(INDEX(대장!$G$1:$G$501,$A485)))),"확인 필요",IF(AND(ISNUMBER(INDEX(대장!$G$1:$G$501,$A485)),INDEX(대장!$G$1:$G$501,$A485)&lt;INDEX(대장!$F$1:$F$501,$A485)),"확인 필요",IF(INDEX(대장!$L$1:$L$501,$A485)&lt;&gt;"","메모 있음","정상")))))</x:f>
        <x:v>#NAME?</x:v>
      </x:c>
      <x:c r="F485" t="e">
        <x:f>IF($A485="","",IF($E485="확인 필요","시작일·종료일과 기간 순서를 확인해 주세요.",IF($E485="메모 있음",IFERROR(INDEX(대장!$L$1:$L$501,$A485),""),"")))</x:f>
        <x:v>#NAME?</x:v>
      </x:c>
    </x:row>
    <x:row r="486">
      <x:c r="A486" t="e">
        <x:f>IF(INDEX(대장!$A$1:$A$501,ROW()-2)="","",ROW()-2)</x:f>
        <x:v>#NAME?</x:v>
      </x:c>
      <x:c r="B486" t="e">
        <x:f>IF($A486="","",INDEX(대장!$A$1:$A$501,$A486))</x:f>
        <x:v>#NAME?</x:v>
      </x:c>
      <x:c r="C486" s="46" t="e">
        <x:f>IFERROR(IF($A486="","",INDEX(대장!$F$1:$F$501,$A486)),"")</x:f>
        <x:v>#NAME?</x:v>
      </x:c>
      <x:c r="D486" s="46" t="e">
        <x:f>IFERROR(IF($A486="","",INDEX(대장!$G$1:$G$501,$A486)),"")</x:f>
        <x:v>#NAME?</x:v>
      </x:c>
      <x:c r="E486" t="e">
        <x:f>IF($A486="","",IF(NOT(ISNUMBER(INDEX(대장!$F$1:$F$501,$A486))),"확인 필요",IF(AND(INDEX(대장!$G$1:$G$501,$A486)&lt;&gt;"",NOT(ISNUMBER(INDEX(대장!$G$1:$G$501,$A486)))),"확인 필요",IF(AND(ISNUMBER(INDEX(대장!$G$1:$G$501,$A486)),INDEX(대장!$G$1:$G$501,$A486)&lt;INDEX(대장!$F$1:$F$501,$A486)),"확인 필요",IF(INDEX(대장!$L$1:$L$501,$A486)&lt;&gt;"","메모 있음","정상")))))</x:f>
        <x:v>#NAME?</x:v>
      </x:c>
      <x:c r="F486" t="e">
        <x:f>IF($A486="","",IF($E486="확인 필요","시작일·종료일과 기간 순서를 확인해 주세요.",IF($E486="메모 있음",IFERROR(INDEX(대장!$L$1:$L$501,$A486),""),"")))</x:f>
        <x:v>#NAME?</x:v>
      </x:c>
    </x:row>
    <x:row r="487">
      <x:c r="A487" t="e">
        <x:f>IF(INDEX(대장!$A$1:$A$501,ROW()-2)="","",ROW()-2)</x:f>
        <x:v>#NAME?</x:v>
      </x:c>
      <x:c r="B487" t="e">
        <x:f>IF($A487="","",INDEX(대장!$A$1:$A$501,$A487))</x:f>
        <x:v>#NAME?</x:v>
      </x:c>
      <x:c r="C487" s="46" t="e">
        <x:f>IFERROR(IF($A487="","",INDEX(대장!$F$1:$F$501,$A487)),"")</x:f>
        <x:v>#NAME?</x:v>
      </x:c>
      <x:c r="D487" s="46" t="e">
        <x:f>IFERROR(IF($A487="","",INDEX(대장!$G$1:$G$501,$A487)),"")</x:f>
        <x:v>#NAME?</x:v>
      </x:c>
      <x:c r="E487" t="e">
        <x:f>IF($A487="","",IF(NOT(ISNUMBER(INDEX(대장!$F$1:$F$501,$A487))),"확인 필요",IF(AND(INDEX(대장!$G$1:$G$501,$A487)&lt;&gt;"",NOT(ISNUMBER(INDEX(대장!$G$1:$G$501,$A487)))),"확인 필요",IF(AND(ISNUMBER(INDEX(대장!$G$1:$G$501,$A487)),INDEX(대장!$G$1:$G$501,$A487)&lt;INDEX(대장!$F$1:$F$501,$A487)),"확인 필요",IF(INDEX(대장!$L$1:$L$501,$A487)&lt;&gt;"","메모 있음","정상")))))</x:f>
        <x:v>#NAME?</x:v>
      </x:c>
      <x:c r="F487" t="e">
        <x:f>IF($A487="","",IF($E487="확인 필요","시작일·종료일과 기간 순서를 확인해 주세요.",IF($E487="메모 있음",IFERROR(INDEX(대장!$L$1:$L$501,$A487),""),"")))</x:f>
        <x:v>#NAME?</x:v>
      </x:c>
    </x:row>
    <x:row r="488">
      <x:c r="A488" t="e">
        <x:f>IF(INDEX(대장!$A$1:$A$501,ROW()-2)="","",ROW()-2)</x:f>
        <x:v>#NAME?</x:v>
      </x:c>
      <x:c r="B488" t="e">
        <x:f>IF($A488="","",INDEX(대장!$A$1:$A$501,$A488))</x:f>
        <x:v>#NAME?</x:v>
      </x:c>
      <x:c r="C488" s="46" t="e">
        <x:f>IFERROR(IF($A488="","",INDEX(대장!$F$1:$F$501,$A488)),"")</x:f>
        <x:v>#NAME?</x:v>
      </x:c>
      <x:c r="D488" s="46" t="e">
        <x:f>IFERROR(IF($A488="","",INDEX(대장!$G$1:$G$501,$A488)),"")</x:f>
        <x:v>#NAME?</x:v>
      </x:c>
      <x:c r="E488" t="e">
        <x:f>IF($A488="","",IF(NOT(ISNUMBER(INDEX(대장!$F$1:$F$501,$A488))),"확인 필요",IF(AND(INDEX(대장!$G$1:$G$501,$A488)&lt;&gt;"",NOT(ISNUMBER(INDEX(대장!$G$1:$G$501,$A488)))),"확인 필요",IF(AND(ISNUMBER(INDEX(대장!$G$1:$G$501,$A488)),INDEX(대장!$G$1:$G$501,$A488)&lt;INDEX(대장!$F$1:$F$501,$A488)),"확인 필요",IF(INDEX(대장!$L$1:$L$501,$A488)&lt;&gt;"","메모 있음","정상")))))</x:f>
        <x:v>#NAME?</x:v>
      </x:c>
      <x:c r="F488" t="e">
        <x:f>IF($A488="","",IF($E488="확인 필요","시작일·종료일과 기간 순서를 확인해 주세요.",IF($E488="메모 있음",IFERROR(INDEX(대장!$L$1:$L$501,$A488),""),"")))</x:f>
        <x:v>#NAME?</x:v>
      </x:c>
    </x:row>
    <x:row r="489">
      <x:c r="A489" t="e">
        <x:f>IF(INDEX(대장!$A$1:$A$501,ROW()-2)="","",ROW()-2)</x:f>
        <x:v>#NAME?</x:v>
      </x:c>
      <x:c r="B489" t="e">
        <x:f>IF($A489="","",INDEX(대장!$A$1:$A$501,$A489))</x:f>
        <x:v>#NAME?</x:v>
      </x:c>
      <x:c r="C489" s="46" t="e">
        <x:f>IFERROR(IF($A489="","",INDEX(대장!$F$1:$F$501,$A489)),"")</x:f>
        <x:v>#NAME?</x:v>
      </x:c>
      <x:c r="D489" s="46" t="e">
        <x:f>IFERROR(IF($A489="","",INDEX(대장!$G$1:$G$501,$A489)),"")</x:f>
        <x:v>#NAME?</x:v>
      </x:c>
      <x:c r="E489" t="e">
        <x:f>IF($A489="","",IF(NOT(ISNUMBER(INDEX(대장!$F$1:$F$501,$A489))),"확인 필요",IF(AND(INDEX(대장!$G$1:$G$501,$A489)&lt;&gt;"",NOT(ISNUMBER(INDEX(대장!$G$1:$G$501,$A489)))),"확인 필요",IF(AND(ISNUMBER(INDEX(대장!$G$1:$G$501,$A489)),INDEX(대장!$G$1:$G$501,$A489)&lt;INDEX(대장!$F$1:$F$501,$A489)),"확인 필요",IF(INDEX(대장!$L$1:$L$501,$A489)&lt;&gt;"","메모 있음","정상")))))</x:f>
        <x:v>#NAME?</x:v>
      </x:c>
      <x:c r="F489" t="e">
        <x:f>IF($A489="","",IF($E489="확인 필요","시작일·종료일과 기간 순서를 확인해 주세요.",IF($E489="메모 있음",IFERROR(INDEX(대장!$L$1:$L$501,$A489),""),"")))</x:f>
        <x:v>#NAME?</x:v>
      </x:c>
    </x:row>
    <x:row r="490">
      <x:c r="A490" t="e">
        <x:f>IF(INDEX(대장!$A$1:$A$501,ROW()-2)="","",ROW()-2)</x:f>
        <x:v>#NAME?</x:v>
      </x:c>
      <x:c r="B490" t="e">
        <x:f>IF($A490="","",INDEX(대장!$A$1:$A$501,$A490))</x:f>
        <x:v>#NAME?</x:v>
      </x:c>
      <x:c r="C490" s="46" t="e">
        <x:f>IFERROR(IF($A490="","",INDEX(대장!$F$1:$F$501,$A490)),"")</x:f>
        <x:v>#NAME?</x:v>
      </x:c>
      <x:c r="D490" s="46" t="e">
        <x:f>IFERROR(IF($A490="","",INDEX(대장!$G$1:$G$501,$A490)),"")</x:f>
        <x:v>#NAME?</x:v>
      </x:c>
      <x:c r="E490" t="e">
        <x:f>IF($A490="","",IF(NOT(ISNUMBER(INDEX(대장!$F$1:$F$501,$A490))),"확인 필요",IF(AND(INDEX(대장!$G$1:$G$501,$A490)&lt;&gt;"",NOT(ISNUMBER(INDEX(대장!$G$1:$G$501,$A490)))),"확인 필요",IF(AND(ISNUMBER(INDEX(대장!$G$1:$G$501,$A490)),INDEX(대장!$G$1:$G$501,$A490)&lt;INDEX(대장!$F$1:$F$501,$A490)),"확인 필요",IF(INDEX(대장!$L$1:$L$501,$A490)&lt;&gt;"","메모 있음","정상")))))</x:f>
        <x:v>#NAME?</x:v>
      </x:c>
      <x:c r="F490" t="e">
        <x:f>IF($A490="","",IF($E490="확인 필요","시작일·종료일과 기간 순서를 확인해 주세요.",IF($E490="메모 있음",IFERROR(INDEX(대장!$L$1:$L$501,$A490),""),"")))</x:f>
        <x:v>#NAME?</x:v>
      </x:c>
    </x:row>
    <x:row r="491">
      <x:c r="A491" t="e">
        <x:f>IF(INDEX(대장!$A$1:$A$501,ROW()-2)="","",ROW()-2)</x:f>
        <x:v>#NAME?</x:v>
      </x:c>
      <x:c r="B491" t="e">
        <x:f>IF($A491="","",INDEX(대장!$A$1:$A$501,$A491))</x:f>
        <x:v>#NAME?</x:v>
      </x:c>
      <x:c r="C491" s="46" t="e">
        <x:f>IFERROR(IF($A491="","",INDEX(대장!$F$1:$F$501,$A491)),"")</x:f>
        <x:v>#NAME?</x:v>
      </x:c>
      <x:c r="D491" s="46" t="e">
        <x:f>IFERROR(IF($A491="","",INDEX(대장!$G$1:$G$501,$A491)),"")</x:f>
        <x:v>#NAME?</x:v>
      </x:c>
      <x:c r="E491" t="e">
        <x:f>IF($A491="","",IF(NOT(ISNUMBER(INDEX(대장!$F$1:$F$501,$A491))),"확인 필요",IF(AND(INDEX(대장!$G$1:$G$501,$A491)&lt;&gt;"",NOT(ISNUMBER(INDEX(대장!$G$1:$G$501,$A491)))),"확인 필요",IF(AND(ISNUMBER(INDEX(대장!$G$1:$G$501,$A491)),INDEX(대장!$G$1:$G$501,$A491)&lt;INDEX(대장!$F$1:$F$501,$A491)),"확인 필요",IF(INDEX(대장!$L$1:$L$501,$A491)&lt;&gt;"","메모 있음","정상")))))</x:f>
        <x:v>#NAME?</x:v>
      </x:c>
      <x:c r="F491" t="e">
        <x:f>IF($A491="","",IF($E491="확인 필요","시작일·종료일과 기간 순서를 확인해 주세요.",IF($E491="메모 있음",IFERROR(INDEX(대장!$L$1:$L$501,$A491),""),"")))</x:f>
        <x:v>#NAME?</x:v>
      </x:c>
    </x:row>
    <x:row r="492">
      <x:c r="A492" t="e">
        <x:f>IF(INDEX(대장!$A$1:$A$501,ROW()-2)="","",ROW()-2)</x:f>
        <x:v>#NAME?</x:v>
      </x:c>
      <x:c r="B492" t="e">
        <x:f>IF($A492="","",INDEX(대장!$A$1:$A$501,$A492))</x:f>
        <x:v>#NAME?</x:v>
      </x:c>
      <x:c r="C492" s="46" t="e">
        <x:f>IFERROR(IF($A492="","",INDEX(대장!$F$1:$F$501,$A492)),"")</x:f>
        <x:v>#NAME?</x:v>
      </x:c>
      <x:c r="D492" s="46" t="e">
        <x:f>IFERROR(IF($A492="","",INDEX(대장!$G$1:$G$501,$A492)),"")</x:f>
        <x:v>#NAME?</x:v>
      </x:c>
      <x:c r="E492" t="e">
        <x:f>IF($A492="","",IF(NOT(ISNUMBER(INDEX(대장!$F$1:$F$501,$A492))),"확인 필요",IF(AND(INDEX(대장!$G$1:$G$501,$A492)&lt;&gt;"",NOT(ISNUMBER(INDEX(대장!$G$1:$G$501,$A492)))),"확인 필요",IF(AND(ISNUMBER(INDEX(대장!$G$1:$G$501,$A492)),INDEX(대장!$G$1:$G$501,$A492)&lt;INDEX(대장!$F$1:$F$501,$A492)),"확인 필요",IF(INDEX(대장!$L$1:$L$501,$A492)&lt;&gt;"","메모 있음","정상")))))</x:f>
        <x:v>#NAME?</x:v>
      </x:c>
      <x:c r="F492" t="e">
        <x:f>IF($A492="","",IF($E492="확인 필요","시작일·종료일과 기간 순서를 확인해 주세요.",IF($E492="메모 있음",IFERROR(INDEX(대장!$L$1:$L$501,$A492),""),"")))</x:f>
        <x:v>#NAME?</x:v>
      </x:c>
    </x:row>
    <x:row r="493">
      <x:c r="A493" t="e">
        <x:f>IF(INDEX(대장!$A$1:$A$501,ROW()-2)="","",ROW()-2)</x:f>
        <x:v>#NAME?</x:v>
      </x:c>
      <x:c r="B493" t="e">
        <x:f>IF($A493="","",INDEX(대장!$A$1:$A$501,$A493))</x:f>
        <x:v>#NAME?</x:v>
      </x:c>
      <x:c r="C493" s="46" t="e">
        <x:f>IFERROR(IF($A493="","",INDEX(대장!$F$1:$F$501,$A493)),"")</x:f>
        <x:v>#NAME?</x:v>
      </x:c>
      <x:c r="D493" s="46" t="e">
        <x:f>IFERROR(IF($A493="","",INDEX(대장!$G$1:$G$501,$A493)),"")</x:f>
        <x:v>#NAME?</x:v>
      </x:c>
      <x:c r="E493" t="e">
        <x:f>IF($A493="","",IF(NOT(ISNUMBER(INDEX(대장!$F$1:$F$501,$A493))),"확인 필요",IF(AND(INDEX(대장!$G$1:$G$501,$A493)&lt;&gt;"",NOT(ISNUMBER(INDEX(대장!$G$1:$G$501,$A493)))),"확인 필요",IF(AND(ISNUMBER(INDEX(대장!$G$1:$G$501,$A493)),INDEX(대장!$G$1:$G$501,$A493)&lt;INDEX(대장!$F$1:$F$501,$A493)),"확인 필요",IF(INDEX(대장!$L$1:$L$501,$A493)&lt;&gt;"","메모 있음","정상")))))</x:f>
        <x:v>#NAME?</x:v>
      </x:c>
      <x:c r="F493" t="e">
        <x:f>IF($A493="","",IF($E493="확인 필요","시작일·종료일과 기간 순서를 확인해 주세요.",IF($E493="메모 있음",IFERROR(INDEX(대장!$L$1:$L$501,$A493),""),"")))</x:f>
        <x:v>#NAME?</x:v>
      </x:c>
    </x:row>
    <x:row r="494">
      <x:c r="A494" t="e">
        <x:f>IF(INDEX(대장!$A$1:$A$501,ROW()-2)="","",ROW()-2)</x:f>
        <x:v>#NAME?</x:v>
      </x:c>
      <x:c r="B494" t="e">
        <x:f>IF($A494="","",INDEX(대장!$A$1:$A$501,$A494))</x:f>
        <x:v>#NAME?</x:v>
      </x:c>
      <x:c r="C494" s="46" t="e">
        <x:f>IFERROR(IF($A494="","",INDEX(대장!$F$1:$F$501,$A494)),"")</x:f>
        <x:v>#NAME?</x:v>
      </x:c>
      <x:c r="D494" s="46" t="e">
        <x:f>IFERROR(IF($A494="","",INDEX(대장!$G$1:$G$501,$A494)),"")</x:f>
        <x:v>#NAME?</x:v>
      </x:c>
      <x:c r="E494" t="e">
        <x:f>IF($A494="","",IF(NOT(ISNUMBER(INDEX(대장!$F$1:$F$501,$A494))),"확인 필요",IF(AND(INDEX(대장!$G$1:$G$501,$A494)&lt;&gt;"",NOT(ISNUMBER(INDEX(대장!$G$1:$G$501,$A494)))),"확인 필요",IF(AND(ISNUMBER(INDEX(대장!$G$1:$G$501,$A494)),INDEX(대장!$G$1:$G$501,$A494)&lt;INDEX(대장!$F$1:$F$501,$A494)),"확인 필요",IF(INDEX(대장!$L$1:$L$501,$A494)&lt;&gt;"","메모 있음","정상")))))</x:f>
        <x:v>#NAME?</x:v>
      </x:c>
      <x:c r="F494" t="e">
        <x:f>IF($A494="","",IF($E494="확인 필요","시작일·종료일과 기간 순서를 확인해 주세요.",IF($E494="메모 있음",IFERROR(INDEX(대장!$L$1:$L$501,$A494),""),"")))</x:f>
        <x:v>#NAME?</x:v>
      </x:c>
    </x:row>
    <x:row r="495">
      <x:c r="A495" t="e">
        <x:f>IF(INDEX(대장!$A$1:$A$501,ROW()-2)="","",ROW()-2)</x:f>
        <x:v>#NAME?</x:v>
      </x:c>
      <x:c r="B495" t="e">
        <x:f>IF($A495="","",INDEX(대장!$A$1:$A$501,$A495))</x:f>
        <x:v>#NAME?</x:v>
      </x:c>
      <x:c r="C495" s="46" t="e">
        <x:f>IFERROR(IF($A495="","",INDEX(대장!$F$1:$F$501,$A495)),"")</x:f>
        <x:v>#NAME?</x:v>
      </x:c>
      <x:c r="D495" s="46" t="e">
        <x:f>IFERROR(IF($A495="","",INDEX(대장!$G$1:$G$501,$A495)),"")</x:f>
        <x:v>#NAME?</x:v>
      </x:c>
      <x:c r="E495" t="e">
        <x:f>IF($A495="","",IF(NOT(ISNUMBER(INDEX(대장!$F$1:$F$501,$A495))),"확인 필요",IF(AND(INDEX(대장!$G$1:$G$501,$A495)&lt;&gt;"",NOT(ISNUMBER(INDEX(대장!$G$1:$G$501,$A495)))),"확인 필요",IF(AND(ISNUMBER(INDEX(대장!$G$1:$G$501,$A495)),INDEX(대장!$G$1:$G$501,$A495)&lt;INDEX(대장!$F$1:$F$501,$A495)),"확인 필요",IF(INDEX(대장!$L$1:$L$501,$A495)&lt;&gt;"","메모 있음","정상")))))</x:f>
        <x:v>#NAME?</x:v>
      </x:c>
      <x:c r="F495" t="e">
        <x:f>IF($A495="","",IF($E495="확인 필요","시작일·종료일과 기간 순서를 확인해 주세요.",IF($E495="메모 있음",IFERROR(INDEX(대장!$L$1:$L$501,$A495),""),"")))</x:f>
        <x:v>#NAME?</x:v>
      </x:c>
    </x:row>
    <x:row r="496">
      <x:c r="A496" t="e">
        <x:f>IF(INDEX(대장!$A$1:$A$501,ROW()-2)="","",ROW()-2)</x:f>
        <x:v>#NAME?</x:v>
      </x:c>
      <x:c r="B496" t="e">
        <x:f>IF($A496="","",INDEX(대장!$A$1:$A$501,$A496))</x:f>
        <x:v>#NAME?</x:v>
      </x:c>
      <x:c r="C496" s="46" t="e">
        <x:f>IFERROR(IF($A496="","",INDEX(대장!$F$1:$F$501,$A496)),"")</x:f>
        <x:v>#NAME?</x:v>
      </x:c>
      <x:c r="D496" s="46" t="e">
        <x:f>IFERROR(IF($A496="","",INDEX(대장!$G$1:$G$501,$A496)),"")</x:f>
        <x:v>#NAME?</x:v>
      </x:c>
      <x:c r="E496" t="e">
        <x:f>IF($A496="","",IF(NOT(ISNUMBER(INDEX(대장!$F$1:$F$501,$A496))),"확인 필요",IF(AND(INDEX(대장!$G$1:$G$501,$A496)&lt;&gt;"",NOT(ISNUMBER(INDEX(대장!$G$1:$G$501,$A496)))),"확인 필요",IF(AND(ISNUMBER(INDEX(대장!$G$1:$G$501,$A496)),INDEX(대장!$G$1:$G$501,$A496)&lt;INDEX(대장!$F$1:$F$501,$A496)),"확인 필요",IF(INDEX(대장!$L$1:$L$501,$A496)&lt;&gt;"","메모 있음","정상")))))</x:f>
        <x:v>#NAME?</x:v>
      </x:c>
      <x:c r="F496" t="e">
        <x:f>IF($A496="","",IF($E496="확인 필요","시작일·종료일과 기간 순서를 확인해 주세요.",IF($E496="메모 있음",IFERROR(INDEX(대장!$L$1:$L$501,$A496),""),"")))</x:f>
        <x:v>#NAME?</x:v>
      </x:c>
    </x:row>
    <x:row r="497">
      <x:c r="A497" t="e">
        <x:f>IF(INDEX(대장!$A$1:$A$501,ROW()-2)="","",ROW()-2)</x:f>
        <x:v>#NAME?</x:v>
      </x:c>
      <x:c r="B497" t="e">
        <x:f>IF($A497="","",INDEX(대장!$A$1:$A$501,$A497))</x:f>
        <x:v>#NAME?</x:v>
      </x:c>
      <x:c r="C497" s="46" t="e">
        <x:f>IFERROR(IF($A497="","",INDEX(대장!$F$1:$F$501,$A497)),"")</x:f>
        <x:v>#NAME?</x:v>
      </x:c>
      <x:c r="D497" s="46" t="e">
        <x:f>IFERROR(IF($A497="","",INDEX(대장!$G$1:$G$501,$A497)),"")</x:f>
        <x:v>#NAME?</x:v>
      </x:c>
      <x:c r="E497" t="e">
        <x:f>IF($A497="","",IF(NOT(ISNUMBER(INDEX(대장!$F$1:$F$501,$A497))),"확인 필요",IF(AND(INDEX(대장!$G$1:$G$501,$A497)&lt;&gt;"",NOT(ISNUMBER(INDEX(대장!$G$1:$G$501,$A497)))),"확인 필요",IF(AND(ISNUMBER(INDEX(대장!$G$1:$G$501,$A497)),INDEX(대장!$G$1:$G$501,$A497)&lt;INDEX(대장!$F$1:$F$501,$A497)),"확인 필요",IF(INDEX(대장!$L$1:$L$501,$A497)&lt;&gt;"","메모 있음","정상")))))</x:f>
        <x:v>#NAME?</x:v>
      </x:c>
      <x:c r="F497" t="e">
        <x:f>IF($A497="","",IF($E497="확인 필요","시작일·종료일과 기간 순서를 확인해 주세요.",IF($E497="메모 있음",IFERROR(INDEX(대장!$L$1:$L$501,$A497),""),"")))</x:f>
        <x:v>#NAME?</x:v>
      </x:c>
    </x:row>
    <x:row r="498">
      <x:c r="A498" t="e">
        <x:f>IF(INDEX(대장!$A$1:$A$501,ROW()-2)="","",ROW()-2)</x:f>
        <x:v>#NAME?</x:v>
      </x:c>
      <x:c r="B498" t="e">
        <x:f>IF($A498="","",INDEX(대장!$A$1:$A$501,$A498))</x:f>
        <x:v>#NAME?</x:v>
      </x:c>
      <x:c r="C498" s="46" t="e">
        <x:f>IFERROR(IF($A498="","",INDEX(대장!$F$1:$F$501,$A498)),"")</x:f>
        <x:v>#NAME?</x:v>
      </x:c>
      <x:c r="D498" s="46" t="e">
        <x:f>IFERROR(IF($A498="","",INDEX(대장!$G$1:$G$501,$A498)),"")</x:f>
        <x:v>#NAME?</x:v>
      </x:c>
      <x:c r="E498" t="e">
        <x:f>IF($A498="","",IF(NOT(ISNUMBER(INDEX(대장!$F$1:$F$501,$A498))),"확인 필요",IF(AND(INDEX(대장!$G$1:$G$501,$A498)&lt;&gt;"",NOT(ISNUMBER(INDEX(대장!$G$1:$G$501,$A498)))),"확인 필요",IF(AND(ISNUMBER(INDEX(대장!$G$1:$G$501,$A498)),INDEX(대장!$G$1:$G$501,$A498)&lt;INDEX(대장!$F$1:$F$501,$A498)),"확인 필요",IF(INDEX(대장!$L$1:$L$501,$A498)&lt;&gt;"","메모 있음","정상")))))</x:f>
        <x:v>#NAME?</x:v>
      </x:c>
      <x:c r="F498" t="e">
        <x:f>IF($A498="","",IF($E498="확인 필요","시작일·종료일과 기간 순서를 확인해 주세요.",IF($E498="메모 있음",IFERROR(INDEX(대장!$L$1:$L$501,$A498),""),"")))</x:f>
        <x:v>#NAME?</x:v>
      </x:c>
    </x:row>
    <x:row r="499">
      <x:c r="A499" t="e">
        <x:f>IF(INDEX(대장!$A$1:$A$501,ROW()-2)="","",ROW()-2)</x:f>
        <x:v>#NAME?</x:v>
      </x:c>
      <x:c r="B499" t="e">
        <x:f>IF($A499="","",INDEX(대장!$A$1:$A$501,$A499))</x:f>
        <x:v>#NAME?</x:v>
      </x:c>
      <x:c r="C499" s="46" t="e">
        <x:f>IFERROR(IF($A499="","",INDEX(대장!$F$1:$F$501,$A499)),"")</x:f>
        <x:v>#NAME?</x:v>
      </x:c>
      <x:c r="D499" s="46" t="e">
        <x:f>IFERROR(IF($A499="","",INDEX(대장!$G$1:$G$501,$A499)),"")</x:f>
        <x:v>#NAME?</x:v>
      </x:c>
      <x:c r="E499" t="e">
        <x:f>IF($A499="","",IF(NOT(ISNUMBER(INDEX(대장!$F$1:$F$501,$A499))),"확인 필요",IF(AND(INDEX(대장!$G$1:$G$501,$A499)&lt;&gt;"",NOT(ISNUMBER(INDEX(대장!$G$1:$G$501,$A499)))),"확인 필요",IF(AND(ISNUMBER(INDEX(대장!$G$1:$G$501,$A499)),INDEX(대장!$G$1:$G$501,$A499)&lt;INDEX(대장!$F$1:$F$501,$A499)),"확인 필요",IF(INDEX(대장!$L$1:$L$501,$A499)&lt;&gt;"","메모 있음","정상")))))</x:f>
        <x:v>#NAME?</x:v>
      </x:c>
      <x:c r="F499" t="e">
        <x:f>IF($A499="","",IF($E499="확인 필요","시작일·종료일과 기간 순서를 확인해 주세요.",IF($E499="메모 있음",IFERROR(INDEX(대장!$L$1:$L$501,$A499),""),"")))</x:f>
        <x:v>#NAME?</x:v>
      </x:c>
    </x:row>
    <x:row r="500">
      <x:c r="A500" t="e">
        <x:f>IF(INDEX(대장!$A$1:$A$501,ROW()-2)="","",ROW()-2)</x:f>
        <x:v>#NAME?</x:v>
      </x:c>
      <x:c r="B500" t="e">
        <x:f>IF($A500="","",INDEX(대장!$A$1:$A$501,$A500))</x:f>
        <x:v>#NAME?</x:v>
      </x:c>
      <x:c r="C500" s="46" t="e">
        <x:f>IFERROR(IF($A500="","",INDEX(대장!$F$1:$F$501,$A500)),"")</x:f>
        <x:v>#NAME?</x:v>
      </x:c>
      <x:c r="D500" s="46" t="e">
        <x:f>IFERROR(IF($A500="","",INDEX(대장!$G$1:$G$501,$A500)),"")</x:f>
        <x:v>#NAME?</x:v>
      </x:c>
      <x:c r="E500" t="e">
        <x:f>IF($A500="","",IF(NOT(ISNUMBER(INDEX(대장!$F$1:$F$501,$A500))),"확인 필요",IF(AND(INDEX(대장!$G$1:$G$501,$A500)&lt;&gt;"",NOT(ISNUMBER(INDEX(대장!$G$1:$G$501,$A500)))),"확인 필요",IF(AND(ISNUMBER(INDEX(대장!$G$1:$G$501,$A500)),INDEX(대장!$G$1:$G$501,$A500)&lt;INDEX(대장!$F$1:$F$501,$A500)),"확인 필요",IF(INDEX(대장!$L$1:$L$501,$A500)&lt;&gt;"","메모 있음","정상")))))</x:f>
        <x:v>#NAME?</x:v>
      </x:c>
      <x:c r="F500" t="e">
        <x:f>IF($A500="","",IF($E500="확인 필요","시작일·종료일과 기간 순서를 확인해 주세요.",IF($E500="메모 있음",IFERROR(INDEX(대장!$L$1:$L$501,$A500),""),"")))</x:f>
        <x:v>#NAME?</x:v>
      </x:c>
    </x:row>
    <x:row r="501">
      <x:c r="A501" t="e">
        <x:f>IF(INDEX(대장!$A$1:$A$501,ROW()-2)="","",ROW()-2)</x:f>
        <x:v>#NAME?</x:v>
      </x:c>
      <x:c r="B501" t="e">
        <x:f>IF($A501="","",INDEX(대장!$A$1:$A$501,$A501))</x:f>
        <x:v>#NAME?</x:v>
      </x:c>
      <x:c r="C501" s="46" t="e">
        <x:f>IFERROR(IF($A501="","",INDEX(대장!$F$1:$F$501,$A501)),"")</x:f>
        <x:v>#NAME?</x:v>
      </x:c>
      <x:c r="D501" s="46" t="e">
        <x:f>IFERROR(IF($A501="","",INDEX(대장!$G$1:$G$501,$A501)),"")</x:f>
        <x:v>#NAME?</x:v>
      </x:c>
      <x:c r="E501" t="e">
        <x:f>IF($A501="","",IF(NOT(ISNUMBER(INDEX(대장!$F$1:$F$501,$A501))),"확인 필요",IF(AND(INDEX(대장!$G$1:$G$501,$A501)&lt;&gt;"",NOT(ISNUMBER(INDEX(대장!$G$1:$G$501,$A501)))),"확인 필요",IF(AND(ISNUMBER(INDEX(대장!$G$1:$G$501,$A501)),INDEX(대장!$G$1:$G$501,$A501)&lt;INDEX(대장!$F$1:$F$501,$A501)),"확인 필요",IF(INDEX(대장!$L$1:$L$501,$A501)&lt;&gt;"","메모 있음","정상")))))</x:f>
        <x:v>#NAME?</x:v>
      </x:c>
      <x:c r="F501" t="e">
        <x:f>IF($A501="","",IF($E501="확인 필요","시작일·종료일과 기간 순서를 확인해 주세요.",IF($E501="메모 있음",IFERROR(INDEX(대장!$L$1:$L$501,$A501),""),"")))</x:f>
        <x:v>#NAME?</x:v>
      </x:c>
    </x:row>
    <x:row r="502">
      <x:c r="A502" t="e">
        <x:f>IF(INDEX(대장!$A$1:$A$501,ROW()-2)="","",ROW()-2)</x:f>
        <x:v>#NAME?</x:v>
      </x:c>
      <x:c r="B502" t="e">
        <x:f>IF($A502="","",INDEX(대장!$A$1:$A$501,$A502))</x:f>
        <x:v>#NAME?</x:v>
      </x:c>
      <x:c r="C502" s="46" t="e">
        <x:f>IFERROR(IF($A502="","",INDEX(대장!$F$1:$F$501,$A502)),"")</x:f>
        <x:v>#NAME?</x:v>
      </x:c>
      <x:c r="D502" s="46" t="e">
        <x:f>IFERROR(IF($A502="","",INDEX(대장!$G$1:$G$501,$A502)),"")</x:f>
        <x:v>#NAME?</x:v>
      </x:c>
      <x:c r="E502" t="e">
        <x:f>IF($A502="","",IF(NOT(ISNUMBER(INDEX(대장!$F$1:$F$501,$A502))),"확인 필요",IF(AND(INDEX(대장!$G$1:$G$501,$A502)&lt;&gt;"",NOT(ISNUMBER(INDEX(대장!$G$1:$G$501,$A502)))),"확인 필요",IF(AND(ISNUMBER(INDEX(대장!$G$1:$G$501,$A502)),INDEX(대장!$G$1:$G$501,$A502)&lt;INDEX(대장!$F$1:$F$501,$A502)),"확인 필요",IF(INDEX(대장!$L$1:$L$501,$A502)&lt;&gt;"","메모 있음","정상")))))</x:f>
        <x:v>#NAME?</x:v>
      </x:c>
      <x:c r="F502" t="e">
        <x:f>IF($A502="","",IF($E502="확인 필요","시작일·종료일과 기간 순서를 확인해 주세요.",IF($E502="메모 있음",IFERROR(INDEX(대장!$L$1:$L$501,$A502),""),"")))</x:f>
        <x:v>#NAME?</x:v>
      </x:c>
    </x:row>
    <x:row r="503">
      <x:c r="A503" t="e">
        <x:f>IF(INDEX(대장!$A$1:$A$501,ROW()-2)="","",ROW()-2)</x:f>
        <x:v>#NAME?</x:v>
      </x:c>
      <x:c r="B503" t="e">
        <x:f>IF($A503="","",INDEX(대장!$A$1:$A$501,$A503))</x:f>
        <x:v>#NAME?</x:v>
      </x:c>
      <x:c r="C503" s="46" t="e">
        <x:f>IFERROR(IF($A503="","",INDEX(대장!$F$1:$F$501,$A503)),"")</x:f>
        <x:v>#NAME?</x:v>
      </x:c>
      <x:c r="D503" s="46" t="e">
        <x:f>IFERROR(IF($A503="","",INDEX(대장!$G$1:$G$501,$A503)),"")</x:f>
        <x:v>#NAME?</x:v>
      </x:c>
      <x:c r="E503" t="e">
        <x:f>IF($A503="","",IF(NOT(ISNUMBER(INDEX(대장!$F$1:$F$501,$A503))),"확인 필요",IF(AND(INDEX(대장!$G$1:$G$501,$A503)&lt;&gt;"",NOT(ISNUMBER(INDEX(대장!$G$1:$G$501,$A503)))),"확인 필요",IF(AND(ISNUMBER(INDEX(대장!$G$1:$G$501,$A503)),INDEX(대장!$G$1:$G$501,$A503)&lt;INDEX(대장!$F$1:$F$501,$A503)),"확인 필요",IF(INDEX(대장!$L$1:$L$501,$A503)&lt;&gt;"","메모 있음","정상")))))</x:f>
        <x:v>#NAME?</x:v>
      </x:c>
      <x:c r="F503" t="e">
        <x:f>IF($A503="","",IF($E503="확인 필요","시작일·종료일과 기간 순서를 확인해 주세요.",IF($E503="메모 있음",IFERROR(INDEX(대장!$L$1:$L$501,$A503),""),"")))</x:f>
        <x:v>#NAME?</x:v>
      </x:c>
    </x:row>
  </x:sheetData>
  <x:mergeCells>
    <x:mergeCell ref="A1:F1"/>
  </x:mergeCells>
  <x:conditionalFormatting sqref="E4:F102">
    <x:cfRule type="expression" dxfId="3" priority="1">
      <x:formula>$E4="확인 필요"</x:formula>
    </x:cfRule>
    <x:cfRule type="expression" dxfId="2" priority="2">
      <x:formula>$E4="중복 가능"</x:formula>
    </x:cfRule>
    <x:cfRule type="expression" dxfId="1" priority="3">
      <x:formula>$E4="메모 있음"</x:formula>
    </x:cfRule>
    <x:cfRule type="expression" dxfId="0" priority="4">
      <x:formula>$E4="정상"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3" customWidth="1"/>
    <x:col min="3" max="5" width="15" customWidth="1"/>
    <x:col min="6" max="6" width="42" customWidth="1"/>
    <x:col min="7" max="8" width="15" customWidth="1"/>
    <x:col min="9" max="9" width="28" customWidth="1"/>
    <x:col min="10" max="12" width="12" customWidth="1"/>
    <x:col min="13" max="13" width="26" customWidth="1"/>
  </x:cols>
  <x:sheetData>
    <x:row r="1">
      <x:c r="A1" s="23" t="s">
        <x:v>59</x:v>
      </x:c>
      <x:c r="B1" s="23" t="s">
        <x:v>60</x:v>
      </x:c>
      <x:c r="C1" s="23" t="s">
        <x:v>61</x:v>
      </x:c>
      <x:c r="D1" s="23" t="s">
        <x:v>49</x:v>
      </x:c>
      <x:c r="E1" s="23" t="s">
        <x:v>39</x:v>
      </x:c>
      <x:c r="F1" s="23" t="s">
        <x:v>23</x:v>
      </x:c>
      <x:c r="G1" s="23" t="s">
        <x:v>5</x:v>
      </x:c>
      <x:c r="H1" s="23" t="s">
        <x:v>62</x:v>
      </x:c>
      <x:c r="I1" s="23" t="s">
        <x:v>63</x:v>
      </x:c>
      <x:c r="J1" s="23" t="s">
        <x:v>64</x:v>
      </x:c>
      <x:c r="K1" s="23" t="s">
        <x:v>65</x:v>
      </x:c>
      <x:c r="L1" s="23" t="s">
        <x:v>66</x:v>
      </x:c>
      <x:c r="M1" s="23" t="s">
        <x:v>67</x:v>
      </x:c>
    </x:row>
    <x:row r="2">
      <x:c r="A2" t="s">
        <x:v>68</x:v>
      </x:c>
      <x:c r="B2" s="13"/>
    </x:row>
    <x:row r="3">
      <x:c r="B3" s="13"/>
    </x:row>
    <x:row r="4">
      <x:c r="B4" s="13"/>
    </x:row>
    <x:row r="5">
      <x:c r="B5" s="13"/>
    </x:row>
    <x:row r="6">
      <x:c r="B6" s="13"/>
    </x:row>
    <x:row r="7">
      <x:c r="B7" s="13"/>
    </x:row>
    <x:row r="8">
      <x:c r="B8" s="13"/>
    </x:row>
    <x:row r="9">
      <x:c r="B9" s="13"/>
    </x:row>
    <x:row r="10">
      <x:c r="B10" s="13"/>
    </x:row>
    <x:row r="11">
      <x:c r="B11" s="13"/>
    </x:row>
    <x:row r="12">
      <x:c r="B12" s="13"/>
    </x:row>
    <x:row r="13">
      <x:c r="B13" s="13"/>
    </x:row>
    <x:row r="14">
      <x:c r="B14" s="13"/>
    </x:row>
    <x:row r="15">
      <x:c r="B15" s="13"/>
    </x:row>
    <x:row r="16">
      <x:c r="B16" s="13"/>
    </x:row>
    <x:row r="17">
      <x:c r="B17" s="13"/>
    </x:row>
    <x:row r="18">
      <x:c r="B18" s="13"/>
    </x:row>
    <x:row r="19">
      <x:c r="B19" s="13"/>
    </x:row>
    <x:row r="20">
      <x:c r="B20" s="13"/>
    </x:row>
    <x:row r="21">
      <x:c r="B21" s="13"/>
    </x:row>
    <x:row r="22">
      <x:c r="B22" s="13"/>
    </x:row>
    <x:row r="23">
      <x:c r="B23" s="13"/>
    </x:row>
    <x:row r="24">
      <x:c r="B24" s="13"/>
    </x:row>
    <x:row r="25">
      <x:c r="B25" s="13"/>
    </x:row>
    <x:row r="26">
      <x:c r="B26" s="13"/>
    </x:row>
    <x:row r="27">
      <x:c r="B27" s="13"/>
    </x:row>
    <x:row r="28">
      <x:c r="B28" s="13"/>
    </x:row>
    <x:row r="29">
      <x:c r="B29" s="13"/>
    </x:row>
    <x:row r="30">
      <x:c r="B30" s="13"/>
    </x:row>
    <x:row r="31">
      <x:c r="B31" s="13"/>
    </x:row>
    <x:row r="32">
      <x:c r="B32" s="13"/>
    </x:row>
    <x:row r="33">
      <x:c r="B33" s="13"/>
    </x:row>
    <x:row r="34">
      <x:c r="B34" s="13"/>
    </x:row>
    <x:row r="35">
      <x:c r="B35" s="13"/>
    </x:row>
    <x:row r="36">
      <x:c r="B36" s="13"/>
    </x:row>
    <x:row r="37">
      <x:c r="B37" s="13"/>
    </x:row>
    <x:row r="38">
      <x:c r="B38" s="13"/>
    </x:row>
    <x:row r="39">
      <x:c r="B39" s="13"/>
    </x:row>
    <x:row r="40">
      <x:c r="B40" s="13"/>
    </x:row>
    <x:row r="41">
      <x:c r="B41" s="13"/>
    </x:row>
    <x:row r="42">
      <x:c r="B42" s="13"/>
    </x:row>
    <x:row r="43">
      <x:c r="B43" s="13"/>
    </x:row>
    <x:row r="44">
      <x:c r="B44" s="13"/>
    </x:row>
    <x:row r="45">
      <x:c r="B45" s="13"/>
    </x:row>
    <x:row r="46">
      <x:c r="B46" s="13"/>
    </x:row>
    <x:row r="47">
      <x:c r="B47" s="13"/>
    </x:row>
    <x:row r="48">
      <x:c r="B48" s="13"/>
    </x:row>
    <x:row r="49">
      <x:c r="B49" s="13"/>
    </x:row>
    <x:row r="50">
      <x:c r="B50" s="13"/>
    </x:row>
    <x:row r="51">
      <x:c r="B51" s="13"/>
    </x:row>
    <x:row r="52">
      <x:c r="B52" s="13"/>
    </x:row>
    <x:row r="53">
      <x:c r="B53" s="13"/>
    </x:row>
    <x:row r="54">
      <x:c r="B54" s="13"/>
    </x:row>
    <x:row r="55">
      <x:c r="B55" s="13"/>
    </x:row>
    <x:row r="56">
      <x:c r="B56" s="13"/>
    </x:row>
    <x:row r="57">
      <x:c r="B57" s="13"/>
    </x:row>
    <x:row r="58">
      <x:c r="B58" s="13"/>
    </x:row>
    <x:row r="59">
      <x:c r="B59" s="13"/>
    </x:row>
    <x:row r="60">
      <x:c r="B60" s="13"/>
    </x:row>
    <x:row r="61">
      <x:c r="B61" s="13"/>
    </x:row>
    <x:row r="62">
      <x:c r="B62" s="13"/>
    </x:row>
    <x:row r="63">
      <x:c r="B63" s="13"/>
    </x:row>
    <x:row r="64">
      <x:c r="B64" s="13"/>
    </x:row>
    <x:row r="65">
      <x:c r="B65" s="13"/>
    </x:row>
    <x:row r="66">
      <x:c r="B66" s="13"/>
    </x:row>
    <x:row r="67">
      <x:c r="B67" s="13"/>
    </x:row>
    <x:row r="68">
      <x:c r="B68" s="13"/>
    </x:row>
    <x:row r="69">
      <x:c r="B69" s="13"/>
    </x:row>
    <x:row r="70">
      <x:c r="B70" s="13"/>
    </x:row>
    <x:row r="71">
      <x:c r="B71" s="13"/>
    </x:row>
    <x:row r="72">
      <x:c r="B72" s="13"/>
    </x:row>
    <x:row r="73">
      <x:c r="B73" s="13"/>
    </x:row>
    <x:row r="74">
      <x:c r="B74" s="13"/>
    </x:row>
    <x:row r="75">
      <x:c r="B75" s="13"/>
    </x:row>
    <x:row r="76">
      <x:c r="B76" s="13"/>
    </x:row>
    <x:row r="77">
      <x:c r="B77" s="13"/>
    </x:row>
    <x:row r="78">
      <x:c r="B78" s="13"/>
    </x:row>
    <x:row r="79">
      <x:c r="B79" s="13"/>
    </x:row>
    <x:row r="80">
      <x:c r="B80" s="13"/>
    </x:row>
    <x:row r="81">
      <x:c r="B81" s="13"/>
    </x:row>
    <x:row r="82">
      <x:c r="B82" s="13"/>
    </x:row>
    <x:row r="83">
      <x:c r="B83" s="13"/>
    </x:row>
    <x:row r="84">
      <x:c r="B84" s="13"/>
    </x:row>
    <x:row r="85">
      <x:c r="B85" s="13"/>
    </x:row>
    <x:row r="86">
      <x:c r="B86" s="13"/>
    </x:row>
    <x:row r="87">
      <x:c r="B87" s="13"/>
    </x:row>
    <x:row r="88">
      <x:c r="B88" s="13"/>
    </x:row>
    <x:row r="89">
      <x:c r="B89" s="13"/>
    </x:row>
    <x:row r="90">
      <x:c r="B90" s="13"/>
    </x:row>
    <x:row r="91">
      <x:c r="B91" s="13"/>
    </x:row>
    <x:row r="92">
      <x:c r="B92" s="13"/>
    </x:row>
    <x:row r="93">
      <x:c r="B93" s="13"/>
    </x:row>
    <x:row r="94">
      <x:c r="B94" s="13"/>
    </x:row>
    <x:row r="95">
      <x:c r="B95" s="13"/>
    </x:row>
    <x:row r="96">
      <x:c r="B96" s="13"/>
    </x:row>
    <x:row r="97">
      <x:c r="B97" s="13"/>
    </x:row>
    <x:row r="98">
      <x:c r="B98" s="13"/>
    </x:row>
    <x:row r="99">
      <x:c r="B99" s="13"/>
    </x:row>
    <x:row r="100">
      <x:c r="B100" s="13"/>
    </x:row>
    <x:row r="101">
      <x:c r="B101" s="13"/>
    </x:row>
    <x:row r="102">
      <x:c r="B102" s="13"/>
    </x:row>
    <x:row r="103">
      <x:c r="B103" s="13"/>
    </x:row>
    <x:row r="104">
      <x:c r="B104" s="13"/>
    </x:row>
    <x:row r="105">
      <x:c r="B105" s="13"/>
    </x:row>
    <x:row r="106">
      <x:c r="B106" s="13"/>
    </x:row>
    <x:row r="107">
      <x:c r="B107" s="13"/>
    </x:row>
    <x:row r="108">
      <x:c r="B108" s="13"/>
    </x:row>
    <x:row r="109">
      <x:c r="B109" s="13"/>
    </x:row>
    <x:row r="110">
      <x:c r="B110" s="13"/>
    </x:row>
    <x:row r="111">
      <x:c r="B111" s="13"/>
    </x:row>
    <x:row r="112">
      <x:c r="B112" s="13"/>
    </x:row>
    <x:row r="113">
      <x:c r="B113" s="13"/>
    </x:row>
    <x:row r="114">
      <x:c r="B114" s="13"/>
    </x:row>
    <x:row r="115">
      <x:c r="B115" s="13"/>
    </x:row>
    <x:row r="116">
      <x:c r="B116" s="13"/>
    </x:row>
    <x:row r="117">
      <x:c r="B117" s="13"/>
    </x:row>
    <x:row r="118">
      <x:c r="B118" s="13"/>
    </x:row>
    <x:row r="119">
      <x:c r="B119" s="13"/>
    </x:row>
    <x:row r="120">
      <x:c r="B120" s="13"/>
    </x:row>
    <x:row r="121">
      <x:c r="B121" s="13"/>
    </x:row>
    <x:row r="122">
      <x:c r="B122" s="13"/>
    </x:row>
    <x:row r="123">
      <x:c r="B123" s="13"/>
    </x:row>
    <x:row r="124">
      <x:c r="B124" s="13"/>
    </x:row>
    <x:row r="125">
      <x:c r="B125" s="13"/>
    </x:row>
    <x:row r="126">
      <x:c r="B126" s="13"/>
    </x:row>
    <x:row r="127">
      <x:c r="B127" s="13"/>
    </x:row>
    <x:row r="128">
      <x:c r="B128" s="13"/>
    </x:row>
    <x:row r="129">
      <x:c r="B129" s="13"/>
    </x:row>
    <x:row r="130">
      <x:c r="B130" s="13"/>
    </x:row>
    <x:row r="131">
      <x:c r="B131" s="13"/>
    </x:row>
    <x:row r="132">
      <x:c r="B132" s="13"/>
    </x:row>
    <x:row r="133">
      <x:c r="B133" s="13"/>
    </x:row>
    <x:row r="134">
      <x:c r="B134" s="13"/>
    </x:row>
    <x:row r="135">
      <x:c r="B135" s="13"/>
    </x:row>
    <x:row r="136">
      <x:c r="B136" s="13"/>
    </x:row>
    <x:row r="137">
      <x:c r="B137" s="13"/>
    </x:row>
    <x:row r="138">
      <x:c r="B138" s="13"/>
    </x:row>
    <x:row r="139">
      <x:c r="B139" s="13"/>
    </x:row>
    <x:row r="140">
      <x:c r="B140" s="13"/>
    </x:row>
    <x:row r="141">
      <x:c r="B141" s="13"/>
    </x:row>
    <x:row r="142">
      <x:c r="B142" s="13"/>
    </x:row>
    <x:row r="143">
      <x:c r="B143" s="13"/>
    </x:row>
    <x:row r="144">
      <x:c r="B144" s="13"/>
    </x:row>
    <x:row r="145">
      <x:c r="B145" s="13"/>
    </x:row>
    <x:row r="146">
      <x:c r="B146" s="13"/>
    </x:row>
    <x:row r="147">
      <x:c r="B147" s="13"/>
    </x:row>
    <x:row r="148">
      <x:c r="B148" s="13"/>
    </x:row>
    <x:row r="149">
      <x:c r="B149" s="13"/>
    </x:row>
    <x:row r="150">
      <x:c r="B150" s="13"/>
    </x:row>
    <x:row r="151">
      <x:c r="B151" s="13"/>
    </x:row>
    <x:row r="152">
      <x:c r="B152" s="13"/>
    </x:row>
    <x:row r="153">
      <x:c r="B153" s="13"/>
    </x:row>
    <x:row r="154">
      <x:c r="B154" s="13"/>
    </x:row>
    <x:row r="155">
      <x:c r="B155" s="13"/>
    </x:row>
    <x:row r="156">
      <x:c r="B156" s="13"/>
    </x:row>
    <x:row r="157">
      <x:c r="B157" s="13"/>
    </x:row>
    <x:row r="158">
      <x:c r="B158" s="13"/>
    </x:row>
    <x:row r="159">
      <x:c r="B159" s="13"/>
    </x:row>
    <x:row r="160">
      <x:c r="B160" s="13"/>
    </x:row>
    <x:row r="161">
      <x:c r="B161" s="13"/>
    </x:row>
    <x:row r="162">
      <x:c r="B162" s="13"/>
    </x:row>
    <x:row r="163">
      <x:c r="B163" s="13"/>
    </x:row>
    <x:row r="164">
      <x:c r="B164" s="13"/>
    </x:row>
    <x:row r="165">
      <x:c r="B165" s="13"/>
    </x:row>
    <x:row r="166">
      <x:c r="B166" s="13"/>
    </x:row>
    <x:row r="167">
      <x:c r="B167" s="13"/>
    </x:row>
    <x:row r="168">
      <x:c r="B168" s="13"/>
    </x:row>
    <x:row r="169">
      <x:c r="B169" s="13"/>
    </x:row>
    <x:row r="170">
      <x:c r="B170" s="13"/>
    </x:row>
    <x:row r="171">
      <x:c r="B171" s="13"/>
    </x:row>
    <x:row r="172">
      <x:c r="B172" s="13"/>
    </x:row>
    <x:row r="173">
      <x:c r="B173" s="13"/>
    </x:row>
    <x:row r="174">
      <x:c r="B174" s="13"/>
    </x:row>
    <x:row r="175">
      <x:c r="B175" s="13"/>
    </x:row>
    <x:row r="176">
      <x:c r="B176" s="13"/>
    </x:row>
    <x:row r="177">
      <x:c r="B177" s="13"/>
    </x:row>
    <x:row r="178">
      <x:c r="B178" s="13"/>
    </x:row>
    <x:row r="179">
      <x:c r="B179" s="13"/>
    </x:row>
    <x:row r="180">
      <x:c r="B180" s="13"/>
    </x:row>
    <x:row r="181">
      <x:c r="B181" s="13"/>
    </x:row>
    <x:row r="182">
      <x:c r="B182" s="13"/>
    </x:row>
    <x:row r="183">
      <x:c r="B183" s="13"/>
    </x:row>
    <x:row r="184">
      <x:c r="B184" s="13"/>
    </x:row>
    <x:row r="185">
      <x:c r="B185" s="13"/>
    </x:row>
    <x:row r="186">
      <x:c r="B186" s="13"/>
    </x:row>
    <x:row r="187">
      <x:c r="B187" s="13"/>
    </x:row>
    <x:row r="188">
      <x:c r="B188" s="13"/>
    </x:row>
    <x:row r="189">
      <x:c r="B189" s="13"/>
    </x:row>
    <x:row r="190">
      <x:c r="B190" s="13"/>
    </x:row>
    <x:row r="191">
      <x:c r="B191" s="13"/>
    </x:row>
    <x:row r="192">
      <x:c r="B192" s="13"/>
    </x:row>
    <x:row r="193">
      <x:c r="B193" s="13"/>
    </x:row>
    <x:row r="194">
      <x:c r="B194" s="13"/>
    </x:row>
    <x:row r="195">
      <x:c r="B195" s="13"/>
    </x:row>
    <x:row r="196">
      <x:c r="B196" s="13"/>
    </x:row>
    <x:row r="197">
      <x:c r="B197" s="13"/>
    </x:row>
    <x:row r="198">
      <x:c r="B198" s="13"/>
    </x:row>
    <x:row r="199">
      <x:c r="B199" s="13"/>
    </x:row>
  </x:sheetData>
  <x:pageMargins left="0.7" right="0.7" top="0.75" bottom="0.75" header="0.3" footer="0.3"/>
</x:worksheet>
</file>