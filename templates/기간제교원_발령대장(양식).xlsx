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손승희\Downloads\"/>
    </mc:Choice>
  </mc:AlternateContent>
  <xr:revisionPtr revIDLastSave="0" documentId="13_ncr:1_{7F6998C6-6020-46A7-88F0-06F2C62CA39E}" xr6:coauthVersionLast="47" xr6:coauthVersionMax="47" xr10:uidLastSave="{00000000-0000-0000-0000-000000000000}"/>
  <bookViews>
    <workbookView xWindow="13035" yWindow="645" windowWidth="16050" windowHeight="15585" activeTab="1" xr2:uid="{00000000-000D-0000-FFFF-FFFF00000000}"/>
  </bookViews>
  <sheets>
    <sheet name="기본설정·안내" sheetId="1" r:id="rId1"/>
    <sheet name="발령대장_입력" sheetId="2" r:id="rId2"/>
    <sheet name="발령대장_출력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4" i="3" l="1"/>
  <c r="J204" i="3" s="1"/>
  <c r="A203" i="3"/>
  <c r="J203" i="3" s="1"/>
  <c r="A202" i="3"/>
  <c r="H202" i="3" s="1"/>
  <c r="A201" i="3"/>
  <c r="J201" i="3" s="1"/>
  <c r="A200" i="3"/>
  <c r="F200" i="3" s="1"/>
  <c r="A199" i="3"/>
  <c r="J199" i="3" s="1"/>
  <c r="A198" i="3"/>
  <c r="D198" i="3" s="1"/>
  <c r="A197" i="3"/>
  <c r="J197" i="3" s="1"/>
  <c r="A196" i="3"/>
  <c r="B196" i="3" s="1"/>
  <c r="A195" i="3"/>
  <c r="J195" i="3" s="1"/>
  <c r="A194" i="3"/>
  <c r="H194" i="3" s="1"/>
  <c r="A193" i="3"/>
  <c r="I193" i="3" s="1"/>
  <c r="A192" i="3"/>
  <c r="I192" i="3" s="1"/>
  <c r="A191" i="3"/>
  <c r="I191" i="3" s="1"/>
  <c r="A190" i="3"/>
  <c r="A189" i="3"/>
  <c r="I189" i="3" s="1"/>
  <c r="A188" i="3"/>
  <c r="I188" i="3" s="1"/>
  <c r="A187" i="3"/>
  <c r="A186" i="3"/>
  <c r="C186" i="3" s="1"/>
  <c r="A185" i="3"/>
  <c r="C185" i="3" s="1"/>
  <c r="A184" i="3"/>
  <c r="I184" i="3" s="1"/>
  <c r="A183" i="3"/>
  <c r="J183" i="3" s="1"/>
  <c r="A182" i="3"/>
  <c r="C182" i="3" s="1"/>
  <c r="A181" i="3"/>
  <c r="E181" i="3" s="1"/>
  <c r="A180" i="3"/>
  <c r="I180" i="3" s="1"/>
  <c r="A179" i="3"/>
  <c r="A178" i="3"/>
  <c r="G178" i="3" s="1"/>
  <c r="A177" i="3"/>
  <c r="I177" i="3" s="1"/>
  <c r="A176" i="3"/>
  <c r="I176" i="3" s="1"/>
  <c r="A175" i="3"/>
  <c r="E175" i="3" s="1"/>
  <c r="A174" i="3"/>
  <c r="C174" i="3" s="1"/>
  <c r="A173" i="3"/>
  <c r="I173" i="3" s="1"/>
  <c r="A172" i="3"/>
  <c r="E172" i="3" s="1"/>
  <c r="A171" i="3"/>
  <c r="I171" i="3" s="1"/>
  <c r="A170" i="3"/>
  <c r="G170" i="3" s="1"/>
  <c r="A169" i="3"/>
  <c r="G169" i="3" s="1"/>
  <c r="A168" i="3"/>
  <c r="I168" i="3" s="1"/>
  <c r="A167" i="3"/>
  <c r="E167" i="3" s="1"/>
  <c r="A166" i="3"/>
  <c r="C166" i="3" s="1"/>
  <c r="A165" i="3"/>
  <c r="C165" i="3" s="1"/>
  <c r="A164" i="3"/>
  <c r="G164" i="3" s="1"/>
  <c r="A163" i="3"/>
  <c r="E163" i="3" s="1"/>
  <c r="A162" i="3"/>
  <c r="I162" i="3" s="1"/>
  <c r="A161" i="3"/>
  <c r="I161" i="3" s="1"/>
  <c r="A160" i="3"/>
  <c r="I160" i="3" s="1"/>
  <c r="A159" i="3"/>
  <c r="A158" i="3"/>
  <c r="I158" i="3" s="1"/>
  <c r="A157" i="3"/>
  <c r="F157" i="3" s="1"/>
  <c r="A156" i="3"/>
  <c r="I156" i="3" s="1"/>
  <c r="A155" i="3"/>
  <c r="G155" i="3" s="1"/>
  <c r="A154" i="3"/>
  <c r="G154" i="3" s="1"/>
  <c r="A153" i="3"/>
  <c r="A152" i="3"/>
  <c r="I152" i="3" s="1"/>
  <c r="A151" i="3"/>
  <c r="C151" i="3" s="1"/>
  <c r="A150" i="3"/>
  <c r="I150" i="3" s="1"/>
  <c r="A149" i="3"/>
  <c r="E149" i="3" s="1"/>
  <c r="A148" i="3"/>
  <c r="I148" i="3" s="1"/>
  <c r="A147" i="3"/>
  <c r="A146" i="3"/>
  <c r="G146" i="3" s="1"/>
  <c r="A145" i="3"/>
  <c r="G145" i="3" s="1"/>
  <c r="A144" i="3"/>
  <c r="I144" i="3" s="1"/>
  <c r="A143" i="3"/>
  <c r="C143" i="3" s="1"/>
  <c r="A142" i="3"/>
  <c r="C142" i="3" s="1"/>
  <c r="A141" i="3"/>
  <c r="G141" i="3" s="1"/>
  <c r="A140" i="3"/>
  <c r="E140" i="3" s="1"/>
  <c r="A139" i="3"/>
  <c r="C139" i="3" s="1"/>
  <c r="A138" i="3"/>
  <c r="I138" i="3" s="1"/>
  <c r="A137" i="3"/>
  <c r="H137" i="3" s="1"/>
  <c r="A136" i="3"/>
  <c r="E136" i="3" s="1"/>
  <c r="A135" i="3"/>
  <c r="A134" i="3"/>
  <c r="C134" i="3" s="1"/>
  <c r="A133" i="3"/>
  <c r="D133" i="3" s="1"/>
  <c r="A132" i="3"/>
  <c r="G132" i="3" s="1"/>
  <c r="A131" i="3"/>
  <c r="E131" i="3" s="1"/>
  <c r="A130" i="3"/>
  <c r="I130" i="3" s="1"/>
  <c r="A129" i="3"/>
  <c r="C129" i="3" s="1"/>
  <c r="A128" i="3"/>
  <c r="A127" i="3"/>
  <c r="G127" i="3" s="1"/>
  <c r="A126" i="3"/>
  <c r="G126" i="3" s="1"/>
  <c r="A125" i="3"/>
  <c r="C125" i="3" s="1"/>
  <c r="A124" i="3"/>
  <c r="G124" i="3" s="1"/>
  <c r="A123" i="3"/>
  <c r="A122" i="3"/>
  <c r="G122" i="3" s="1"/>
  <c r="A121" i="3"/>
  <c r="C121" i="3" s="1"/>
  <c r="A120" i="3"/>
  <c r="C120" i="3" s="1"/>
  <c r="A119" i="3"/>
  <c r="A118" i="3"/>
  <c r="A117" i="3"/>
  <c r="C117" i="3" s="1"/>
  <c r="A116" i="3"/>
  <c r="E116" i="3" s="1"/>
  <c r="A115" i="3"/>
  <c r="I115" i="3" s="1"/>
  <c r="A114" i="3"/>
  <c r="A113" i="3"/>
  <c r="C113" i="3" s="1"/>
  <c r="A112" i="3"/>
  <c r="E112" i="3" s="1"/>
  <c r="A111" i="3"/>
  <c r="I111" i="3" s="1"/>
  <c r="A110" i="3"/>
  <c r="E110" i="3" s="1"/>
  <c r="A109" i="3"/>
  <c r="B109" i="3" s="1"/>
  <c r="A108" i="3"/>
  <c r="E108" i="3" s="1"/>
  <c r="A107" i="3"/>
  <c r="I107" i="3" s="1"/>
  <c r="A106" i="3"/>
  <c r="A105" i="3"/>
  <c r="I105" i="3" s="1"/>
  <c r="A104" i="3"/>
  <c r="E104" i="3" s="1"/>
  <c r="A103" i="3"/>
  <c r="I103" i="3" s="1"/>
  <c r="A102" i="3"/>
  <c r="F102" i="3" s="1"/>
  <c r="A101" i="3"/>
  <c r="A100" i="3"/>
  <c r="D100" i="3" s="1"/>
  <c r="A99" i="3"/>
  <c r="I99" i="3" s="1"/>
  <c r="A98" i="3"/>
  <c r="I98" i="3" s="1"/>
  <c r="A97" i="3"/>
  <c r="I97" i="3" s="1"/>
  <c r="A96" i="3"/>
  <c r="I96" i="3" s="1"/>
  <c r="A95" i="3"/>
  <c r="I95" i="3" s="1"/>
  <c r="A94" i="3"/>
  <c r="E94" i="3" s="1"/>
  <c r="A93" i="3"/>
  <c r="C93" i="3" s="1"/>
  <c r="A92" i="3"/>
  <c r="I92" i="3" s="1"/>
  <c r="A91" i="3"/>
  <c r="I91" i="3" s="1"/>
  <c r="A90" i="3"/>
  <c r="I90" i="3" s="1"/>
  <c r="A89" i="3"/>
  <c r="I89" i="3" s="1"/>
  <c r="A88" i="3"/>
  <c r="C88" i="3" s="1"/>
  <c r="A87" i="3"/>
  <c r="I87" i="3" s="1"/>
  <c r="A86" i="3"/>
  <c r="I86" i="3" s="1"/>
  <c r="A85" i="3"/>
  <c r="I85" i="3" s="1"/>
  <c r="A84" i="3"/>
  <c r="J84" i="3" s="1"/>
  <c r="I83" i="3"/>
  <c r="A83" i="3"/>
  <c r="C83" i="3" s="1"/>
  <c r="A82" i="3"/>
  <c r="A81" i="3"/>
  <c r="A80" i="3"/>
  <c r="E80" i="3" s="1"/>
  <c r="A79" i="3"/>
  <c r="G79" i="3" s="1"/>
  <c r="A78" i="3"/>
  <c r="G78" i="3" s="1"/>
  <c r="A77" i="3"/>
  <c r="E77" i="3" s="1"/>
  <c r="A76" i="3"/>
  <c r="I76" i="3" s="1"/>
  <c r="A75" i="3"/>
  <c r="G75" i="3" s="1"/>
  <c r="A74" i="3"/>
  <c r="I74" i="3" s="1"/>
  <c r="A73" i="3"/>
  <c r="A72" i="3"/>
  <c r="G72" i="3" s="1"/>
  <c r="A71" i="3"/>
  <c r="C71" i="3" s="1"/>
  <c r="A70" i="3"/>
  <c r="A69" i="3"/>
  <c r="F69" i="3" s="1"/>
  <c r="A68" i="3"/>
  <c r="A67" i="3"/>
  <c r="E67" i="3" s="1"/>
  <c r="A66" i="3"/>
  <c r="C66" i="3" s="1"/>
  <c r="A65" i="3"/>
  <c r="G65" i="3" s="1"/>
  <c r="A64" i="3"/>
  <c r="E64" i="3" s="1"/>
  <c r="A63" i="3"/>
  <c r="I63" i="3" s="1"/>
  <c r="A62" i="3"/>
  <c r="G62" i="3" s="1"/>
  <c r="A61" i="3"/>
  <c r="C61" i="3" s="1"/>
  <c r="A60" i="3"/>
  <c r="C60" i="3" s="1"/>
  <c r="A59" i="3"/>
  <c r="I59" i="3" s="1"/>
  <c r="A58" i="3"/>
  <c r="I58" i="3" s="1"/>
  <c r="A57" i="3"/>
  <c r="G57" i="3" s="1"/>
  <c r="A56" i="3"/>
  <c r="D56" i="3" s="1"/>
  <c r="A55" i="3"/>
  <c r="I55" i="3" s="1"/>
  <c r="A54" i="3"/>
  <c r="E54" i="3" s="1"/>
  <c r="A53" i="3"/>
  <c r="G53" i="3" s="1"/>
  <c r="A52" i="3"/>
  <c r="E52" i="3" s="1"/>
  <c r="A51" i="3"/>
  <c r="I51" i="3" s="1"/>
  <c r="A50" i="3"/>
  <c r="I50" i="3" s="1"/>
  <c r="A49" i="3"/>
  <c r="G49" i="3" s="1"/>
  <c r="A48" i="3"/>
  <c r="A47" i="3"/>
  <c r="E47" i="3" s="1"/>
  <c r="A46" i="3"/>
  <c r="G46" i="3" s="1"/>
  <c r="A45" i="3"/>
  <c r="G45" i="3" s="1"/>
  <c r="A44" i="3"/>
  <c r="J44" i="3" s="1"/>
  <c r="A43" i="3"/>
  <c r="C43" i="3" s="1"/>
  <c r="A42" i="3"/>
  <c r="A41" i="3"/>
  <c r="I41" i="3" s="1"/>
  <c r="A40" i="3"/>
  <c r="F40" i="3" s="1"/>
  <c r="A39" i="3"/>
  <c r="G39" i="3" s="1"/>
  <c r="A38" i="3"/>
  <c r="E38" i="3" s="1"/>
  <c r="A37" i="3"/>
  <c r="E37" i="3" s="1"/>
  <c r="A36" i="3"/>
  <c r="I36" i="3" s="1"/>
  <c r="A35" i="3"/>
  <c r="A34" i="3"/>
  <c r="E34" i="3" s="1"/>
  <c r="A33" i="3"/>
  <c r="J33" i="3" s="1"/>
  <c r="A32" i="3"/>
  <c r="G32" i="3" s="1"/>
  <c r="A31" i="3"/>
  <c r="A30" i="3"/>
  <c r="G30" i="3" s="1"/>
  <c r="A29" i="3"/>
  <c r="G29" i="3" s="1"/>
  <c r="A28" i="3"/>
  <c r="I28" i="3" s="1"/>
  <c r="A27" i="3"/>
  <c r="C27" i="3" s="1"/>
  <c r="A26" i="3"/>
  <c r="I26" i="3" s="1"/>
  <c r="A25" i="3"/>
  <c r="G25" i="3" s="1"/>
  <c r="A24" i="3"/>
  <c r="G24" i="3" s="1"/>
  <c r="A23" i="3"/>
  <c r="G23" i="3" s="1"/>
  <c r="A22" i="3"/>
  <c r="E22" i="3" s="1"/>
  <c r="A21" i="3"/>
  <c r="I21" i="3" s="1"/>
  <c r="A20" i="3"/>
  <c r="C20" i="3" s="1"/>
  <c r="A19" i="3"/>
  <c r="C19" i="3" s="1"/>
  <c r="A18" i="3"/>
  <c r="E18" i="3" s="1"/>
  <c r="A17" i="3"/>
  <c r="I17" i="3" s="1"/>
  <c r="A16" i="3"/>
  <c r="D16" i="3" s="1"/>
  <c r="A15" i="3"/>
  <c r="G15" i="3" s="1"/>
  <c r="A14" i="3"/>
  <c r="J14" i="3" s="1"/>
  <c r="A13" i="3"/>
  <c r="E13" i="3" s="1"/>
  <c r="A12" i="3"/>
  <c r="G12" i="3" s="1"/>
  <c r="A11" i="3"/>
  <c r="C11" i="3" s="1"/>
  <c r="A10" i="3"/>
  <c r="H10" i="3" s="1"/>
  <c r="A9" i="3"/>
  <c r="J9" i="3" s="1"/>
  <c r="A8" i="3"/>
  <c r="J8" i="3" s="1"/>
  <c r="A7" i="3"/>
  <c r="D7" i="3" s="1"/>
  <c r="A6" i="3"/>
  <c r="I6" i="3" s="1"/>
  <c r="A5" i="3"/>
  <c r="E5" i="3" s="1"/>
  <c r="I32" i="3" l="1"/>
  <c r="H192" i="3"/>
  <c r="D122" i="3"/>
  <c r="E150" i="3"/>
  <c r="C67" i="3"/>
  <c r="E55" i="3"/>
  <c r="I67" i="3"/>
  <c r="J194" i="3"/>
  <c r="G55" i="3"/>
  <c r="H126" i="3"/>
  <c r="G182" i="3"/>
  <c r="I43" i="3"/>
  <c r="G83" i="3"/>
  <c r="G172" i="3"/>
  <c r="E32" i="3"/>
  <c r="I172" i="3"/>
  <c r="C130" i="3"/>
  <c r="C160" i="3"/>
  <c r="J172" i="3"/>
  <c r="G160" i="3"/>
  <c r="C75" i="3"/>
  <c r="I75" i="3"/>
  <c r="E142" i="3"/>
  <c r="G142" i="3"/>
  <c r="G47" i="3"/>
  <c r="G67" i="3"/>
  <c r="C122" i="3"/>
  <c r="I194" i="3"/>
  <c r="E88" i="3"/>
  <c r="E134" i="3"/>
  <c r="C144" i="3"/>
  <c r="G88" i="3"/>
  <c r="G134" i="3"/>
  <c r="D144" i="3"/>
  <c r="I164" i="3"/>
  <c r="C80" i="3"/>
  <c r="I88" i="3"/>
  <c r="I134" i="3"/>
  <c r="E154" i="3"/>
  <c r="C188" i="3"/>
  <c r="F80" i="3"/>
  <c r="I154" i="3"/>
  <c r="E188" i="3"/>
  <c r="B197" i="3"/>
  <c r="E27" i="3"/>
  <c r="G71" i="3"/>
  <c r="G80" i="3"/>
  <c r="G188" i="3"/>
  <c r="I47" i="3"/>
  <c r="E51" i="3"/>
  <c r="H71" i="3"/>
  <c r="I80" i="3"/>
  <c r="D27" i="3"/>
  <c r="J51" i="3"/>
  <c r="E63" i="3"/>
  <c r="I71" i="3"/>
  <c r="C148" i="3"/>
  <c r="C156" i="3"/>
  <c r="E180" i="3"/>
  <c r="G63" i="3"/>
  <c r="C92" i="3"/>
  <c r="C138" i="3"/>
  <c r="E148" i="3"/>
  <c r="G180" i="3"/>
  <c r="G43" i="3"/>
  <c r="E92" i="3"/>
  <c r="E107" i="3"/>
  <c r="G148" i="3"/>
  <c r="H148" i="3"/>
  <c r="B32" i="3"/>
  <c r="C192" i="3"/>
  <c r="D38" i="3"/>
  <c r="E95" i="3"/>
  <c r="G198" i="3"/>
  <c r="I198" i="3"/>
  <c r="G38" i="3"/>
  <c r="C79" i="3"/>
  <c r="C84" i="3"/>
  <c r="J95" i="3"/>
  <c r="E103" i="3"/>
  <c r="E160" i="3"/>
  <c r="E166" i="3"/>
  <c r="C195" i="3"/>
  <c r="E195" i="3"/>
  <c r="D199" i="3"/>
  <c r="I79" i="3"/>
  <c r="C96" i="3"/>
  <c r="G174" i="3"/>
  <c r="G195" i="3"/>
  <c r="G199" i="3"/>
  <c r="E84" i="3"/>
  <c r="C21" i="3"/>
  <c r="G84" i="3"/>
  <c r="E21" i="3"/>
  <c r="I84" i="3"/>
  <c r="E91" i="3"/>
  <c r="E96" i="3"/>
  <c r="E122" i="3"/>
  <c r="E144" i="3"/>
  <c r="E168" i="3"/>
  <c r="I195" i="3"/>
  <c r="I199" i="3"/>
  <c r="G91" i="3"/>
  <c r="G96" i="3"/>
  <c r="G144" i="3"/>
  <c r="F168" i="3"/>
  <c r="G51" i="3"/>
  <c r="E59" i="3"/>
  <c r="E130" i="3"/>
  <c r="E138" i="3"/>
  <c r="G150" i="3"/>
  <c r="E156" i="3"/>
  <c r="E162" i="3"/>
  <c r="G168" i="3"/>
  <c r="E176" i="3"/>
  <c r="E184" i="3"/>
  <c r="G192" i="3"/>
  <c r="E196" i="3"/>
  <c r="I200" i="3"/>
  <c r="G59" i="3"/>
  <c r="G130" i="3"/>
  <c r="G138" i="3"/>
  <c r="G156" i="3"/>
  <c r="G162" i="3"/>
  <c r="G176" i="3"/>
  <c r="G184" i="3"/>
  <c r="G196" i="3"/>
  <c r="G21" i="3"/>
  <c r="I196" i="3"/>
  <c r="F201" i="3"/>
  <c r="B76" i="3"/>
  <c r="C87" i="3"/>
  <c r="E146" i="3"/>
  <c r="I201" i="3"/>
  <c r="F25" i="3"/>
  <c r="C76" i="3"/>
  <c r="G87" i="3"/>
  <c r="G92" i="3"/>
  <c r="E99" i="3"/>
  <c r="F146" i="3"/>
  <c r="C152" i="3"/>
  <c r="I25" i="3"/>
  <c r="G61" i="3"/>
  <c r="E76" i="3"/>
  <c r="C126" i="3"/>
  <c r="E152" i="3"/>
  <c r="E158" i="3"/>
  <c r="C164" i="3"/>
  <c r="C194" i="3"/>
  <c r="E197" i="3"/>
  <c r="G76" i="3"/>
  <c r="E126" i="3"/>
  <c r="G152" i="3"/>
  <c r="G158" i="3"/>
  <c r="E164" i="3"/>
  <c r="E194" i="3"/>
  <c r="G197" i="3"/>
  <c r="H203" i="3"/>
  <c r="F47" i="3"/>
  <c r="G194" i="3"/>
  <c r="I197" i="3"/>
  <c r="C44" i="3"/>
  <c r="E44" i="3"/>
  <c r="C25" i="3"/>
  <c r="G44" i="3"/>
  <c r="D23" i="3"/>
  <c r="C36" i="3"/>
  <c r="E23" i="3"/>
  <c r="E28" i="3"/>
  <c r="E36" i="3"/>
  <c r="F36" i="3"/>
  <c r="G36" i="3"/>
  <c r="B25" i="3"/>
  <c r="E25" i="3"/>
  <c r="I44" i="3"/>
  <c r="B47" i="3"/>
  <c r="I15" i="3"/>
  <c r="H15" i="3"/>
  <c r="J15" i="3"/>
  <c r="G19" i="3"/>
  <c r="J17" i="3"/>
  <c r="D13" i="3"/>
  <c r="F13" i="3"/>
  <c r="I13" i="3"/>
  <c r="G13" i="3"/>
  <c r="H13" i="3"/>
  <c r="J13" i="3"/>
  <c r="E11" i="3"/>
  <c r="F11" i="3"/>
  <c r="G11" i="3"/>
  <c r="C8" i="3"/>
  <c r="D8" i="3"/>
  <c r="I11" i="3"/>
  <c r="H11" i="3"/>
  <c r="J11" i="3"/>
  <c r="B11" i="3"/>
  <c r="D11" i="3"/>
  <c r="D10" i="3"/>
  <c r="C9" i="3"/>
  <c r="D9" i="3"/>
  <c r="H9" i="3"/>
  <c r="F9" i="3"/>
  <c r="E9" i="3"/>
  <c r="B9" i="3"/>
  <c r="I9" i="3"/>
  <c r="G9" i="3"/>
  <c r="B8" i="3"/>
  <c r="J6" i="3"/>
  <c r="H128" i="3"/>
  <c r="F128" i="3"/>
  <c r="D128" i="3"/>
  <c r="B128" i="3"/>
  <c r="J100" i="3"/>
  <c r="H100" i="3"/>
  <c r="F100" i="3"/>
  <c r="B100" i="3"/>
  <c r="J104" i="3"/>
  <c r="F104" i="3"/>
  <c r="D104" i="3"/>
  <c r="B104" i="3"/>
  <c r="B108" i="3"/>
  <c r="J108" i="3"/>
  <c r="H108" i="3"/>
  <c r="F108" i="3"/>
  <c r="D108" i="3"/>
  <c r="F112" i="3"/>
  <c r="D112" i="3"/>
  <c r="B112" i="3"/>
  <c r="J112" i="3"/>
  <c r="H112" i="3"/>
  <c r="J116" i="3"/>
  <c r="H116" i="3"/>
  <c r="F116" i="3"/>
  <c r="D116" i="3"/>
  <c r="B116" i="3"/>
  <c r="B120" i="3"/>
  <c r="C124" i="3"/>
  <c r="C128" i="3"/>
  <c r="C132" i="3"/>
  <c r="C136" i="3"/>
  <c r="C140" i="3"/>
  <c r="B7" i="3"/>
  <c r="B18" i="3"/>
  <c r="C29" i="3"/>
  <c r="E40" i="3"/>
  <c r="D44" i="3"/>
  <c r="B44" i="3"/>
  <c r="H44" i="3"/>
  <c r="F44" i="3"/>
  <c r="J76" i="3"/>
  <c r="H76" i="3"/>
  <c r="F76" i="3"/>
  <c r="D76" i="3"/>
  <c r="J80" i="3"/>
  <c r="H80" i="3"/>
  <c r="D80" i="3"/>
  <c r="B80" i="3"/>
  <c r="H84" i="3"/>
  <c r="F84" i="3"/>
  <c r="D84" i="3"/>
  <c r="B84" i="3"/>
  <c r="D88" i="3"/>
  <c r="B88" i="3"/>
  <c r="J88" i="3"/>
  <c r="H88" i="3"/>
  <c r="F88" i="3"/>
  <c r="H92" i="3"/>
  <c r="F92" i="3"/>
  <c r="D92" i="3"/>
  <c r="B92" i="3"/>
  <c r="J92" i="3"/>
  <c r="J96" i="3"/>
  <c r="H96" i="3"/>
  <c r="F96" i="3"/>
  <c r="D96" i="3"/>
  <c r="B96" i="3"/>
  <c r="C100" i="3"/>
  <c r="C104" i="3"/>
  <c r="C108" i="3"/>
  <c r="C112" i="3"/>
  <c r="C116" i="3"/>
  <c r="E124" i="3"/>
  <c r="E128" i="3"/>
  <c r="E132" i="3"/>
  <c r="B16" i="3"/>
  <c r="J153" i="3"/>
  <c r="H153" i="3"/>
  <c r="F153" i="3"/>
  <c r="D153" i="3"/>
  <c r="C157" i="3"/>
  <c r="D5" i="3"/>
  <c r="E56" i="3"/>
  <c r="I100" i="3"/>
  <c r="I104" i="3"/>
  <c r="J109" i="3"/>
  <c r="H109" i="3"/>
  <c r="F109" i="3"/>
  <c r="D109" i="3"/>
  <c r="J113" i="3"/>
  <c r="H113" i="3"/>
  <c r="D113" i="3"/>
  <c r="B113" i="3"/>
  <c r="H117" i="3"/>
  <c r="F117" i="3"/>
  <c r="D117" i="3"/>
  <c r="B117" i="3"/>
  <c r="D121" i="3"/>
  <c r="B121" i="3"/>
  <c r="J121" i="3"/>
  <c r="H121" i="3"/>
  <c r="F121" i="3"/>
  <c r="H125" i="3"/>
  <c r="F125" i="3"/>
  <c r="D125" i="3"/>
  <c r="B125" i="3"/>
  <c r="J125" i="3"/>
  <c r="J129" i="3"/>
  <c r="H129" i="3"/>
  <c r="F129" i="3"/>
  <c r="D129" i="3"/>
  <c r="B129" i="3"/>
  <c r="C133" i="3"/>
  <c r="C137" i="3"/>
  <c r="C141" i="3"/>
  <c r="C145" i="3"/>
  <c r="C149" i="3"/>
  <c r="C153" i="3"/>
  <c r="E157" i="3"/>
  <c r="E161" i="3"/>
  <c r="E165" i="3"/>
  <c r="E169" i="3"/>
  <c r="E173" i="3"/>
  <c r="E177" i="3"/>
  <c r="G181" i="3"/>
  <c r="G185" i="3"/>
  <c r="G189" i="3"/>
  <c r="G193" i="3"/>
  <c r="J140" i="3"/>
  <c r="H140" i="3"/>
  <c r="F140" i="3"/>
  <c r="D140" i="3"/>
  <c r="B140" i="3"/>
  <c r="F18" i="3"/>
  <c r="E60" i="3"/>
  <c r="E137" i="3"/>
  <c r="G177" i="3"/>
  <c r="H181" i="3"/>
  <c r="I185" i="3"/>
  <c r="J157" i="3"/>
  <c r="H157" i="3"/>
  <c r="D157" i="3"/>
  <c r="B157" i="3"/>
  <c r="F101" i="3"/>
  <c r="D101" i="3"/>
  <c r="B101" i="3"/>
  <c r="J101" i="3"/>
  <c r="H101" i="3"/>
  <c r="H7" i="3"/>
  <c r="H81" i="3"/>
  <c r="F81" i="3"/>
  <c r="D81" i="3"/>
  <c r="B81" i="3"/>
  <c r="J81" i="3"/>
  <c r="E121" i="3"/>
  <c r="G137" i="3"/>
  <c r="G157" i="3"/>
  <c r="I165" i="3"/>
  <c r="I169" i="3"/>
  <c r="I181" i="3"/>
  <c r="J56" i="3"/>
  <c r="H56" i="3"/>
  <c r="F56" i="3"/>
  <c r="B56" i="3"/>
  <c r="F124" i="3"/>
  <c r="G140" i="3"/>
  <c r="F189" i="3"/>
  <c r="D189" i="3"/>
  <c r="B189" i="3"/>
  <c r="J189" i="3"/>
  <c r="H189" i="3"/>
  <c r="H48" i="3"/>
  <c r="F48" i="3"/>
  <c r="D48" i="3"/>
  <c r="B48" i="3"/>
  <c r="J48" i="3"/>
  <c r="E100" i="3"/>
  <c r="G116" i="3"/>
  <c r="I132" i="3"/>
  <c r="C181" i="3"/>
  <c r="E33" i="3"/>
  <c r="I124" i="3"/>
  <c r="G128" i="3"/>
  <c r="D165" i="3"/>
  <c r="B165" i="3"/>
  <c r="J165" i="3"/>
  <c r="H165" i="3"/>
  <c r="F165" i="3"/>
  <c r="E7" i="3"/>
  <c r="E72" i="3"/>
  <c r="B14" i="3"/>
  <c r="C37" i="3"/>
  <c r="G7" i="3"/>
  <c r="E141" i="3"/>
  <c r="H73" i="3"/>
  <c r="F73" i="3"/>
  <c r="D73" i="3"/>
  <c r="B73" i="3"/>
  <c r="C109" i="3"/>
  <c r="E129" i="3"/>
  <c r="G149" i="3"/>
  <c r="J190" i="3"/>
  <c r="H190" i="3"/>
  <c r="D190" i="3"/>
  <c r="B190" i="3"/>
  <c r="E14" i="3"/>
  <c r="G16" i="3"/>
  <c r="J22" i="3"/>
  <c r="C30" i="3"/>
  <c r="I37" i="3"/>
  <c r="J49" i="3"/>
  <c r="F49" i="3"/>
  <c r="D49" i="3"/>
  <c r="B49" i="3"/>
  <c r="F57" i="3"/>
  <c r="D57" i="3"/>
  <c r="B57" i="3"/>
  <c r="J57" i="3"/>
  <c r="H57" i="3"/>
  <c r="B65" i="3"/>
  <c r="C73" i="3"/>
  <c r="C85" i="3"/>
  <c r="E97" i="3"/>
  <c r="E105" i="3"/>
  <c r="F113" i="3"/>
  <c r="G121" i="3"/>
  <c r="G129" i="3"/>
  <c r="I141" i="3"/>
  <c r="I149" i="3"/>
  <c r="I157" i="3"/>
  <c r="J161" i="3"/>
  <c r="J170" i="3"/>
  <c r="F170" i="3"/>
  <c r="D170" i="3"/>
  <c r="B170" i="3"/>
  <c r="F178" i="3"/>
  <c r="D178" i="3"/>
  <c r="B178" i="3"/>
  <c r="J178" i="3"/>
  <c r="H178" i="3"/>
  <c r="C190" i="3"/>
  <c r="J7" i="3"/>
  <c r="J38" i="3"/>
  <c r="F38" i="3"/>
  <c r="B38" i="3"/>
  <c r="C49" i="3"/>
  <c r="E69" i="3"/>
  <c r="E73" i="3"/>
  <c r="E85" i="3"/>
  <c r="E89" i="3"/>
  <c r="G93" i="3"/>
  <c r="G97" i="3"/>
  <c r="G101" i="3"/>
  <c r="G105" i="3"/>
  <c r="G109" i="3"/>
  <c r="G113" i="3"/>
  <c r="I117" i="3"/>
  <c r="I121" i="3"/>
  <c r="I125" i="3"/>
  <c r="I129" i="3"/>
  <c r="I133" i="3"/>
  <c r="I137" i="3"/>
  <c r="J142" i="3"/>
  <c r="H142" i="3"/>
  <c r="F142" i="3"/>
  <c r="D142" i="3"/>
  <c r="J146" i="3"/>
  <c r="H146" i="3"/>
  <c r="D146" i="3"/>
  <c r="B146" i="3"/>
  <c r="H150" i="3"/>
  <c r="F150" i="3"/>
  <c r="D150" i="3"/>
  <c r="B150" i="3"/>
  <c r="D154" i="3"/>
  <c r="B154" i="3"/>
  <c r="J154" i="3"/>
  <c r="H154" i="3"/>
  <c r="F154" i="3"/>
  <c r="H158" i="3"/>
  <c r="F158" i="3"/>
  <c r="D158" i="3"/>
  <c r="B158" i="3"/>
  <c r="J158" i="3"/>
  <c r="J162" i="3"/>
  <c r="H162" i="3"/>
  <c r="F162" i="3"/>
  <c r="D162" i="3"/>
  <c r="B162" i="3"/>
  <c r="C170" i="3"/>
  <c r="C178" i="3"/>
  <c r="E190" i="3"/>
  <c r="J120" i="3"/>
  <c r="H120" i="3"/>
  <c r="F120" i="3"/>
  <c r="D120" i="3"/>
  <c r="H18" i="3"/>
  <c r="D18" i="3"/>
  <c r="F68" i="3"/>
  <c r="D68" i="3"/>
  <c r="B68" i="3"/>
  <c r="J68" i="3"/>
  <c r="H68" i="3"/>
  <c r="J177" i="3"/>
  <c r="H177" i="3"/>
  <c r="F177" i="3"/>
  <c r="B177" i="3"/>
  <c r="C68" i="3"/>
  <c r="G108" i="3"/>
  <c r="J173" i="3"/>
  <c r="H173" i="3"/>
  <c r="F173" i="3"/>
  <c r="D173" i="3"/>
  <c r="B173" i="3"/>
  <c r="F145" i="3"/>
  <c r="D145" i="3"/>
  <c r="B145" i="3"/>
  <c r="J145" i="3"/>
  <c r="H145" i="3"/>
  <c r="E189" i="3"/>
  <c r="G18" i="3"/>
  <c r="J40" i="3"/>
  <c r="G68" i="3"/>
  <c r="C26" i="3"/>
  <c r="I68" i="3"/>
  <c r="G173" i="3"/>
  <c r="F16" i="3"/>
  <c r="G37" i="3"/>
  <c r="I56" i="3"/>
  <c r="D77" i="3"/>
  <c r="B77" i="3"/>
  <c r="J77" i="3"/>
  <c r="H77" i="3"/>
  <c r="F77" i="3"/>
  <c r="C105" i="3"/>
  <c r="E117" i="3"/>
  <c r="E125" i="3"/>
  <c r="E133" i="3"/>
  <c r="G153" i="3"/>
  <c r="J186" i="3"/>
  <c r="H186" i="3"/>
  <c r="F186" i="3"/>
  <c r="D186" i="3"/>
  <c r="G5" i="3"/>
  <c r="I7" i="3"/>
  <c r="C12" i="3"/>
  <c r="J19" i="3"/>
  <c r="H19" i="3"/>
  <c r="F19" i="3"/>
  <c r="D19" i="3"/>
  <c r="B19" i="3"/>
  <c r="G26" i="3"/>
  <c r="J34" i="3"/>
  <c r="H34" i="3"/>
  <c r="F34" i="3"/>
  <c r="B34" i="3"/>
  <c r="E41" i="3"/>
  <c r="C45" i="3"/>
  <c r="B53" i="3"/>
  <c r="J53" i="3"/>
  <c r="H53" i="3"/>
  <c r="F53" i="3"/>
  <c r="D53" i="3"/>
  <c r="J61" i="3"/>
  <c r="H61" i="3"/>
  <c r="F61" i="3"/>
  <c r="D61" i="3"/>
  <c r="B61" i="3"/>
  <c r="C69" i="3"/>
  <c r="C77" i="3"/>
  <c r="C81" i="3"/>
  <c r="D89" i="3"/>
  <c r="E93" i="3"/>
  <c r="E101" i="3"/>
  <c r="E109" i="3"/>
  <c r="G117" i="3"/>
  <c r="G125" i="3"/>
  <c r="G133" i="3"/>
  <c r="I145" i="3"/>
  <c r="I153" i="3"/>
  <c r="J166" i="3"/>
  <c r="H166" i="3"/>
  <c r="F166" i="3"/>
  <c r="B166" i="3"/>
  <c r="B174" i="3"/>
  <c r="J174" i="3"/>
  <c r="H174" i="3"/>
  <c r="F174" i="3"/>
  <c r="D174" i="3"/>
  <c r="J182" i="3"/>
  <c r="H182" i="3"/>
  <c r="F182" i="3"/>
  <c r="D182" i="3"/>
  <c r="B182" i="3"/>
  <c r="B186" i="3"/>
  <c r="H5" i="3"/>
  <c r="B10" i="3"/>
  <c r="D12" i="3"/>
  <c r="F14" i="3"/>
  <c r="H16" i="3"/>
  <c r="J23" i="3"/>
  <c r="H23" i="3"/>
  <c r="F23" i="3"/>
  <c r="B23" i="3"/>
  <c r="E30" i="3"/>
  <c r="C34" i="3"/>
  <c r="G41" i="3"/>
  <c r="D45" i="3"/>
  <c r="C53" i="3"/>
  <c r="C57" i="3"/>
  <c r="C65" i="3"/>
  <c r="E81" i="3"/>
  <c r="I5" i="3"/>
  <c r="C10" i="3"/>
  <c r="E12" i="3"/>
  <c r="G14" i="3"/>
  <c r="I16" i="3"/>
  <c r="E19" i="3"/>
  <c r="C23" i="3"/>
  <c r="J27" i="3"/>
  <c r="F27" i="3"/>
  <c r="B27" i="3"/>
  <c r="D34" i="3"/>
  <c r="C38" i="3"/>
  <c r="E45" i="3"/>
  <c r="E49" i="3"/>
  <c r="E53" i="3"/>
  <c r="E57" i="3"/>
  <c r="E61" i="3"/>
  <c r="E65" i="3"/>
  <c r="G73" i="3"/>
  <c r="G77" i="3"/>
  <c r="G81" i="3"/>
  <c r="G85" i="3"/>
  <c r="G89" i="3"/>
  <c r="H93" i="3"/>
  <c r="I101" i="3"/>
  <c r="I109" i="3"/>
  <c r="I113" i="3"/>
  <c r="J117" i="3"/>
  <c r="J122" i="3"/>
  <c r="H122" i="3"/>
  <c r="F122" i="3"/>
  <c r="B122" i="3"/>
  <c r="J126" i="3"/>
  <c r="F126" i="3"/>
  <c r="D126" i="3"/>
  <c r="B126" i="3"/>
  <c r="B130" i="3"/>
  <c r="J130" i="3"/>
  <c r="H130" i="3"/>
  <c r="F130" i="3"/>
  <c r="D130" i="3"/>
  <c r="F134" i="3"/>
  <c r="D134" i="3"/>
  <c r="B134" i="3"/>
  <c r="J134" i="3"/>
  <c r="H134" i="3"/>
  <c r="J138" i="3"/>
  <c r="H138" i="3"/>
  <c r="F138" i="3"/>
  <c r="D138" i="3"/>
  <c r="B138" i="3"/>
  <c r="B142" i="3"/>
  <c r="C146" i="3"/>
  <c r="C150" i="3"/>
  <c r="C154" i="3"/>
  <c r="C158" i="3"/>
  <c r="C162" i="3"/>
  <c r="D166" i="3"/>
  <c r="E170" i="3"/>
  <c r="E174" i="3"/>
  <c r="E178" i="3"/>
  <c r="E182" i="3"/>
  <c r="E186" i="3"/>
  <c r="F190" i="3"/>
  <c r="D132" i="3"/>
  <c r="B132" i="3"/>
  <c r="J132" i="3"/>
  <c r="H132" i="3"/>
  <c r="F132" i="3"/>
  <c r="H29" i="3"/>
  <c r="D29" i="3"/>
  <c r="B29" i="3"/>
  <c r="J181" i="3"/>
  <c r="F181" i="3"/>
  <c r="D181" i="3"/>
  <c r="B181" i="3"/>
  <c r="G120" i="3"/>
  <c r="I140" i="3"/>
  <c r="C16" i="3"/>
  <c r="I112" i="3"/>
  <c r="B141" i="3"/>
  <c r="J141" i="3"/>
  <c r="H141" i="3"/>
  <c r="F141" i="3"/>
  <c r="D141" i="3"/>
  <c r="D177" i="3"/>
  <c r="F7" i="3"/>
  <c r="G64" i="3"/>
  <c r="J41" i="3"/>
  <c r="H41" i="3"/>
  <c r="F41" i="3"/>
  <c r="D41" i="3"/>
  <c r="B41" i="3"/>
  <c r="I72" i="3"/>
  <c r="J30" i="3"/>
  <c r="H30" i="3"/>
  <c r="F30" i="3"/>
  <c r="D30" i="3"/>
  <c r="B30" i="3"/>
  <c r="J69" i="3"/>
  <c r="H69" i="3"/>
  <c r="D69" i="3"/>
  <c r="B69" i="3"/>
  <c r="H114" i="3"/>
  <c r="F114" i="3"/>
  <c r="D114" i="3"/>
  <c r="B114" i="3"/>
  <c r="J114" i="3"/>
  <c r="I53" i="3"/>
  <c r="I61" i="3"/>
  <c r="I69" i="3"/>
  <c r="J73" i="3"/>
  <c r="C102" i="3"/>
  <c r="I190" i="3"/>
  <c r="H12" i="3"/>
  <c r="H70" i="3"/>
  <c r="F70" i="3"/>
  <c r="D70" i="3"/>
  <c r="B70" i="3"/>
  <c r="J70" i="3"/>
  <c r="C98" i="3"/>
  <c r="D187" i="3"/>
  <c r="B187" i="3"/>
  <c r="J187" i="3"/>
  <c r="H187" i="3"/>
  <c r="F187" i="3"/>
  <c r="H38" i="3"/>
  <c r="E98" i="3"/>
  <c r="J159" i="3"/>
  <c r="F159" i="3"/>
  <c r="D159" i="3"/>
  <c r="B159" i="3"/>
  <c r="B175" i="3"/>
  <c r="C187" i="3"/>
  <c r="H27" i="3"/>
  <c r="E58" i="3"/>
  <c r="I122" i="3"/>
  <c r="C18" i="3"/>
  <c r="E29" i="3"/>
  <c r="J60" i="3"/>
  <c r="F60" i="3"/>
  <c r="D60" i="3"/>
  <c r="B60" i="3"/>
  <c r="J193" i="3"/>
  <c r="H193" i="3"/>
  <c r="F193" i="3"/>
  <c r="D193" i="3"/>
  <c r="B193" i="3"/>
  <c r="B5" i="3"/>
  <c r="J52" i="3"/>
  <c r="H52" i="3"/>
  <c r="F52" i="3"/>
  <c r="D52" i="3"/>
  <c r="B52" i="3"/>
  <c r="C72" i="3"/>
  <c r="G104" i="3"/>
  <c r="C177" i="3"/>
  <c r="J137" i="3"/>
  <c r="F137" i="3"/>
  <c r="D137" i="3"/>
  <c r="B137" i="3"/>
  <c r="C173" i="3"/>
  <c r="C14" i="3"/>
  <c r="J29" i="3"/>
  <c r="G48" i="3"/>
  <c r="I64" i="3"/>
  <c r="J105" i="3"/>
  <c r="H105" i="3"/>
  <c r="F105" i="3"/>
  <c r="D105" i="3"/>
  <c r="B105" i="3"/>
  <c r="E145" i="3"/>
  <c r="D14" i="3"/>
  <c r="I48" i="3"/>
  <c r="E113" i="3"/>
  <c r="J5" i="3"/>
  <c r="J16" i="3"/>
  <c r="B42" i="3"/>
  <c r="J42" i="3"/>
  <c r="F42" i="3"/>
  <c r="D42" i="3"/>
  <c r="I73" i="3"/>
  <c r="H106" i="3"/>
  <c r="F106" i="3"/>
  <c r="D106" i="3"/>
  <c r="B106" i="3"/>
  <c r="B31" i="3"/>
  <c r="J31" i="3"/>
  <c r="F31" i="3"/>
  <c r="D31" i="3"/>
  <c r="I57" i="3"/>
  <c r="J82" i="3"/>
  <c r="F82" i="3"/>
  <c r="D82" i="3"/>
  <c r="B82" i="3"/>
  <c r="C110" i="3"/>
  <c r="E42" i="3"/>
  <c r="D66" i="3"/>
  <c r="B66" i="3"/>
  <c r="J66" i="3"/>
  <c r="H66" i="3"/>
  <c r="F66" i="3"/>
  <c r="C94" i="3"/>
  <c r="E114" i="3"/>
  <c r="J179" i="3"/>
  <c r="H179" i="3"/>
  <c r="D179" i="3"/>
  <c r="B179" i="3"/>
  <c r="C6" i="3"/>
  <c r="F35" i="3"/>
  <c r="D35" i="3"/>
  <c r="B35" i="3"/>
  <c r="J35" i="3"/>
  <c r="H35" i="3"/>
  <c r="B54" i="3"/>
  <c r="E82" i="3"/>
  <c r="G114" i="3"/>
  <c r="J150" i="3"/>
  <c r="D17" i="3"/>
  <c r="C35" i="3"/>
  <c r="C50" i="3"/>
  <c r="E66" i="3"/>
  <c r="G82" i="3"/>
  <c r="G90" i="3"/>
  <c r="G102" i="3"/>
  <c r="I114" i="3"/>
  <c r="J135" i="3"/>
  <c r="H135" i="3"/>
  <c r="D135" i="3"/>
  <c r="B135" i="3"/>
  <c r="H147" i="3"/>
  <c r="F147" i="3"/>
  <c r="D147" i="3"/>
  <c r="B147" i="3"/>
  <c r="J147" i="3"/>
  <c r="C155" i="3"/>
  <c r="C167" i="3"/>
  <c r="E179" i="3"/>
  <c r="C24" i="3"/>
  <c r="J39" i="3"/>
  <c r="H39" i="3"/>
  <c r="F39" i="3"/>
  <c r="D39" i="3"/>
  <c r="B39" i="3"/>
  <c r="I42" i="3"/>
  <c r="E50" i="3"/>
  <c r="F58" i="3"/>
  <c r="G66" i="3"/>
  <c r="G70" i="3"/>
  <c r="G74" i="3"/>
  <c r="H82" i="3"/>
  <c r="I94" i="3"/>
  <c r="I102" i="3"/>
  <c r="J106" i="3"/>
  <c r="J111" i="3"/>
  <c r="H111" i="3"/>
  <c r="F111" i="3"/>
  <c r="B111" i="3"/>
  <c r="J115" i="3"/>
  <c r="F115" i="3"/>
  <c r="D115" i="3"/>
  <c r="B115" i="3"/>
  <c r="B119" i="3"/>
  <c r="J119" i="3"/>
  <c r="H119" i="3"/>
  <c r="F119" i="3"/>
  <c r="D119" i="3"/>
  <c r="F123" i="3"/>
  <c r="D123" i="3"/>
  <c r="B123" i="3"/>
  <c r="J123" i="3"/>
  <c r="H123" i="3"/>
  <c r="J127" i="3"/>
  <c r="H127" i="3"/>
  <c r="F127" i="3"/>
  <c r="D127" i="3"/>
  <c r="B127" i="3"/>
  <c r="B131" i="3"/>
  <c r="C135" i="3"/>
  <c r="C147" i="3"/>
  <c r="D155" i="3"/>
  <c r="E159" i="3"/>
  <c r="E171" i="3"/>
  <c r="F179" i="3"/>
  <c r="G183" i="3"/>
  <c r="G187" i="3"/>
  <c r="G191" i="3"/>
  <c r="E120" i="3"/>
  <c r="B185" i="3"/>
  <c r="J185" i="3"/>
  <c r="H185" i="3"/>
  <c r="F185" i="3"/>
  <c r="D185" i="3"/>
  <c r="D22" i="3"/>
  <c r="B22" i="3"/>
  <c r="H22" i="3"/>
  <c r="F22" i="3"/>
  <c r="C56" i="3"/>
  <c r="H161" i="3"/>
  <c r="F161" i="3"/>
  <c r="D161" i="3"/>
  <c r="B161" i="3"/>
  <c r="C189" i="3"/>
  <c r="H104" i="3"/>
  <c r="I120" i="3"/>
  <c r="J128" i="3"/>
  <c r="C169" i="3"/>
  <c r="H26" i="3"/>
  <c r="F26" i="3"/>
  <c r="D26" i="3"/>
  <c r="B26" i="3"/>
  <c r="J26" i="3"/>
  <c r="E16" i="3"/>
  <c r="H60" i="3"/>
  <c r="J93" i="3"/>
  <c r="F93" i="3"/>
  <c r="D93" i="3"/>
  <c r="B93" i="3"/>
  <c r="B12" i="3"/>
  <c r="I22" i="3"/>
  <c r="C41" i="3"/>
  <c r="I60" i="3"/>
  <c r="C101" i="3"/>
  <c r="F12" i="3"/>
  <c r="G69" i="3"/>
  <c r="J98" i="3"/>
  <c r="H98" i="3"/>
  <c r="F98" i="3"/>
  <c r="D98" i="3"/>
  <c r="J118" i="3"/>
  <c r="H118" i="3"/>
  <c r="F118" i="3"/>
  <c r="D118" i="3"/>
  <c r="B118" i="3"/>
  <c r="G186" i="3"/>
  <c r="E10" i="3"/>
  <c r="H49" i="3"/>
  <c r="J78" i="3"/>
  <c r="H78" i="3"/>
  <c r="F78" i="3"/>
  <c r="B78" i="3"/>
  <c r="B98" i="3"/>
  <c r="I174" i="3"/>
  <c r="I186" i="3"/>
  <c r="B20" i="3"/>
  <c r="J20" i="3"/>
  <c r="F20" i="3"/>
  <c r="D20" i="3"/>
  <c r="F46" i="3"/>
  <c r="D46" i="3"/>
  <c r="B46" i="3"/>
  <c r="J46" i="3"/>
  <c r="H46" i="3"/>
  <c r="H62" i="3"/>
  <c r="F62" i="3"/>
  <c r="D62" i="3"/>
  <c r="B62" i="3"/>
  <c r="C82" i="3"/>
  <c r="J175" i="3"/>
  <c r="H175" i="3"/>
  <c r="F175" i="3"/>
  <c r="D175" i="3"/>
  <c r="E31" i="3"/>
  <c r="C62" i="3"/>
  <c r="F167" i="3"/>
  <c r="D167" i="3"/>
  <c r="B167" i="3"/>
  <c r="J167" i="3"/>
  <c r="H167" i="3"/>
  <c r="C183" i="3"/>
  <c r="J12" i="3"/>
  <c r="E70" i="3"/>
  <c r="H136" i="3"/>
  <c r="F136" i="3"/>
  <c r="D136" i="3"/>
  <c r="B136" i="3"/>
  <c r="J136" i="3"/>
  <c r="C7" i="3"/>
  <c r="G136" i="3"/>
  <c r="G40" i="3"/>
  <c r="I128" i="3"/>
  <c r="C5" i="3"/>
  <c r="I40" i="3"/>
  <c r="C48" i="3"/>
  <c r="G100" i="3"/>
  <c r="J133" i="3"/>
  <c r="H133" i="3"/>
  <c r="F133" i="3"/>
  <c r="B133" i="3"/>
  <c r="B153" i="3"/>
  <c r="E193" i="3"/>
  <c r="I29" i="3"/>
  <c r="E48" i="3"/>
  <c r="G60" i="3"/>
  <c r="G22" i="3"/>
  <c r="G56" i="3"/>
  <c r="B97" i="3"/>
  <c r="J97" i="3"/>
  <c r="H97" i="3"/>
  <c r="F97" i="3"/>
  <c r="D97" i="3"/>
  <c r="G161" i="3"/>
  <c r="F5" i="3"/>
  <c r="J45" i="3"/>
  <c r="H45" i="3"/>
  <c r="F45" i="3"/>
  <c r="B45" i="3"/>
  <c r="J85" i="3"/>
  <c r="H85" i="3"/>
  <c r="F85" i="3"/>
  <c r="D85" i="3"/>
  <c r="B85" i="3"/>
  <c r="I30" i="3"/>
  <c r="I81" i="3"/>
  <c r="D110" i="3"/>
  <c r="B110" i="3"/>
  <c r="J110" i="3"/>
  <c r="H110" i="3"/>
  <c r="F110" i="3"/>
  <c r="G190" i="3"/>
  <c r="I14" i="3"/>
  <c r="G34" i="3"/>
  <c r="B86" i="3"/>
  <c r="J86" i="3"/>
  <c r="H86" i="3"/>
  <c r="F86" i="3"/>
  <c r="D86" i="3"/>
  <c r="F10" i="3"/>
  <c r="B17" i="3"/>
  <c r="C31" i="3"/>
  <c r="J54" i="3"/>
  <c r="H54" i="3"/>
  <c r="F54" i="3"/>
  <c r="D54" i="3"/>
  <c r="C78" i="3"/>
  <c r="E102" i="3"/>
  <c r="I166" i="3"/>
  <c r="I170" i="3"/>
  <c r="E8" i="3"/>
  <c r="I12" i="3"/>
  <c r="I23" i="3"/>
  <c r="G42" i="3"/>
  <c r="C58" i="3"/>
  <c r="C74" i="3"/>
  <c r="E86" i="3"/>
  <c r="G106" i="3"/>
  <c r="G118" i="3"/>
  <c r="I142" i="3"/>
  <c r="B163" i="3"/>
  <c r="J163" i="3"/>
  <c r="H163" i="3"/>
  <c r="F163" i="3"/>
  <c r="D163" i="3"/>
  <c r="F8" i="3"/>
  <c r="B15" i="3"/>
  <c r="E20" i="3"/>
  <c r="G31" i="3"/>
  <c r="I38" i="3"/>
  <c r="E46" i="3"/>
  <c r="E62" i="3"/>
  <c r="E78" i="3"/>
  <c r="G86" i="3"/>
  <c r="G98" i="3"/>
  <c r="I106" i="3"/>
  <c r="I110" i="3"/>
  <c r="I118" i="3"/>
  <c r="I126" i="3"/>
  <c r="H139" i="3"/>
  <c r="F139" i="3"/>
  <c r="D139" i="3"/>
  <c r="B139" i="3"/>
  <c r="D143" i="3"/>
  <c r="B143" i="3"/>
  <c r="J143" i="3"/>
  <c r="H143" i="3"/>
  <c r="F143" i="3"/>
  <c r="J151" i="3"/>
  <c r="H151" i="3"/>
  <c r="F151" i="3"/>
  <c r="D151" i="3"/>
  <c r="B151" i="3"/>
  <c r="C163" i="3"/>
  <c r="C171" i="3"/>
  <c r="C175" i="3"/>
  <c r="E183" i="3"/>
  <c r="E187" i="3"/>
  <c r="E191" i="3"/>
  <c r="E6" i="3"/>
  <c r="G8" i="3"/>
  <c r="I10" i="3"/>
  <c r="C15" i="3"/>
  <c r="E17" i="3"/>
  <c r="G20" i="3"/>
  <c r="I27" i="3"/>
  <c r="H31" i="3"/>
  <c r="E35" i="3"/>
  <c r="F6" i="3"/>
  <c r="H8" i="3"/>
  <c r="J10" i="3"/>
  <c r="B13" i="3"/>
  <c r="D15" i="3"/>
  <c r="F17" i="3"/>
  <c r="H20" i="3"/>
  <c r="E24" i="3"/>
  <c r="J28" i="3"/>
  <c r="H28" i="3"/>
  <c r="F28" i="3"/>
  <c r="D28" i="3"/>
  <c r="B28" i="3"/>
  <c r="I31" i="3"/>
  <c r="G35" i="3"/>
  <c r="C39" i="3"/>
  <c r="J43" i="3"/>
  <c r="H43" i="3"/>
  <c r="F43" i="3"/>
  <c r="D43" i="3"/>
  <c r="I46" i="3"/>
  <c r="G50" i="3"/>
  <c r="G54" i="3"/>
  <c r="G58" i="3"/>
  <c r="I62" i="3"/>
  <c r="I66" i="3"/>
  <c r="I70" i="3"/>
  <c r="I78" i="3"/>
  <c r="I82" i="3"/>
  <c r="J87" i="3"/>
  <c r="H87" i="3"/>
  <c r="F87" i="3"/>
  <c r="D87" i="3"/>
  <c r="J91" i="3"/>
  <c r="H91" i="3"/>
  <c r="D91" i="3"/>
  <c r="B91" i="3"/>
  <c r="H95" i="3"/>
  <c r="F95" i="3"/>
  <c r="D95" i="3"/>
  <c r="B95" i="3"/>
  <c r="D99" i="3"/>
  <c r="B99" i="3"/>
  <c r="J99" i="3"/>
  <c r="H99" i="3"/>
  <c r="F99" i="3"/>
  <c r="H103" i="3"/>
  <c r="F103" i="3"/>
  <c r="D103" i="3"/>
  <c r="B103" i="3"/>
  <c r="J103" i="3"/>
  <c r="J107" i="3"/>
  <c r="H107" i="3"/>
  <c r="F107" i="3"/>
  <c r="D107" i="3"/>
  <c r="B107" i="3"/>
  <c r="C111" i="3"/>
  <c r="C115" i="3"/>
  <c r="C119" i="3"/>
  <c r="C123" i="3"/>
  <c r="C127" i="3"/>
  <c r="C131" i="3"/>
  <c r="E135" i="3"/>
  <c r="E139" i="3"/>
  <c r="E143" i="3"/>
  <c r="E147" i="3"/>
  <c r="E151" i="3"/>
  <c r="E155" i="3"/>
  <c r="G159" i="3"/>
  <c r="G163" i="3"/>
  <c r="G167" i="3"/>
  <c r="G171" i="3"/>
  <c r="G175" i="3"/>
  <c r="G179" i="3"/>
  <c r="I183" i="3"/>
  <c r="I187" i="3"/>
  <c r="G6" i="3"/>
  <c r="I8" i="3"/>
  <c r="C13" i="3"/>
  <c r="E15" i="3"/>
  <c r="G17" i="3"/>
  <c r="I20" i="3"/>
  <c r="C28" i="3"/>
  <c r="J32" i="3"/>
  <c r="H32" i="3"/>
  <c r="F32" i="3"/>
  <c r="D32" i="3"/>
  <c r="I35" i="3"/>
  <c r="E39" i="3"/>
  <c r="B43" i="3"/>
  <c r="J47" i="3"/>
  <c r="H47" i="3"/>
  <c r="D47" i="3"/>
  <c r="I54" i="3"/>
  <c r="J62" i="3"/>
  <c r="J67" i="3"/>
  <c r="H67" i="3"/>
  <c r="F67" i="3"/>
  <c r="B67" i="3"/>
  <c r="J71" i="3"/>
  <c r="F71" i="3"/>
  <c r="D71" i="3"/>
  <c r="B71" i="3"/>
  <c r="B75" i="3"/>
  <c r="J75" i="3"/>
  <c r="H75" i="3"/>
  <c r="F75" i="3"/>
  <c r="D75" i="3"/>
  <c r="F79" i="3"/>
  <c r="D79" i="3"/>
  <c r="B79" i="3"/>
  <c r="J79" i="3"/>
  <c r="H79" i="3"/>
  <c r="J83" i="3"/>
  <c r="H83" i="3"/>
  <c r="F83" i="3"/>
  <c r="D83" i="3"/>
  <c r="B83" i="3"/>
  <c r="B87" i="3"/>
  <c r="C91" i="3"/>
  <c r="C95" i="3"/>
  <c r="C99" i="3"/>
  <c r="C103" i="3"/>
  <c r="C107" i="3"/>
  <c r="D111" i="3"/>
  <c r="E115" i="3"/>
  <c r="E119" i="3"/>
  <c r="E123" i="3"/>
  <c r="E127" i="3"/>
  <c r="F135" i="3"/>
  <c r="G139" i="3"/>
  <c r="G143" i="3"/>
  <c r="G147" i="3"/>
  <c r="G151" i="3"/>
  <c r="H159" i="3"/>
  <c r="I163" i="3"/>
  <c r="I167" i="3"/>
  <c r="I175" i="3"/>
  <c r="I179" i="3"/>
  <c r="J188" i="3"/>
  <c r="H188" i="3"/>
  <c r="F188" i="3"/>
  <c r="B188" i="3"/>
  <c r="J192" i="3"/>
  <c r="F192" i="3"/>
  <c r="D192" i="3"/>
  <c r="B192" i="3"/>
  <c r="J124" i="3"/>
  <c r="H124" i="3"/>
  <c r="D124" i="3"/>
  <c r="B124" i="3"/>
  <c r="C40" i="3"/>
  <c r="D33" i="3"/>
  <c r="B33" i="3"/>
  <c r="H33" i="3"/>
  <c r="F33" i="3"/>
  <c r="B64" i="3"/>
  <c r="J64" i="3"/>
  <c r="H64" i="3"/>
  <c r="F64" i="3"/>
  <c r="D64" i="3"/>
  <c r="F29" i="3"/>
  <c r="C64" i="3"/>
  <c r="G112" i="3"/>
  <c r="I136" i="3"/>
  <c r="C193" i="3"/>
  <c r="C22" i="3"/>
  <c r="C52" i="3"/>
  <c r="E68" i="3"/>
  <c r="I108" i="3"/>
  <c r="J149" i="3"/>
  <c r="H149" i="3"/>
  <c r="F149" i="3"/>
  <c r="D149" i="3"/>
  <c r="B149" i="3"/>
  <c r="E185" i="3"/>
  <c r="G33" i="3"/>
  <c r="I33" i="3"/>
  <c r="G165" i="3"/>
  <c r="J18" i="3"/>
  <c r="I52" i="3"/>
  <c r="C97" i="3"/>
  <c r="H14" i="3"/>
  <c r="I77" i="3"/>
  <c r="I93" i="3"/>
  <c r="I19" i="3"/>
  <c r="I45" i="3"/>
  <c r="F90" i="3"/>
  <c r="D90" i="3"/>
  <c r="B90" i="3"/>
  <c r="J90" i="3"/>
  <c r="H90" i="3"/>
  <c r="C106" i="3"/>
  <c r="C118" i="3"/>
  <c r="H170" i="3"/>
  <c r="I178" i="3"/>
  <c r="B6" i="3"/>
  <c r="I49" i="3"/>
  <c r="J74" i="3"/>
  <c r="H74" i="3"/>
  <c r="F74" i="3"/>
  <c r="D74" i="3"/>
  <c r="B74" i="3"/>
  <c r="C86" i="3"/>
  <c r="E106" i="3"/>
  <c r="E118" i="3"/>
  <c r="H183" i="3"/>
  <c r="F183" i="3"/>
  <c r="D183" i="3"/>
  <c r="B183" i="3"/>
  <c r="G10" i="3"/>
  <c r="G27" i="3"/>
  <c r="C46" i="3"/>
  <c r="D78" i="3"/>
  <c r="J155" i="3"/>
  <c r="H155" i="3"/>
  <c r="F155" i="3"/>
  <c r="B155" i="3"/>
  <c r="C179" i="3"/>
  <c r="H40" i="3"/>
  <c r="D40" i="3"/>
  <c r="B40" i="3"/>
  <c r="J72" i="3"/>
  <c r="H72" i="3"/>
  <c r="F72" i="3"/>
  <c r="D72" i="3"/>
  <c r="B72" i="3"/>
  <c r="C33" i="3"/>
  <c r="H169" i="3"/>
  <c r="F169" i="3"/>
  <c r="D169" i="3"/>
  <c r="B169" i="3"/>
  <c r="J169" i="3"/>
  <c r="H37" i="3"/>
  <c r="F37" i="3"/>
  <c r="D37" i="3"/>
  <c r="B37" i="3"/>
  <c r="J37" i="3"/>
  <c r="I116" i="3"/>
  <c r="C161" i="3"/>
  <c r="I18" i="3"/>
  <c r="G52" i="3"/>
  <c r="J89" i="3"/>
  <c r="H89" i="3"/>
  <c r="F89" i="3"/>
  <c r="B89" i="3"/>
  <c r="E153" i="3"/>
  <c r="E26" i="3"/>
  <c r="J65" i="3"/>
  <c r="H65" i="3"/>
  <c r="F65" i="3"/>
  <c r="D65" i="3"/>
  <c r="C89" i="3"/>
  <c r="J102" i="3"/>
  <c r="H102" i="3"/>
  <c r="D102" i="3"/>
  <c r="B102" i="3"/>
  <c r="C42" i="3"/>
  <c r="I65" i="3"/>
  <c r="J94" i="3"/>
  <c r="H94" i="3"/>
  <c r="F94" i="3"/>
  <c r="D94" i="3"/>
  <c r="B94" i="3"/>
  <c r="C114" i="3"/>
  <c r="G166" i="3"/>
  <c r="I182" i="3"/>
  <c r="I34" i="3"/>
  <c r="J58" i="3"/>
  <c r="H58" i="3"/>
  <c r="D58" i="3"/>
  <c r="B58" i="3"/>
  <c r="C90" i="3"/>
  <c r="H191" i="3"/>
  <c r="F191" i="3"/>
  <c r="D191" i="3"/>
  <c r="B191" i="3"/>
  <c r="J191" i="3"/>
  <c r="C17" i="3"/>
  <c r="J50" i="3"/>
  <c r="H50" i="3"/>
  <c r="F50" i="3"/>
  <c r="D50" i="3"/>
  <c r="B50" i="3"/>
  <c r="C70" i="3"/>
  <c r="E90" i="3"/>
  <c r="G110" i="3"/>
  <c r="I146" i="3"/>
  <c r="J171" i="3"/>
  <c r="H171" i="3"/>
  <c r="F171" i="3"/>
  <c r="D171" i="3"/>
  <c r="B171" i="3"/>
  <c r="C191" i="3"/>
  <c r="D6" i="3"/>
  <c r="F24" i="3"/>
  <c r="D24" i="3"/>
  <c r="B24" i="3"/>
  <c r="J24" i="3"/>
  <c r="H24" i="3"/>
  <c r="H42" i="3"/>
  <c r="C54" i="3"/>
  <c r="E74" i="3"/>
  <c r="G94" i="3"/>
  <c r="J131" i="3"/>
  <c r="H131" i="3"/>
  <c r="F131" i="3"/>
  <c r="D131" i="3"/>
  <c r="C159" i="3"/>
  <c r="H6" i="3"/>
  <c r="F15" i="3"/>
  <c r="H17" i="3"/>
  <c r="J21" i="3"/>
  <c r="H21" i="3"/>
  <c r="F21" i="3"/>
  <c r="D21" i="3"/>
  <c r="I24" i="3"/>
  <c r="J36" i="3"/>
  <c r="H36" i="3"/>
  <c r="D36" i="3"/>
  <c r="H51" i="3"/>
  <c r="F51" i="3"/>
  <c r="D51" i="3"/>
  <c r="B51" i="3"/>
  <c r="D55" i="3"/>
  <c r="B55" i="3"/>
  <c r="J55" i="3"/>
  <c r="H55" i="3"/>
  <c r="F55" i="3"/>
  <c r="H59" i="3"/>
  <c r="F59" i="3"/>
  <c r="D59" i="3"/>
  <c r="B59" i="3"/>
  <c r="J59" i="3"/>
  <c r="J63" i="3"/>
  <c r="H63" i="3"/>
  <c r="F63" i="3"/>
  <c r="D63" i="3"/>
  <c r="B63" i="3"/>
  <c r="E111" i="3"/>
  <c r="G115" i="3"/>
  <c r="G119" i="3"/>
  <c r="G123" i="3"/>
  <c r="G131" i="3"/>
  <c r="G135" i="3"/>
  <c r="I139" i="3"/>
  <c r="I143" i="3"/>
  <c r="I147" i="3"/>
  <c r="I151" i="3"/>
  <c r="I155" i="3"/>
  <c r="I159" i="3"/>
  <c r="J164" i="3"/>
  <c r="H164" i="3"/>
  <c r="F164" i="3"/>
  <c r="D164" i="3"/>
  <c r="J168" i="3"/>
  <c r="H168" i="3"/>
  <c r="D168" i="3"/>
  <c r="B168" i="3"/>
  <c r="H172" i="3"/>
  <c r="F172" i="3"/>
  <c r="D172" i="3"/>
  <c r="B172" i="3"/>
  <c r="D176" i="3"/>
  <c r="B176" i="3"/>
  <c r="J176" i="3"/>
  <c r="H176" i="3"/>
  <c r="F176" i="3"/>
  <c r="H180" i="3"/>
  <c r="F180" i="3"/>
  <c r="D180" i="3"/>
  <c r="B180" i="3"/>
  <c r="J180" i="3"/>
  <c r="J184" i="3"/>
  <c r="H184" i="3"/>
  <c r="F184" i="3"/>
  <c r="D184" i="3"/>
  <c r="B184" i="3"/>
  <c r="B21" i="3"/>
  <c r="J25" i="3"/>
  <c r="H25" i="3"/>
  <c r="D25" i="3"/>
  <c r="G28" i="3"/>
  <c r="C32" i="3"/>
  <c r="B36" i="3"/>
  <c r="I39" i="3"/>
  <c r="E43" i="3"/>
  <c r="C47" i="3"/>
  <c r="C51" i="3"/>
  <c r="C55" i="3"/>
  <c r="C59" i="3"/>
  <c r="C63" i="3"/>
  <c r="D67" i="3"/>
  <c r="E71" i="3"/>
  <c r="E75" i="3"/>
  <c r="E79" i="3"/>
  <c r="E83" i="3"/>
  <c r="E87" i="3"/>
  <c r="F91" i="3"/>
  <c r="G95" i="3"/>
  <c r="G99" i="3"/>
  <c r="G103" i="3"/>
  <c r="G107" i="3"/>
  <c r="G111" i="3"/>
  <c r="H115" i="3"/>
  <c r="I119" i="3"/>
  <c r="I123" i="3"/>
  <c r="I127" i="3"/>
  <c r="I131" i="3"/>
  <c r="I135" i="3"/>
  <c r="J139" i="3"/>
  <c r="J144" i="3"/>
  <c r="H144" i="3"/>
  <c r="F144" i="3"/>
  <c r="B144" i="3"/>
  <c r="J148" i="3"/>
  <c r="F148" i="3"/>
  <c r="D148" i="3"/>
  <c r="B148" i="3"/>
  <c r="B152" i="3"/>
  <c r="J152" i="3"/>
  <c r="H152" i="3"/>
  <c r="F152" i="3"/>
  <c r="D152" i="3"/>
  <c r="F156" i="3"/>
  <c r="D156" i="3"/>
  <c r="B156" i="3"/>
  <c r="J156" i="3"/>
  <c r="H156" i="3"/>
  <c r="J160" i="3"/>
  <c r="H160" i="3"/>
  <c r="F160" i="3"/>
  <c r="D160" i="3"/>
  <c r="B160" i="3"/>
  <c r="B164" i="3"/>
  <c r="C168" i="3"/>
  <c r="C172" i="3"/>
  <c r="C176" i="3"/>
  <c r="C180" i="3"/>
  <c r="C184" i="3"/>
  <c r="D188" i="3"/>
  <c r="E192" i="3"/>
  <c r="C196" i="3"/>
  <c r="E198" i="3"/>
  <c r="G200" i="3"/>
  <c r="I202" i="3"/>
  <c r="B194" i="3"/>
  <c r="D196" i="3"/>
  <c r="F198" i="3"/>
  <c r="H200" i="3"/>
  <c r="J202" i="3"/>
  <c r="D194" i="3"/>
  <c r="F196" i="3"/>
  <c r="H198" i="3"/>
  <c r="J200" i="3"/>
  <c r="B203" i="3"/>
  <c r="C203" i="3"/>
  <c r="F194" i="3"/>
  <c r="H196" i="3"/>
  <c r="J198" i="3"/>
  <c r="B201" i="3"/>
  <c r="D203" i="3"/>
  <c r="C201" i="3"/>
  <c r="E203" i="3"/>
  <c r="J196" i="3"/>
  <c r="B199" i="3"/>
  <c r="D201" i="3"/>
  <c r="F203" i="3"/>
  <c r="C199" i="3"/>
  <c r="E201" i="3"/>
  <c r="G203" i="3"/>
  <c r="C197" i="3"/>
  <c r="E199" i="3"/>
  <c r="G201" i="3"/>
  <c r="I203" i="3"/>
  <c r="B195" i="3"/>
  <c r="D197" i="3"/>
  <c r="F199" i="3"/>
  <c r="H201" i="3"/>
  <c r="D195" i="3"/>
  <c r="F197" i="3"/>
  <c r="H199" i="3"/>
  <c r="B204" i="3"/>
  <c r="C204" i="3"/>
  <c r="F195" i="3"/>
  <c r="H197" i="3"/>
  <c r="B202" i="3"/>
  <c r="D204" i="3"/>
  <c r="C202" i="3"/>
  <c r="E204" i="3"/>
  <c r="H195" i="3"/>
  <c r="B200" i="3"/>
  <c r="D202" i="3"/>
  <c r="F204" i="3"/>
  <c r="C200" i="3"/>
  <c r="E202" i="3"/>
  <c r="G204" i="3"/>
  <c r="B198" i="3"/>
  <c r="D200" i="3"/>
  <c r="F202" i="3"/>
  <c r="H204" i="3"/>
  <c r="C198" i="3"/>
  <c r="E200" i="3"/>
  <c r="G202" i="3"/>
  <c r="I204" i="3"/>
</calcChain>
</file>

<file path=xl/sharedStrings.xml><?xml version="1.0" encoding="utf-8"?>
<sst xmlns="http://schemas.openxmlformats.org/spreadsheetml/2006/main" count="138" uniqueCount="49">
  <si>
    <t>직위(급)</t>
  </si>
  <si>
    <t>과목</t>
  </si>
  <si>
    <t>성명</t>
  </si>
  <si>
    <t>생년월일 또는 주민번호</t>
  </si>
  <si>
    <t>임용시작일</t>
  </si>
  <si>
    <t>임용종료일</t>
  </si>
  <si>
    <t>호봉</t>
  </si>
  <si>
    <r>
      <t xml:space="preserve">■ </t>
    </r>
    <r>
      <rPr>
        <sz val="8"/>
        <color rgb="FF334155"/>
        <rFont val="맑은 고딕"/>
        <family val="3"/>
      </rPr>
      <t>교육공무원</t>
    </r>
    <r>
      <rPr>
        <sz val="8"/>
        <color rgb="FF334155"/>
        <rFont val="Arial"/>
        <family val="2"/>
      </rPr>
      <t xml:space="preserve"> </t>
    </r>
    <r>
      <rPr>
        <sz val="8"/>
        <color rgb="FF334155"/>
        <rFont val="맑은 고딕"/>
        <family val="3"/>
      </rPr>
      <t>인사기록</t>
    </r>
    <r>
      <rPr>
        <sz val="8"/>
        <color rgb="FF334155"/>
        <rFont val="Arial"/>
        <family val="2"/>
      </rPr>
      <t xml:space="preserve"> </t>
    </r>
    <r>
      <rPr>
        <sz val="8"/>
        <color rgb="FF334155"/>
        <rFont val="맑은 고딕"/>
        <family val="3"/>
      </rPr>
      <t>및</t>
    </r>
    <r>
      <rPr>
        <sz val="8"/>
        <color rgb="FF334155"/>
        <rFont val="Arial"/>
        <family val="2"/>
      </rPr>
      <t xml:space="preserve"> </t>
    </r>
    <r>
      <rPr>
        <sz val="8"/>
        <color rgb="FF334155"/>
        <rFont val="맑은 고딕"/>
        <family val="3"/>
      </rPr>
      <t>인사사무</t>
    </r>
    <r>
      <rPr>
        <sz val="8"/>
        <color rgb="FF334155"/>
        <rFont val="Arial"/>
        <family val="2"/>
      </rPr>
      <t xml:space="preserve"> </t>
    </r>
    <r>
      <rPr>
        <sz val="8"/>
        <color rgb="FF334155"/>
        <rFont val="맑은 고딕"/>
        <family val="3"/>
      </rPr>
      <t>처리</t>
    </r>
    <r>
      <rPr>
        <sz val="8"/>
        <color rgb="FF334155"/>
        <rFont val="Arial"/>
        <family val="2"/>
      </rPr>
      <t xml:space="preserve"> </t>
    </r>
    <r>
      <rPr>
        <sz val="8"/>
        <color rgb="FF334155"/>
        <rFont val="맑은 고딕"/>
        <family val="3"/>
      </rPr>
      <t>규칙</t>
    </r>
    <r>
      <rPr>
        <sz val="8"/>
        <color rgb="FF334155"/>
        <rFont val="Arial"/>
        <family val="2"/>
      </rPr>
      <t xml:space="preserve"> [</t>
    </r>
    <r>
      <rPr>
        <sz val="8"/>
        <color rgb="FF334155"/>
        <rFont val="맑은 고딕"/>
        <family val="3"/>
      </rPr>
      <t>별지</t>
    </r>
    <r>
      <rPr>
        <sz val="8"/>
        <color rgb="FF334155"/>
        <rFont val="Arial"/>
        <family val="2"/>
      </rPr>
      <t xml:space="preserve"> </t>
    </r>
    <r>
      <rPr>
        <sz val="8"/>
        <color rgb="FF334155"/>
        <rFont val="맑은 고딕"/>
        <family val="3"/>
      </rPr>
      <t>제</t>
    </r>
    <r>
      <rPr>
        <sz val="8"/>
        <color rgb="FF334155"/>
        <rFont val="Arial"/>
        <family val="2"/>
      </rPr>
      <t>24</t>
    </r>
    <r>
      <rPr>
        <sz val="8"/>
        <color rgb="FF334155"/>
        <rFont val="맑은 고딕"/>
        <family val="3"/>
      </rPr>
      <t>호서식</t>
    </r>
    <r>
      <rPr>
        <sz val="8"/>
        <color rgb="FF334155"/>
        <rFont val="Arial"/>
        <family val="2"/>
      </rPr>
      <t xml:space="preserve">] </t>
    </r>
    <r>
      <rPr>
        <sz val="8"/>
        <color rgb="FF334155"/>
        <rFont val="Carlito"/>
      </rPr>
      <t>&lt;</t>
    </r>
    <r>
      <rPr>
        <sz val="8"/>
        <color rgb="FF334155"/>
        <rFont val="맑은 고딕"/>
        <family val="3"/>
      </rPr>
      <t>개정</t>
    </r>
    <r>
      <rPr>
        <sz val="8"/>
        <color rgb="FF334155"/>
        <rFont val="Arial"/>
        <family val="2"/>
      </rPr>
      <t xml:space="preserve"> 2013.11.13&gt;</t>
    </r>
  </si>
  <si>
    <t>발 령  대 장</t>
  </si>
  <si>
    <t>발 령 일</t>
  </si>
  <si>
    <t>소 속</t>
  </si>
  <si>
    <t>직위(직급)</t>
  </si>
  <si>
    <t>성 명</t>
  </si>
  <si>
    <t>발 령 사 항</t>
  </si>
  <si>
    <t>발 령 권 자</t>
  </si>
  <si>
    <t>발 령 근 거</t>
  </si>
  <si>
    <t>기재자날인</t>
  </si>
  <si>
    <t>확인자날인</t>
  </si>
  <si>
    <t>비 고</t>
  </si>
  <si>
    <t>기간제교원 발령대장 입력·출력 기본파일</t>
  </si>
  <si>
    <t>기본 설정</t>
  </si>
  <si>
    <t>입력값</t>
  </si>
  <si>
    <t>학교명(소속)</t>
  </si>
  <si>
    <t>학돌중학교</t>
  </si>
  <si>
    <t>발령권자</t>
  </si>
  <si>
    <t>학교장</t>
  </si>
  <si>
    <t>기본 발령근거</t>
  </si>
  <si>
    <t>학돌중-</t>
  </si>
  <si>
    <t>기본 비고</t>
  </si>
  <si>
    <t>입력 원칙</t>
  </si>
  <si>
    <t>내용</t>
  </si>
  <si>
    <t>입력 항목</t>
  </si>
  <si>
    <t>직위(급), 과목, 성명, 생년월일 또는 주민번호, 임용시작일, 임용종료일, 호봉을 입력합니다.</t>
  </si>
  <si>
    <t>1행 1기간</t>
  </si>
  <si>
    <t>한 행에는 한 사람의 한 개 임용기간을 입력합니다.</t>
  </si>
  <si>
    <t>발령일</t>
  </si>
  <si>
    <t>출력 시 임용시작일이 발령일로 자동 표시됩니다.</t>
  </si>
  <si>
    <t>소속·발령권자</t>
  </si>
  <si>
    <t>위 기본 설정값이 발령대장 출력 시 자동 반영됩니다.</t>
  </si>
  <si>
    <t>발령사항</t>
  </si>
  <si>
    <t>직위(급), 과목, 호봉, 임용기간으로 자동 작성됩니다.</t>
  </si>
  <si>
    <t>주민번호</t>
  </si>
  <si>
    <t>경력증명서 발급을 위한 값이며 발령대장 출력에는 표시하지 않습니다.</t>
  </si>
  <si>
    <t>인쇄</t>
  </si>
  <si>
    <t>발령대장_출력 시트의 1~4행을 인쇄 제목으로 반복 지정하면 편리합니다.</t>
  </si>
  <si>
    <t>기간제교사</t>
    <phoneticPr fontId="9" type="noConversion"/>
  </si>
  <si>
    <t>물리</t>
    <phoneticPr fontId="9" type="noConversion"/>
  </si>
  <si>
    <t>900101</t>
    <phoneticPr fontId="9" type="noConversion"/>
  </si>
  <si>
    <t>홍길동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</si>
</sst>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yyyy\.m\.d\."/>
    <numFmt numFmtId="178" formatCode="#&quot;호&quot;&quot;봉&quot;"/>
  </numFmts>
  <fonts count="17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8"/>
      <color rgb="FF334155"/>
      <name val="Carlito"/>
    </font>
    <font>
      <b/>
      <sz val="20"/>
      <color rgb="FF111827"/>
      <name val="Carlito"/>
    </font>
    <font>
      <b/>
      <sz val="9"/>
      <name val="Carlito"/>
    </font>
    <font>
      <sz val="8"/>
      <name val="Carlito"/>
    </font>
    <font>
      <sz val="11"/>
      <name val="Carlito"/>
    </font>
    <font>
      <sz val="8"/>
      <name val="돋움"/>
      <family val="3"/>
      <charset val="129"/>
    </font>
    <font>
      <sz val="8"/>
      <color rgb="FF334155"/>
      <name val="Arial"/>
      <family val="2"/>
    </font>
    <font>
      <sz val="8"/>
      <name val="Carlito"/>
    </font>
    <font>
      <sz val="11"/>
      <name val="맑은 고딕"/>
      <family val="3"/>
      <charset val="129"/>
    </font>
    <font>
      <b/>
      <sz val="10"/>
      <color rgb="FFFFFFFF"/>
      <name val="Carlito"/>
    </font>
    <font>
      <sz val="10"/>
      <name val="Carlito"/>
    </font>
    <font>
      <sz val="8"/>
      <color rgb="FF334155"/>
      <name val="맑은 고딕"/>
      <family val="3"/>
    </font>
    <font>
      <sz val="1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0F766E"/>
      </patternFill>
    </fill>
    <fill>
      <patternFill patternType="solid">
        <fgColor rgb="FFE2E8F0"/>
      </patternFill>
    </fill>
    <fill>
      <patternFill patternType="solid">
        <fgColor rgb="FFFFF7ED"/>
      </patternFill>
    </fill>
    <fill>
      <patternFill patternType="solid">
        <fgColor rgb="FFE6F4F1"/>
      </patternFill>
    </fill>
    <fill>
      <patternFill patternType="solid">
        <fgColor rgb="FFFFF9E8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48">
    <xf numFmtId="0" fontId="0" fillId="0" borderId="0" xfId="0"/>
    <xf numFmtId="0" fontId="3" fillId="3" borderId="1" xfId="1" applyFont="1" applyFill="1" applyBorder="1" applyAlignment="1">
      <alignment vertical="center" wrapText="1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0" xfId="1" applyFont="1" applyAlignment="1">
      <alignment vertical="center"/>
    </xf>
    <xf numFmtId="0" fontId="6" fillId="4" borderId="6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178" fontId="0" fillId="0" borderId="0" xfId="0" applyNumberFormat="1" applyAlignment="1">
      <alignment horizont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3" fillId="7" borderId="9" xfId="0" applyFont="1" applyFill="1" applyBorder="1"/>
    <xf numFmtId="0" fontId="12" fillId="8" borderId="10" xfId="0" applyFont="1" applyFill="1" applyBorder="1"/>
    <xf numFmtId="0" fontId="0" fillId="8" borderId="10" xfId="0" applyFill="1" applyBorder="1"/>
    <xf numFmtId="0" fontId="2" fillId="8" borderId="10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0" fillId="8" borderId="10" xfId="0" applyFill="1" applyBorder="1" applyAlignment="1">
      <alignment vertical="center" wrapText="1"/>
    </xf>
    <xf numFmtId="0" fontId="3" fillId="7" borderId="11" xfId="0" applyFont="1" applyFill="1" applyBorder="1" applyAlignment="1">
      <alignment vertical="center" wrapText="1"/>
    </xf>
    <xf numFmtId="0" fontId="0" fillId="8" borderId="12" xfId="0" applyFill="1" applyBorder="1" applyAlignment="1">
      <alignment vertical="center" wrapText="1"/>
    </xf>
    <xf numFmtId="0" fontId="2" fillId="6" borderId="13" xfId="0" applyFont="1" applyFill="1" applyBorder="1" applyAlignment="1">
      <alignment vertical="center" wrapText="1"/>
    </xf>
    <xf numFmtId="0" fontId="2" fillId="6" borderId="14" xfId="0" applyFont="1" applyFill="1" applyBorder="1" applyAlignment="1">
      <alignment vertical="center" wrapText="1"/>
    </xf>
    <xf numFmtId="0" fontId="3" fillId="9" borderId="15" xfId="0" applyFont="1" applyFill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3" fillId="9" borderId="17" xfId="0" applyFont="1" applyFill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3" fillId="5" borderId="19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178" fontId="13" fillId="5" borderId="21" xfId="0" applyNumberFormat="1" applyFont="1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14" fillId="10" borderId="23" xfId="0" applyFont="1" applyFill="1" applyBorder="1" applyAlignment="1">
      <alignment horizontal="center" vertical="center" wrapText="1"/>
    </xf>
    <xf numFmtId="176" fontId="14" fillId="10" borderId="23" xfId="0" applyNumberFormat="1" applyFont="1" applyFill="1" applyBorder="1" applyAlignment="1">
      <alignment horizontal="center" vertical="center" wrapText="1"/>
    </xf>
    <xf numFmtId="178" fontId="14" fillId="10" borderId="24" xfId="0" applyNumberFormat="1" applyFont="1" applyFill="1" applyBorder="1" applyAlignment="1">
      <alignment horizontal="center" vertical="center" wrapText="1"/>
    </xf>
    <xf numFmtId="0" fontId="14" fillId="10" borderId="24" xfId="0" applyFont="1" applyFill="1" applyBorder="1" applyAlignment="1">
      <alignment horizontal="center" vertical="center" wrapText="1"/>
    </xf>
    <xf numFmtId="0" fontId="14" fillId="10" borderId="25" xfId="0" applyFont="1" applyFill="1" applyBorder="1" applyAlignment="1">
      <alignment horizontal="center" vertical="center" wrapText="1"/>
    </xf>
    <xf numFmtId="0" fontId="14" fillId="10" borderId="26" xfId="0" applyFont="1" applyFill="1" applyBorder="1" applyAlignment="1">
      <alignment horizontal="center" vertical="center" wrapText="1"/>
    </xf>
    <xf numFmtId="0" fontId="14" fillId="10" borderId="27" xfId="0" applyFont="1" applyFill="1" applyBorder="1" applyAlignment="1">
      <alignment horizontal="center" vertical="center" wrapText="1"/>
    </xf>
    <xf numFmtId="49" fontId="14" fillId="10" borderId="23" xfId="0" applyNumberFormat="1" applyFont="1" applyFill="1" applyBorder="1" applyAlignment="1">
      <alignment horizontal="center" vertical="center" wrapText="1"/>
    </xf>
    <xf numFmtId="49" fontId="14" fillId="10" borderId="26" xfId="0" applyNumberFormat="1" applyFont="1" applyFill="1" applyBorder="1" applyAlignment="1">
      <alignment horizontal="center" vertical="center" wrapText="1"/>
    </xf>
    <xf numFmtId="176" fontId="14" fillId="10" borderId="26" xfId="0" applyNumberFormat="1" applyFont="1" applyFill="1" applyBorder="1" applyAlignment="1">
      <alignment horizontal="center" vertical="center" wrapText="1"/>
    </xf>
    <xf numFmtId="177" fontId="7" fillId="0" borderId="6" xfId="0" applyNumberFormat="1" applyFont="1" applyBorder="1" applyAlignment="1">
      <alignment horizontal="center" vertical="center" wrapText="1"/>
    </xf>
    <xf numFmtId="177" fontId="0" fillId="0" borderId="0" xfId="0" applyNumberFormat="1"/>
    <xf numFmtId="0" fontId="16" fillId="10" borderId="2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8">
    <dxf>
      <font>
        <b/>
        <color rgb="FF991B1B"/>
      </font>
      <fill>
        <patternFill>
          <bgColor rgb="FFFECACA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xedTermTeacherTemplate" displayName="FixedTermTeacherTemplate" ref="A1:G173">
  <tableColumns count="7">
    <tableColumn id="1" xr3:uid="{00000000-0010-0000-0000-000001000000}" name="직위(급)"/>
    <tableColumn id="2" xr3:uid="{00000000-0010-0000-0000-000002000000}" name="과목"/>
    <tableColumn id="3" xr3:uid="{00000000-0010-0000-0000-000003000000}" name="성명"/>
    <tableColumn id="4" xr3:uid="{00000000-0010-0000-0000-000004000000}" name="생년월일 또는 주민번호"/>
    <tableColumn id="5" xr3:uid="{00000000-0010-0000-0000-000005000000}" name="임용시작일"/>
    <tableColumn id="6" xr3:uid="{00000000-0010-0000-0000-000006000000}" name="임용종료일"/>
    <tableColumn id="7" xr3:uid="{00000000-0010-0000-0000-000007000000}" name="호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workbookViewId="0">
      <selection activeCell="B9" sqref="B9"/>
    </sheetView>
  </sheetViews>
  <sheetFormatPr defaultRowHeight="14.25"/>
  <cols>
    <col min="1" max="1" width="20" customWidth="1"/>
    <col min="2" max="2" width="70" customWidth="1"/>
    <col min="3" max="4" width="3" customWidth="1"/>
  </cols>
  <sheetData>
    <row r="1" spans="1:4" ht="33.950000000000003" customHeight="1">
      <c r="A1" s="44" t="s">
        <v>19</v>
      </c>
      <c r="B1" s="44"/>
      <c r="C1" s="45"/>
      <c r="D1" s="45"/>
    </row>
    <row r="3" spans="1:4" ht="15">
      <c r="A3" s="11" t="s">
        <v>20</v>
      </c>
      <c r="B3" s="12" t="s">
        <v>21</v>
      </c>
    </row>
    <row r="4" spans="1:4" ht="16.5">
      <c r="A4" s="13" t="s">
        <v>22</v>
      </c>
      <c r="B4" s="14" t="s">
        <v>23</v>
      </c>
    </row>
    <row r="5" spans="1:4" ht="15">
      <c r="A5" s="13" t="s">
        <v>24</v>
      </c>
      <c r="B5" s="15" t="s">
        <v>25</v>
      </c>
    </row>
    <row r="6" spans="1:4" ht="15">
      <c r="A6" s="13" t="s">
        <v>26</v>
      </c>
      <c r="B6" s="15" t="s">
        <v>27</v>
      </c>
    </row>
    <row r="7" spans="1:4" ht="15">
      <c r="A7" s="13" t="s">
        <v>16</v>
      </c>
      <c r="B7" s="16"/>
    </row>
    <row r="8" spans="1:4" ht="30.95" customHeight="1">
      <c r="A8" s="17" t="s">
        <v>17</v>
      </c>
      <c r="B8" s="18"/>
      <c r="C8" s="2"/>
      <c r="D8" s="3"/>
    </row>
    <row r="9" spans="1:4" ht="30.95" customHeight="1">
      <c r="A9" s="19" t="s">
        <v>28</v>
      </c>
      <c r="B9" s="20"/>
      <c r="C9" s="2"/>
      <c r="D9" s="3"/>
    </row>
    <row r="10" spans="1:4" ht="30.95" customHeight="1">
      <c r="A10" s="1"/>
      <c r="B10" s="2"/>
      <c r="C10" s="2"/>
      <c r="D10" s="3"/>
    </row>
    <row r="11" spans="1:4" ht="30.95" customHeight="1">
      <c r="A11" s="21" t="s">
        <v>29</v>
      </c>
      <c r="B11" s="22" t="s">
        <v>30</v>
      </c>
      <c r="C11" s="2"/>
      <c r="D11" s="3"/>
    </row>
    <row r="12" spans="1:4" ht="33.950000000000003" customHeight="1">
      <c r="A12" s="23" t="s">
        <v>31</v>
      </c>
      <c r="B12" s="24" t="s">
        <v>32</v>
      </c>
      <c r="C12" s="2"/>
      <c r="D12" s="3"/>
    </row>
    <row r="13" spans="1:4" ht="33.950000000000003" customHeight="1">
      <c r="A13" s="23" t="s">
        <v>33</v>
      </c>
      <c r="B13" s="24" t="s">
        <v>34</v>
      </c>
      <c r="C13" s="2"/>
      <c r="D13" s="3"/>
    </row>
    <row r="14" spans="1:4" ht="33.950000000000003" customHeight="1">
      <c r="A14" s="23" t="s">
        <v>35</v>
      </c>
      <c r="B14" s="24" t="s">
        <v>36</v>
      </c>
      <c r="C14" s="2"/>
      <c r="D14" s="3"/>
    </row>
    <row r="15" spans="1:4" ht="33.950000000000003" customHeight="1">
      <c r="A15" s="23" t="s">
        <v>37</v>
      </c>
      <c r="B15" s="24" t="s">
        <v>38</v>
      </c>
      <c r="C15" s="4"/>
      <c r="D15" s="5"/>
    </row>
    <row r="16" spans="1:4" ht="33.950000000000003" customHeight="1">
      <c r="A16" s="23" t="s">
        <v>39</v>
      </c>
      <c r="B16" s="24" t="s">
        <v>40</v>
      </c>
    </row>
    <row r="17" spans="1:2" ht="33.950000000000003" customHeight="1">
      <c r="A17" s="23" t="s">
        <v>41</v>
      </c>
      <c r="B17" s="24" t="s">
        <v>42</v>
      </c>
    </row>
    <row r="18" spans="1:2" ht="33.950000000000003" customHeight="1">
      <c r="A18" s="25" t="s">
        <v>43</v>
      </c>
      <c r="B18" s="26" t="s">
        <v>44</v>
      </c>
    </row>
  </sheetData>
  <mergeCells count="1">
    <mergeCell ref="A1:D1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3"/>
  <sheetViews>
    <sheetView showGridLines="0" tabSelected="1" workbookViewId="0">
      <selection activeCell="A4" sqref="A4"/>
    </sheetView>
  </sheetViews>
  <sheetFormatPr defaultRowHeight="14.25"/>
  <cols>
    <col min="1" max="1" width="18" customWidth="1"/>
    <col min="2" max="3" width="14" customWidth="1"/>
    <col min="4" max="4" width="24" customWidth="1"/>
    <col min="5" max="6" width="14" customWidth="1"/>
    <col min="7" max="7" width="11" style="10" customWidth="1"/>
  </cols>
  <sheetData>
    <row r="1" spans="1:7" ht="38.1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9" t="s">
        <v>6</v>
      </c>
    </row>
    <row r="2" spans="1:7" ht="26.1" customHeight="1">
      <c r="A2" s="30" t="s">
        <v>45</v>
      </c>
      <c r="B2" s="31" t="s">
        <v>46</v>
      </c>
      <c r="C2" s="31" t="s">
        <v>48</v>
      </c>
      <c r="D2" s="38" t="s">
        <v>47</v>
      </c>
      <c r="E2" s="32">
        <v>46082</v>
      </c>
      <c r="F2" s="32">
        <v>46446</v>
      </c>
      <c r="G2" s="33">
        <v>21</v>
      </c>
    </row>
    <row r="3" spans="1:7" ht="26.1" customHeight="1">
      <c r="A3" s="30" t="s">
        <v>45</v>
      </c>
      <c r="B3" s="31"/>
      <c r="C3" s="31"/>
      <c r="D3" s="38"/>
      <c r="E3" s="32"/>
      <c r="F3" s="32"/>
      <c r="G3" s="33"/>
    </row>
    <row r="4" spans="1:7" ht="26.1" customHeight="1">
      <c r="A4" s="30" t="s">
        <v>45</v>
      </c>
      <c r="B4" s="31"/>
      <c r="C4" s="43"/>
      <c r="D4" s="38"/>
      <c r="E4" s="32"/>
      <c r="F4" s="32"/>
      <c r="G4" s="33"/>
    </row>
    <row r="5" spans="1:7" ht="26.1" customHeight="1">
      <c r="A5" s="30" t="s">
        <v>45</v>
      </c>
      <c r="B5" s="31"/>
      <c r="C5" s="31"/>
      <c r="D5" s="38"/>
      <c r="E5" s="32"/>
      <c r="F5" s="32"/>
      <c r="G5" s="33"/>
    </row>
    <row r="6" spans="1:7" ht="26.1" customHeight="1">
      <c r="A6" s="30" t="s">
        <v>45</v>
      </c>
      <c r="B6" s="31"/>
      <c r="C6" s="31"/>
      <c r="D6" s="38"/>
      <c r="E6" s="32"/>
      <c r="F6" s="32"/>
      <c r="G6" s="33"/>
    </row>
    <row r="7" spans="1:7" ht="26.1" customHeight="1">
      <c r="A7" s="30" t="s">
        <v>45</v>
      </c>
      <c r="B7" s="31"/>
      <c r="C7" s="31"/>
      <c r="D7" s="38"/>
      <c r="E7" s="32"/>
      <c r="F7" s="32"/>
      <c r="G7" s="33"/>
    </row>
    <row r="8" spans="1:7" ht="26.1" customHeight="1">
      <c r="A8" s="30" t="s">
        <v>45</v>
      </c>
      <c r="B8" s="31"/>
      <c r="C8" s="31"/>
      <c r="D8" s="38"/>
      <c r="E8" s="32"/>
      <c r="F8" s="32"/>
      <c r="G8" s="33"/>
    </row>
    <row r="9" spans="1:7" ht="26.1" customHeight="1">
      <c r="A9" s="30" t="s">
        <v>45</v>
      </c>
      <c r="B9" s="31"/>
      <c r="C9" s="31"/>
      <c r="D9" s="38"/>
      <c r="E9" s="32"/>
      <c r="F9" s="32"/>
      <c r="G9" s="33"/>
    </row>
    <row r="10" spans="1:7" ht="26.1" customHeight="1">
      <c r="A10" s="30" t="s">
        <v>45</v>
      </c>
      <c r="B10" s="31"/>
      <c r="C10" s="31"/>
      <c r="D10" s="38"/>
      <c r="E10" s="32"/>
      <c r="F10" s="32"/>
      <c r="G10" s="33"/>
    </row>
    <row r="11" spans="1:7" ht="26.1" customHeight="1">
      <c r="A11" s="30" t="s">
        <v>45</v>
      </c>
      <c r="B11" s="31"/>
      <c r="C11" s="31"/>
      <c r="D11" s="38"/>
      <c r="E11" s="32"/>
      <c r="F11" s="32"/>
      <c r="G11" s="33"/>
    </row>
    <row r="12" spans="1:7" ht="26.1" customHeight="1">
      <c r="A12" s="30" t="s">
        <v>45</v>
      </c>
      <c r="B12" s="31"/>
      <c r="C12" s="31"/>
      <c r="D12" s="38"/>
      <c r="E12" s="32"/>
      <c r="F12" s="32"/>
      <c r="G12" s="33"/>
    </row>
    <row r="13" spans="1:7" ht="26.1" customHeight="1">
      <c r="A13" s="30" t="s">
        <v>45</v>
      </c>
      <c r="B13" s="31"/>
      <c r="C13" s="31"/>
      <c r="D13" s="38"/>
      <c r="E13" s="32"/>
      <c r="F13" s="32"/>
      <c r="G13" s="33"/>
    </row>
    <row r="14" spans="1:7" ht="26.1" customHeight="1">
      <c r="A14" s="30" t="s">
        <v>45</v>
      </c>
      <c r="B14" s="31"/>
      <c r="C14" s="31"/>
      <c r="D14" s="38"/>
      <c r="E14" s="32"/>
      <c r="F14" s="32"/>
      <c r="G14" s="33"/>
    </row>
    <row r="15" spans="1:7" ht="26.1" customHeight="1">
      <c r="A15" s="30" t="s">
        <v>45</v>
      </c>
      <c r="B15" s="31"/>
      <c r="C15" s="43"/>
      <c r="D15" s="38"/>
      <c r="E15" s="32"/>
      <c r="F15" s="32"/>
      <c r="G15" s="33"/>
    </row>
    <row r="16" spans="1:7" ht="26.1" customHeight="1">
      <c r="A16" s="30" t="s">
        <v>45</v>
      </c>
      <c r="B16" s="31"/>
      <c r="C16" s="43"/>
      <c r="D16" s="38"/>
      <c r="E16" s="32"/>
      <c r="F16" s="32"/>
      <c r="G16" s="33"/>
    </row>
    <row r="17" spans="1:7" ht="26.1" customHeight="1">
      <c r="A17" s="30" t="s">
        <v>45</v>
      </c>
      <c r="B17" s="31"/>
      <c r="C17" s="31"/>
      <c r="D17" s="38"/>
      <c r="E17" s="32"/>
      <c r="F17" s="32"/>
      <c r="G17" s="33"/>
    </row>
    <row r="18" spans="1:7" ht="26.1" customHeight="1">
      <c r="A18" s="30" t="s">
        <v>45</v>
      </c>
      <c r="B18" s="31"/>
      <c r="C18" s="31"/>
      <c r="D18" s="38"/>
      <c r="E18" s="32"/>
      <c r="F18" s="32"/>
      <c r="G18" s="33"/>
    </row>
    <row r="19" spans="1:7" ht="26.1" customHeight="1">
      <c r="A19" s="30" t="s">
        <v>45</v>
      </c>
      <c r="B19" s="31"/>
      <c r="C19" s="31"/>
      <c r="D19" s="38"/>
      <c r="E19" s="32"/>
      <c r="F19" s="32"/>
      <c r="G19" s="33"/>
    </row>
    <row r="20" spans="1:7" ht="26.1" customHeight="1">
      <c r="A20" s="30" t="s">
        <v>45</v>
      </c>
      <c r="B20" s="31"/>
      <c r="C20" s="31"/>
      <c r="D20" s="38"/>
      <c r="E20" s="32"/>
      <c r="F20" s="32"/>
      <c r="G20" s="33"/>
    </row>
    <row r="21" spans="1:7" ht="26.1" customHeight="1">
      <c r="A21" s="30" t="s">
        <v>45</v>
      </c>
      <c r="B21" s="31"/>
      <c r="C21" s="31"/>
      <c r="D21" s="38"/>
      <c r="E21" s="32"/>
      <c r="F21" s="32"/>
      <c r="G21" s="33"/>
    </row>
    <row r="22" spans="1:7" ht="26.1" customHeight="1">
      <c r="A22" s="30" t="s">
        <v>45</v>
      </c>
      <c r="B22" s="31"/>
      <c r="C22" s="31"/>
      <c r="D22" s="38"/>
      <c r="E22" s="32"/>
      <c r="F22" s="32"/>
      <c r="G22" s="33"/>
    </row>
    <row r="23" spans="1:7" ht="26.1" customHeight="1">
      <c r="A23" s="30" t="s">
        <v>45</v>
      </c>
      <c r="B23" s="31"/>
      <c r="C23" s="31"/>
      <c r="D23" s="38"/>
      <c r="E23" s="32"/>
      <c r="F23" s="32"/>
      <c r="G23" s="33"/>
    </row>
    <row r="24" spans="1:7" ht="26.1" customHeight="1">
      <c r="A24" s="30" t="s">
        <v>45</v>
      </c>
      <c r="B24" s="31"/>
      <c r="C24" s="31"/>
      <c r="D24" s="38"/>
      <c r="E24" s="32"/>
      <c r="F24" s="32"/>
      <c r="G24" s="33"/>
    </row>
    <row r="25" spans="1:7" ht="26.1" customHeight="1">
      <c r="A25" s="30" t="s">
        <v>45</v>
      </c>
      <c r="B25" s="31"/>
      <c r="C25" s="31"/>
      <c r="D25" s="38"/>
      <c r="E25" s="32"/>
      <c r="F25" s="32"/>
      <c r="G25" s="33"/>
    </row>
    <row r="26" spans="1:7" ht="26.1" customHeight="1">
      <c r="A26" s="30" t="s">
        <v>45</v>
      </c>
      <c r="B26" s="31"/>
      <c r="C26" s="31"/>
      <c r="D26" s="38"/>
      <c r="E26" s="32"/>
      <c r="F26" s="32"/>
      <c r="G26" s="33"/>
    </row>
    <row r="27" spans="1:7" ht="26.1" customHeight="1">
      <c r="A27" s="30" t="s">
        <v>45</v>
      </c>
      <c r="B27" s="31"/>
      <c r="C27" s="31"/>
      <c r="D27" s="38"/>
      <c r="E27" s="32"/>
      <c r="F27" s="32"/>
      <c r="G27" s="33"/>
    </row>
    <row r="28" spans="1:7" ht="26.1" customHeight="1">
      <c r="A28" s="30" t="s">
        <v>45</v>
      </c>
      <c r="B28" s="31"/>
      <c r="C28" s="31"/>
      <c r="D28" s="38"/>
      <c r="E28" s="32"/>
      <c r="F28" s="32"/>
      <c r="G28" s="33"/>
    </row>
    <row r="29" spans="1:7" ht="26.1" customHeight="1">
      <c r="A29" s="30" t="s">
        <v>45</v>
      </c>
      <c r="B29" s="31"/>
      <c r="C29" s="31"/>
      <c r="D29" s="38"/>
      <c r="E29" s="32"/>
      <c r="F29" s="32"/>
      <c r="G29" s="33"/>
    </row>
    <row r="30" spans="1:7" ht="26.1" customHeight="1">
      <c r="A30" s="30" t="s">
        <v>45</v>
      </c>
      <c r="B30" s="31"/>
      <c r="C30" s="31"/>
      <c r="D30" s="38"/>
      <c r="E30" s="32"/>
      <c r="F30" s="32"/>
      <c r="G30" s="33"/>
    </row>
    <row r="31" spans="1:7" ht="26.1" customHeight="1">
      <c r="A31" s="30" t="s">
        <v>45</v>
      </c>
      <c r="B31" s="31"/>
      <c r="C31" s="31"/>
      <c r="D31" s="38"/>
      <c r="E31" s="32"/>
      <c r="F31" s="32"/>
      <c r="G31" s="33"/>
    </row>
    <row r="32" spans="1:7" ht="26.1" customHeight="1">
      <c r="A32" s="30" t="s">
        <v>45</v>
      </c>
      <c r="B32" s="31"/>
      <c r="C32" s="31"/>
      <c r="D32" s="38"/>
      <c r="E32" s="32"/>
      <c r="F32" s="32"/>
      <c r="G32" s="33"/>
    </row>
    <row r="33" spans="1:7" ht="26.1" customHeight="1">
      <c r="A33" s="30" t="s">
        <v>45</v>
      </c>
      <c r="B33" s="31"/>
      <c r="C33" s="31"/>
      <c r="D33" s="38"/>
      <c r="E33" s="32"/>
      <c r="F33" s="32"/>
      <c r="G33" s="33"/>
    </row>
    <row r="34" spans="1:7" ht="26.1" customHeight="1">
      <c r="A34" s="30" t="s">
        <v>45</v>
      </c>
      <c r="B34" s="31"/>
      <c r="C34" s="31"/>
      <c r="D34" s="38"/>
      <c r="E34" s="32"/>
      <c r="F34" s="32"/>
      <c r="G34" s="33"/>
    </row>
    <row r="35" spans="1:7" ht="26.1" customHeight="1">
      <c r="A35" s="30" t="s">
        <v>45</v>
      </c>
      <c r="B35" s="31"/>
      <c r="C35" s="31"/>
      <c r="D35" s="38"/>
      <c r="E35" s="32"/>
      <c r="F35" s="32"/>
      <c r="G35" s="33"/>
    </row>
    <row r="36" spans="1:7" ht="26.1" customHeight="1">
      <c r="A36" s="30" t="s">
        <v>45</v>
      </c>
      <c r="B36" s="31"/>
      <c r="C36" s="31"/>
      <c r="D36" s="38"/>
      <c r="E36" s="32"/>
      <c r="F36" s="32"/>
      <c r="G36" s="33"/>
    </row>
    <row r="37" spans="1:7" ht="26.1" customHeight="1">
      <c r="A37" s="30" t="s">
        <v>45</v>
      </c>
      <c r="B37" s="31"/>
      <c r="C37" s="31"/>
      <c r="D37" s="38"/>
      <c r="E37" s="32"/>
      <c r="F37" s="32"/>
      <c r="G37" s="33"/>
    </row>
    <row r="38" spans="1:7" ht="26.1" customHeight="1">
      <c r="A38" s="30" t="s">
        <v>45</v>
      </c>
      <c r="B38" s="31"/>
      <c r="C38" s="31"/>
      <c r="D38" s="38"/>
      <c r="E38" s="32"/>
      <c r="F38" s="32"/>
      <c r="G38" s="33"/>
    </row>
    <row r="39" spans="1:7" ht="26.1" customHeight="1">
      <c r="A39" s="30" t="s">
        <v>45</v>
      </c>
      <c r="B39" s="31"/>
      <c r="C39" s="31"/>
      <c r="D39" s="38"/>
      <c r="E39" s="32"/>
      <c r="F39" s="32"/>
      <c r="G39" s="33"/>
    </row>
    <row r="40" spans="1:7" ht="26.1" customHeight="1">
      <c r="A40" s="30" t="s">
        <v>45</v>
      </c>
      <c r="B40" s="31"/>
      <c r="C40" s="31"/>
      <c r="D40" s="38"/>
      <c r="E40" s="32"/>
      <c r="F40" s="32"/>
      <c r="G40" s="33"/>
    </row>
    <row r="41" spans="1:7" ht="26.1" customHeight="1">
      <c r="A41" s="30" t="s">
        <v>45</v>
      </c>
      <c r="B41" s="31"/>
      <c r="C41" s="31"/>
      <c r="D41" s="38"/>
      <c r="E41" s="32"/>
      <c r="F41" s="32"/>
      <c r="G41" s="33"/>
    </row>
    <row r="42" spans="1:7" ht="26.1" customHeight="1">
      <c r="A42" s="30" t="s">
        <v>45</v>
      </c>
      <c r="B42" s="31"/>
      <c r="C42" s="31"/>
      <c r="D42" s="38"/>
      <c r="E42" s="32"/>
      <c r="F42" s="32"/>
      <c r="G42" s="33"/>
    </row>
    <row r="43" spans="1:7" ht="26.1" customHeight="1">
      <c r="A43" s="30" t="s">
        <v>45</v>
      </c>
      <c r="B43" s="31"/>
      <c r="C43" s="31"/>
      <c r="D43" s="38"/>
      <c r="E43" s="32"/>
      <c r="F43" s="32"/>
      <c r="G43" s="33"/>
    </row>
    <row r="44" spans="1:7" ht="26.1" customHeight="1">
      <c r="A44" s="30" t="s">
        <v>45</v>
      </c>
      <c r="B44" s="31"/>
      <c r="C44" s="31"/>
      <c r="D44" s="38"/>
      <c r="E44" s="32"/>
      <c r="F44" s="32"/>
      <c r="G44" s="33"/>
    </row>
    <row r="45" spans="1:7" ht="26.1" customHeight="1">
      <c r="A45" s="30" t="s">
        <v>45</v>
      </c>
      <c r="B45" s="31"/>
      <c r="C45" s="31"/>
      <c r="D45" s="38"/>
      <c r="E45" s="32"/>
      <c r="F45" s="32"/>
      <c r="G45" s="33"/>
    </row>
    <row r="46" spans="1:7" ht="26.1" customHeight="1">
      <c r="A46" s="30" t="s">
        <v>45</v>
      </c>
      <c r="B46" s="31"/>
      <c r="C46" s="31"/>
      <c r="D46" s="38"/>
      <c r="E46" s="32"/>
      <c r="F46" s="32"/>
      <c r="G46" s="33"/>
    </row>
    <row r="47" spans="1:7" ht="26.1" customHeight="1">
      <c r="A47" s="30" t="s">
        <v>45</v>
      </c>
      <c r="B47" s="31"/>
      <c r="C47" s="31"/>
      <c r="D47" s="38"/>
      <c r="E47" s="32"/>
      <c r="F47" s="32"/>
      <c r="G47" s="33"/>
    </row>
    <row r="48" spans="1:7" ht="26.1" customHeight="1">
      <c r="A48" s="30" t="s">
        <v>45</v>
      </c>
      <c r="B48" s="31"/>
      <c r="C48" s="31"/>
      <c r="D48" s="38"/>
      <c r="E48" s="32"/>
      <c r="F48" s="32"/>
      <c r="G48" s="34"/>
    </row>
    <row r="49" spans="1:7" ht="26.1" customHeight="1">
      <c r="A49" s="30" t="s">
        <v>45</v>
      </c>
      <c r="B49" s="31"/>
      <c r="C49" s="31"/>
      <c r="D49" s="38"/>
      <c r="E49" s="32"/>
      <c r="F49" s="32"/>
      <c r="G49" s="34"/>
    </row>
    <row r="50" spans="1:7" ht="26.1" customHeight="1">
      <c r="A50" s="30" t="s">
        <v>45</v>
      </c>
      <c r="B50" s="31"/>
      <c r="C50" s="31"/>
      <c r="D50" s="38"/>
      <c r="E50" s="32"/>
      <c r="F50" s="32"/>
      <c r="G50" s="34"/>
    </row>
    <row r="51" spans="1:7" ht="26.1" customHeight="1">
      <c r="A51" s="30" t="s">
        <v>45</v>
      </c>
      <c r="B51" s="31"/>
      <c r="C51" s="31"/>
      <c r="D51" s="38"/>
      <c r="E51" s="32"/>
      <c r="F51" s="32"/>
      <c r="G51" s="34"/>
    </row>
    <row r="52" spans="1:7" ht="26.1" customHeight="1">
      <c r="A52" s="30" t="s">
        <v>45</v>
      </c>
      <c r="B52" s="31"/>
      <c r="C52" s="31"/>
      <c r="D52" s="38"/>
      <c r="E52" s="32"/>
      <c r="F52" s="32"/>
      <c r="G52" s="34"/>
    </row>
    <row r="53" spans="1:7" ht="26.1" customHeight="1">
      <c r="A53" s="30" t="s">
        <v>45</v>
      </c>
      <c r="B53" s="31"/>
      <c r="C53" s="31"/>
      <c r="D53" s="38"/>
      <c r="E53" s="32"/>
      <c r="F53" s="32"/>
      <c r="G53" s="34"/>
    </row>
    <row r="54" spans="1:7" ht="26.1" customHeight="1">
      <c r="A54" s="30" t="s">
        <v>45</v>
      </c>
      <c r="B54" s="31"/>
      <c r="C54" s="31"/>
      <c r="D54" s="38"/>
      <c r="E54" s="32"/>
      <c r="F54" s="32"/>
      <c r="G54" s="34"/>
    </row>
    <row r="55" spans="1:7" ht="26.1" customHeight="1">
      <c r="A55" s="30" t="s">
        <v>45</v>
      </c>
      <c r="B55" s="31"/>
      <c r="C55" s="31"/>
      <c r="D55" s="38"/>
      <c r="E55" s="32"/>
      <c r="F55" s="32"/>
      <c r="G55" s="34"/>
    </row>
    <row r="56" spans="1:7" ht="26.1" customHeight="1">
      <c r="A56" s="30" t="s">
        <v>45</v>
      </c>
      <c r="B56" s="31"/>
      <c r="C56" s="31"/>
      <c r="D56" s="38"/>
      <c r="E56" s="32"/>
      <c r="F56" s="32"/>
      <c r="G56" s="34"/>
    </row>
    <row r="57" spans="1:7" ht="26.1" customHeight="1">
      <c r="A57" s="30" t="s">
        <v>45</v>
      </c>
      <c r="B57" s="31"/>
      <c r="C57" s="31"/>
      <c r="D57" s="38"/>
      <c r="E57" s="32"/>
      <c r="F57" s="32"/>
      <c r="G57" s="34"/>
    </row>
    <row r="58" spans="1:7" ht="26.1" customHeight="1">
      <c r="A58" s="30" t="s">
        <v>45</v>
      </c>
      <c r="B58" s="31"/>
      <c r="C58" s="31"/>
      <c r="D58" s="38"/>
      <c r="E58" s="32"/>
      <c r="F58" s="32"/>
      <c r="G58" s="34"/>
    </row>
    <row r="59" spans="1:7" ht="26.1" customHeight="1">
      <c r="A59" s="30" t="s">
        <v>45</v>
      </c>
      <c r="B59" s="31"/>
      <c r="C59" s="31"/>
      <c r="D59" s="38"/>
      <c r="E59" s="32"/>
      <c r="F59" s="32"/>
      <c r="G59" s="34"/>
    </row>
    <row r="60" spans="1:7" ht="26.1" customHeight="1">
      <c r="A60" s="30" t="s">
        <v>45</v>
      </c>
      <c r="B60" s="31"/>
      <c r="C60" s="31"/>
      <c r="D60" s="38"/>
      <c r="E60" s="32"/>
      <c r="F60" s="32"/>
      <c r="G60" s="34"/>
    </row>
    <row r="61" spans="1:7" ht="26.1" customHeight="1">
      <c r="A61" s="30" t="s">
        <v>45</v>
      </c>
      <c r="B61" s="31"/>
      <c r="C61" s="31"/>
      <c r="D61" s="38"/>
      <c r="E61" s="32"/>
      <c r="F61" s="32"/>
      <c r="G61" s="34"/>
    </row>
    <row r="62" spans="1:7" ht="26.1" customHeight="1">
      <c r="A62" s="30" t="s">
        <v>45</v>
      </c>
      <c r="B62" s="31"/>
      <c r="C62" s="31"/>
      <c r="D62" s="38"/>
      <c r="E62" s="32"/>
      <c r="F62" s="32"/>
      <c r="G62" s="34"/>
    </row>
    <row r="63" spans="1:7" ht="26.1" customHeight="1">
      <c r="A63" s="30" t="s">
        <v>45</v>
      </c>
      <c r="B63" s="31"/>
      <c r="C63" s="31"/>
      <c r="D63" s="38"/>
      <c r="E63" s="32"/>
      <c r="F63" s="32"/>
      <c r="G63" s="34"/>
    </row>
    <row r="64" spans="1:7" ht="26.1" customHeight="1">
      <c r="A64" s="30" t="s">
        <v>45</v>
      </c>
      <c r="B64" s="31"/>
      <c r="C64" s="31"/>
      <c r="D64" s="38"/>
      <c r="E64" s="32"/>
      <c r="F64" s="32"/>
      <c r="G64" s="34"/>
    </row>
    <row r="65" spans="1:7" ht="26.1" customHeight="1">
      <c r="A65" s="30" t="s">
        <v>45</v>
      </c>
      <c r="B65" s="31"/>
      <c r="C65" s="31"/>
      <c r="D65" s="38"/>
      <c r="E65" s="32"/>
      <c r="F65" s="32"/>
      <c r="G65" s="34"/>
    </row>
    <row r="66" spans="1:7" ht="26.1" customHeight="1">
      <c r="A66" s="30" t="s">
        <v>45</v>
      </c>
      <c r="B66" s="31"/>
      <c r="C66" s="31"/>
      <c r="D66" s="38"/>
      <c r="E66" s="32"/>
      <c r="F66" s="32"/>
      <c r="G66" s="34"/>
    </row>
    <row r="67" spans="1:7" ht="26.1" customHeight="1">
      <c r="A67" s="30" t="s">
        <v>45</v>
      </c>
      <c r="B67" s="31"/>
      <c r="C67" s="31"/>
      <c r="D67" s="38"/>
      <c r="E67" s="32"/>
      <c r="F67" s="32"/>
      <c r="G67" s="34"/>
    </row>
    <row r="68" spans="1:7" ht="26.1" customHeight="1">
      <c r="A68" s="30" t="s">
        <v>45</v>
      </c>
      <c r="B68" s="31"/>
      <c r="C68" s="31"/>
      <c r="D68" s="38"/>
      <c r="E68" s="32"/>
      <c r="F68" s="32"/>
      <c r="G68" s="34"/>
    </row>
    <row r="69" spans="1:7" ht="26.1" customHeight="1">
      <c r="A69" s="30" t="s">
        <v>45</v>
      </c>
      <c r="B69" s="31"/>
      <c r="C69" s="31"/>
      <c r="D69" s="38"/>
      <c r="E69" s="32"/>
      <c r="F69" s="32"/>
      <c r="G69" s="34"/>
    </row>
    <row r="70" spans="1:7" ht="26.1" customHeight="1">
      <c r="A70" s="30" t="s">
        <v>45</v>
      </c>
      <c r="B70" s="31"/>
      <c r="C70" s="31"/>
      <c r="D70" s="38"/>
      <c r="E70" s="32"/>
      <c r="F70" s="32"/>
      <c r="G70" s="34"/>
    </row>
    <row r="71" spans="1:7" ht="26.1" customHeight="1">
      <c r="A71" s="30" t="s">
        <v>45</v>
      </c>
      <c r="B71" s="31"/>
      <c r="C71" s="31"/>
      <c r="D71" s="38"/>
      <c r="E71" s="32"/>
      <c r="F71" s="32"/>
      <c r="G71" s="34"/>
    </row>
    <row r="72" spans="1:7" ht="26.1" customHeight="1">
      <c r="A72" s="30" t="s">
        <v>45</v>
      </c>
      <c r="B72" s="31"/>
      <c r="C72" s="31"/>
      <c r="D72" s="38"/>
      <c r="E72" s="32"/>
      <c r="F72" s="32"/>
      <c r="G72" s="34"/>
    </row>
    <row r="73" spans="1:7" ht="26.1" customHeight="1">
      <c r="A73" s="30" t="s">
        <v>45</v>
      </c>
      <c r="B73" s="31"/>
      <c r="C73" s="31"/>
      <c r="D73" s="38"/>
      <c r="E73" s="32"/>
      <c r="F73" s="32"/>
      <c r="G73" s="34"/>
    </row>
    <row r="74" spans="1:7" ht="26.1" customHeight="1">
      <c r="A74" s="30" t="s">
        <v>45</v>
      </c>
      <c r="B74" s="31"/>
      <c r="C74" s="31"/>
      <c r="D74" s="38"/>
      <c r="E74" s="32"/>
      <c r="F74" s="32"/>
      <c r="G74" s="34"/>
    </row>
    <row r="75" spans="1:7" ht="26.1" customHeight="1">
      <c r="A75" s="30" t="s">
        <v>45</v>
      </c>
      <c r="B75" s="31"/>
      <c r="C75" s="31"/>
      <c r="D75" s="38"/>
      <c r="E75" s="32"/>
      <c r="F75" s="32"/>
      <c r="G75" s="34"/>
    </row>
    <row r="76" spans="1:7" ht="26.1" customHeight="1">
      <c r="A76" s="30" t="s">
        <v>45</v>
      </c>
      <c r="B76" s="31"/>
      <c r="C76" s="31"/>
      <c r="D76" s="38"/>
      <c r="E76" s="32"/>
      <c r="F76" s="32"/>
      <c r="G76" s="34"/>
    </row>
    <row r="77" spans="1:7" ht="26.1" customHeight="1">
      <c r="A77" s="30" t="s">
        <v>45</v>
      </c>
      <c r="B77" s="31"/>
      <c r="C77" s="31"/>
      <c r="D77" s="38"/>
      <c r="E77" s="32"/>
      <c r="F77" s="32"/>
      <c r="G77" s="34"/>
    </row>
    <row r="78" spans="1:7" ht="26.1" customHeight="1">
      <c r="A78" s="30" t="s">
        <v>45</v>
      </c>
      <c r="B78" s="31"/>
      <c r="C78" s="31"/>
      <c r="D78" s="38"/>
      <c r="E78" s="32"/>
      <c r="F78" s="32"/>
      <c r="G78" s="34"/>
    </row>
    <row r="79" spans="1:7" ht="26.1" customHeight="1">
      <c r="A79" s="30" t="s">
        <v>45</v>
      </c>
      <c r="B79" s="31"/>
      <c r="C79" s="31"/>
      <c r="D79" s="38"/>
      <c r="E79" s="32"/>
      <c r="F79" s="32"/>
      <c r="G79" s="34"/>
    </row>
    <row r="80" spans="1:7" ht="26.1" customHeight="1">
      <c r="A80" s="30" t="s">
        <v>45</v>
      </c>
      <c r="B80" s="31"/>
      <c r="C80" s="31"/>
      <c r="D80" s="38"/>
      <c r="E80" s="32"/>
      <c r="F80" s="32"/>
      <c r="G80" s="34"/>
    </row>
    <row r="81" spans="1:7" ht="26.1" customHeight="1">
      <c r="A81" s="30" t="s">
        <v>45</v>
      </c>
      <c r="B81" s="31"/>
      <c r="C81" s="31"/>
      <c r="D81" s="38"/>
      <c r="E81" s="32"/>
      <c r="F81" s="32"/>
      <c r="G81" s="34"/>
    </row>
    <row r="82" spans="1:7" ht="26.1" customHeight="1">
      <c r="A82" s="30" t="s">
        <v>45</v>
      </c>
      <c r="B82" s="31"/>
      <c r="C82" s="31"/>
      <c r="D82" s="38"/>
      <c r="E82" s="32"/>
      <c r="F82" s="32"/>
      <c r="G82" s="34"/>
    </row>
    <row r="83" spans="1:7" ht="26.1" customHeight="1">
      <c r="A83" s="30" t="s">
        <v>45</v>
      </c>
      <c r="B83" s="31"/>
      <c r="C83" s="31"/>
      <c r="D83" s="38"/>
      <c r="E83" s="32"/>
      <c r="F83" s="32"/>
      <c r="G83" s="34"/>
    </row>
    <row r="84" spans="1:7" ht="26.1" customHeight="1">
      <c r="A84" s="30" t="s">
        <v>45</v>
      </c>
      <c r="B84" s="31"/>
      <c r="C84" s="31"/>
      <c r="D84" s="38"/>
      <c r="E84" s="32"/>
      <c r="F84" s="32"/>
      <c r="G84" s="34"/>
    </row>
    <row r="85" spans="1:7" ht="26.1" customHeight="1">
      <c r="A85" s="30" t="s">
        <v>45</v>
      </c>
      <c r="B85" s="31"/>
      <c r="C85" s="31"/>
      <c r="D85" s="38"/>
      <c r="E85" s="32"/>
      <c r="F85" s="32"/>
      <c r="G85" s="34"/>
    </row>
    <row r="86" spans="1:7" ht="26.1" customHeight="1">
      <c r="A86" s="30" t="s">
        <v>45</v>
      </c>
      <c r="B86" s="31"/>
      <c r="C86" s="31"/>
      <c r="D86" s="38"/>
      <c r="E86" s="32"/>
      <c r="F86" s="32"/>
      <c r="G86" s="34"/>
    </row>
    <row r="87" spans="1:7" ht="26.1" customHeight="1">
      <c r="A87" s="30" t="s">
        <v>45</v>
      </c>
      <c r="B87" s="31"/>
      <c r="C87" s="31"/>
      <c r="D87" s="38"/>
      <c r="E87" s="32"/>
      <c r="F87" s="32"/>
      <c r="G87" s="34"/>
    </row>
    <row r="88" spans="1:7" ht="26.1" customHeight="1">
      <c r="A88" s="30" t="s">
        <v>45</v>
      </c>
      <c r="B88" s="31"/>
      <c r="C88" s="31"/>
      <c r="D88" s="38"/>
      <c r="E88" s="32"/>
      <c r="F88" s="32"/>
      <c r="G88" s="34"/>
    </row>
    <row r="89" spans="1:7" ht="26.1" customHeight="1">
      <c r="A89" s="30" t="s">
        <v>45</v>
      </c>
      <c r="B89" s="31"/>
      <c r="C89" s="31"/>
      <c r="D89" s="38"/>
      <c r="E89" s="32"/>
      <c r="F89" s="32"/>
      <c r="G89" s="34"/>
    </row>
    <row r="90" spans="1:7" ht="26.1" customHeight="1">
      <c r="A90" s="30"/>
      <c r="B90" s="31"/>
      <c r="C90" s="31"/>
      <c r="D90" s="38"/>
      <c r="E90" s="32"/>
      <c r="F90" s="32"/>
      <c r="G90" s="34"/>
    </row>
    <row r="91" spans="1:7" ht="26.1" customHeight="1">
      <c r="A91" s="30"/>
      <c r="B91" s="31"/>
      <c r="C91" s="31"/>
      <c r="D91" s="38"/>
      <c r="E91" s="32"/>
      <c r="F91" s="32"/>
      <c r="G91" s="34"/>
    </row>
    <row r="92" spans="1:7" ht="26.1" customHeight="1">
      <c r="A92" s="30"/>
      <c r="B92" s="31"/>
      <c r="C92" s="31"/>
      <c r="D92" s="38"/>
      <c r="E92" s="32"/>
      <c r="F92" s="32"/>
      <c r="G92" s="34"/>
    </row>
    <row r="93" spans="1:7" ht="26.1" customHeight="1">
      <c r="A93" s="30"/>
      <c r="B93" s="31"/>
      <c r="C93" s="31"/>
      <c r="D93" s="38"/>
      <c r="E93" s="32"/>
      <c r="F93" s="32"/>
      <c r="G93" s="34"/>
    </row>
    <row r="94" spans="1:7" ht="26.1" customHeight="1">
      <c r="A94" s="30"/>
      <c r="B94" s="31"/>
      <c r="C94" s="31"/>
      <c r="D94" s="38"/>
      <c r="E94" s="32"/>
      <c r="F94" s="32"/>
      <c r="G94" s="34"/>
    </row>
    <row r="95" spans="1:7" ht="26.1" customHeight="1">
      <c r="A95" s="30"/>
      <c r="B95" s="31"/>
      <c r="C95" s="31"/>
      <c r="D95" s="38"/>
      <c r="E95" s="32"/>
      <c r="F95" s="32"/>
      <c r="G95" s="34"/>
    </row>
    <row r="96" spans="1:7" ht="26.1" customHeight="1">
      <c r="A96" s="30"/>
      <c r="B96" s="31"/>
      <c r="C96" s="31"/>
      <c r="D96" s="38"/>
      <c r="E96" s="32"/>
      <c r="F96" s="32"/>
      <c r="G96" s="34"/>
    </row>
    <row r="97" spans="1:7" ht="26.1" customHeight="1">
      <c r="A97" s="30"/>
      <c r="B97" s="31"/>
      <c r="C97" s="31"/>
      <c r="D97" s="38"/>
      <c r="E97" s="32"/>
      <c r="F97" s="32"/>
      <c r="G97" s="34"/>
    </row>
    <row r="98" spans="1:7" ht="26.1" customHeight="1">
      <c r="A98" s="30"/>
      <c r="B98" s="31"/>
      <c r="C98" s="31"/>
      <c r="D98" s="38"/>
      <c r="E98" s="32"/>
      <c r="F98" s="32"/>
      <c r="G98" s="34"/>
    </row>
    <row r="99" spans="1:7" ht="26.1" customHeight="1">
      <c r="A99" s="30"/>
      <c r="B99" s="31"/>
      <c r="C99" s="31"/>
      <c r="D99" s="38"/>
      <c r="E99" s="32"/>
      <c r="F99" s="32"/>
      <c r="G99" s="34"/>
    </row>
    <row r="100" spans="1:7" ht="26.1" customHeight="1">
      <c r="A100" s="30"/>
      <c r="B100" s="31"/>
      <c r="C100" s="31"/>
      <c r="D100" s="38"/>
      <c r="E100" s="32"/>
      <c r="F100" s="32"/>
      <c r="G100" s="34"/>
    </row>
    <row r="101" spans="1:7" ht="26.1" customHeight="1">
      <c r="A101" s="30"/>
      <c r="B101" s="31"/>
      <c r="C101" s="31"/>
      <c r="D101" s="38"/>
      <c r="E101" s="32"/>
      <c r="F101" s="32"/>
      <c r="G101" s="34"/>
    </row>
    <row r="102" spans="1:7" ht="26.1" customHeight="1">
      <c r="A102" s="30"/>
      <c r="B102" s="31"/>
      <c r="C102" s="31"/>
      <c r="D102" s="38"/>
      <c r="E102" s="32"/>
      <c r="F102" s="32"/>
      <c r="G102" s="34"/>
    </row>
    <row r="103" spans="1:7" ht="26.1" customHeight="1">
      <c r="A103" s="30"/>
      <c r="B103" s="31"/>
      <c r="C103" s="31"/>
      <c r="D103" s="38"/>
      <c r="E103" s="32"/>
      <c r="F103" s="32"/>
      <c r="G103" s="34"/>
    </row>
    <row r="104" spans="1:7" ht="26.1" customHeight="1">
      <c r="A104" s="30"/>
      <c r="B104" s="31"/>
      <c r="C104" s="31"/>
      <c r="D104" s="38"/>
      <c r="E104" s="32"/>
      <c r="F104" s="32"/>
      <c r="G104" s="34"/>
    </row>
    <row r="105" spans="1:7" ht="26.1" customHeight="1">
      <c r="A105" s="30"/>
      <c r="B105" s="31"/>
      <c r="C105" s="31"/>
      <c r="D105" s="38"/>
      <c r="E105" s="32"/>
      <c r="F105" s="32"/>
      <c r="G105" s="34"/>
    </row>
    <row r="106" spans="1:7" ht="26.1" customHeight="1">
      <c r="A106" s="30"/>
      <c r="B106" s="31"/>
      <c r="C106" s="31"/>
      <c r="D106" s="38"/>
      <c r="E106" s="32"/>
      <c r="F106" s="32"/>
      <c r="G106" s="34"/>
    </row>
    <row r="107" spans="1:7" ht="26.1" customHeight="1">
      <c r="A107" s="30"/>
      <c r="B107" s="31"/>
      <c r="C107" s="31"/>
      <c r="D107" s="38"/>
      <c r="E107" s="32"/>
      <c r="F107" s="32"/>
      <c r="G107" s="34"/>
    </row>
    <row r="108" spans="1:7" ht="26.1" customHeight="1">
      <c r="A108" s="30"/>
      <c r="B108" s="31"/>
      <c r="C108" s="31"/>
      <c r="D108" s="38"/>
      <c r="E108" s="32"/>
      <c r="F108" s="32"/>
      <c r="G108" s="34"/>
    </row>
    <row r="109" spans="1:7" ht="26.1" customHeight="1">
      <c r="A109" s="30"/>
      <c r="B109" s="31"/>
      <c r="C109" s="31"/>
      <c r="D109" s="38"/>
      <c r="E109" s="32"/>
      <c r="F109" s="32"/>
      <c r="G109" s="34"/>
    </row>
    <row r="110" spans="1:7" ht="26.1" customHeight="1">
      <c r="A110" s="30"/>
      <c r="B110" s="31"/>
      <c r="C110" s="31"/>
      <c r="D110" s="38"/>
      <c r="E110" s="32"/>
      <c r="F110" s="32"/>
      <c r="G110" s="34"/>
    </row>
    <row r="111" spans="1:7" ht="26.1" customHeight="1">
      <c r="A111" s="30"/>
      <c r="B111" s="31"/>
      <c r="C111" s="31"/>
      <c r="D111" s="38"/>
      <c r="E111" s="32"/>
      <c r="F111" s="32"/>
      <c r="G111" s="34"/>
    </row>
    <row r="112" spans="1:7" ht="26.1" customHeight="1">
      <c r="A112" s="30"/>
      <c r="B112" s="31"/>
      <c r="C112" s="31"/>
      <c r="D112" s="38"/>
      <c r="E112" s="32"/>
      <c r="F112" s="32"/>
      <c r="G112" s="34"/>
    </row>
    <row r="113" spans="1:7" ht="26.1" customHeight="1">
      <c r="A113" s="30"/>
      <c r="B113" s="31"/>
      <c r="C113" s="31"/>
      <c r="D113" s="38"/>
      <c r="E113" s="32"/>
      <c r="F113" s="32"/>
      <c r="G113" s="34"/>
    </row>
    <row r="114" spans="1:7" ht="26.1" customHeight="1">
      <c r="A114" s="30"/>
      <c r="B114" s="31"/>
      <c r="C114" s="31"/>
      <c r="D114" s="38"/>
      <c r="E114" s="32"/>
      <c r="F114" s="32"/>
      <c r="G114" s="34"/>
    </row>
    <row r="115" spans="1:7" ht="26.1" customHeight="1">
      <c r="A115" s="30"/>
      <c r="B115" s="31"/>
      <c r="C115" s="31"/>
      <c r="D115" s="38"/>
      <c r="E115" s="32"/>
      <c r="F115" s="32"/>
      <c r="G115" s="34"/>
    </row>
    <row r="116" spans="1:7" ht="26.1" customHeight="1">
      <c r="A116" s="30"/>
      <c r="B116" s="31"/>
      <c r="C116" s="31"/>
      <c r="D116" s="38"/>
      <c r="E116" s="32"/>
      <c r="F116" s="32"/>
      <c r="G116" s="34"/>
    </row>
    <row r="117" spans="1:7" ht="26.1" customHeight="1">
      <c r="A117" s="30"/>
      <c r="B117" s="31"/>
      <c r="C117" s="31"/>
      <c r="D117" s="38"/>
      <c r="E117" s="32"/>
      <c r="F117" s="32"/>
      <c r="G117" s="34"/>
    </row>
    <row r="118" spans="1:7" ht="26.1" customHeight="1">
      <c r="A118" s="30"/>
      <c r="B118" s="31"/>
      <c r="C118" s="31"/>
      <c r="D118" s="38"/>
      <c r="E118" s="32"/>
      <c r="F118" s="32"/>
      <c r="G118" s="34"/>
    </row>
    <row r="119" spans="1:7" ht="26.1" customHeight="1">
      <c r="A119" s="30"/>
      <c r="B119" s="31"/>
      <c r="C119" s="31"/>
      <c r="D119" s="38"/>
      <c r="E119" s="32"/>
      <c r="F119" s="32"/>
      <c r="G119" s="34"/>
    </row>
    <row r="120" spans="1:7" ht="26.1" customHeight="1">
      <c r="A120" s="30"/>
      <c r="B120" s="31"/>
      <c r="C120" s="31"/>
      <c r="D120" s="38"/>
      <c r="E120" s="32"/>
      <c r="F120" s="32"/>
      <c r="G120" s="34"/>
    </row>
    <row r="121" spans="1:7" ht="26.1" customHeight="1">
      <c r="A121" s="30"/>
      <c r="B121" s="31"/>
      <c r="C121" s="31"/>
      <c r="D121" s="38"/>
      <c r="E121" s="32"/>
      <c r="F121" s="32"/>
      <c r="G121" s="34"/>
    </row>
    <row r="122" spans="1:7" ht="26.1" customHeight="1">
      <c r="A122" s="30"/>
      <c r="B122" s="31"/>
      <c r="C122" s="31"/>
      <c r="D122" s="38"/>
      <c r="E122" s="32"/>
      <c r="F122" s="32"/>
      <c r="G122" s="34"/>
    </row>
    <row r="123" spans="1:7" ht="26.1" customHeight="1">
      <c r="A123" s="30"/>
      <c r="B123" s="31"/>
      <c r="C123" s="31"/>
      <c r="D123" s="38"/>
      <c r="E123" s="32"/>
      <c r="F123" s="32"/>
      <c r="G123" s="34"/>
    </row>
    <row r="124" spans="1:7" ht="26.1" customHeight="1">
      <c r="A124" s="30"/>
      <c r="B124" s="31"/>
      <c r="C124" s="31"/>
      <c r="D124" s="38"/>
      <c r="E124" s="32"/>
      <c r="F124" s="32"/>
      <c r="G124" s="34"/>
    </row>
    <row r="125" spans="1:7" ht="26.1" customHeight="1">
      <c r="A125" s="30"/>
      <c r="B125" s="31"/>
      <c r="C125" s="31"/>
      <c r="D125" s="38"/>
      <c r="E125" s="32"/>
      <c r="F125" s="32"/>
      <c r="G125" s="34"/>
    </row>
    <row r="126" spans="1:7" ht="26.1" customHeight="1">
      <c r="A126" s="30"/>
      <c r="B126" s="31"/>
      <c r="C126" s="31"/>
      <c r="D126" s="38"/>
      <c r="E126" s="32"/>
      <c r="F126" s="32"/>
      <c r="G126" s="34"/>
    </row>
    <row r="127" spans="1:7" ht="26.1" customHeight="1">
      <c r="A127" s="30"/>
      <c r="B127" s="31"/>
      <c r="C127" s="31"/>
      <c r="D127" s="38"/>
      <c r="E127" s="32"/>
      <c r="F127" s="32"/>
      <c r="G127" s="34"/>
    </row>
    <row r="128" spans="1:7" ht="26.1" customHeight="1">
      <c r="A128" s="30"/>
      <c r="B128" s="31"/>
      <c r="C128" s="31"/>
      <c r="D128" s="38"/>
      <c r="E128" s="32"/>
      <c r="F128" s="32"/>
      <c r="G128" s="34"/>
    </row>
    <row r="129" spans="1:7" ht="26.1" customHeight="1">
      <c r="A129" s="30"/>
      <c r="B129" s="31"/>
      <c r="C129" s="31"/>
      <c r="D129" s="38"/>
      <c r="E129" s="32"/>
      <c r="F129" s="32"/>
      <c r="G129" s="34"/>
    </row>
    <row r="130" spans="1:7" ht="26.1" customHeight="1">
      <c r="A130" s="30"/>
      <c r="B130" s="31"/>
      <c r="C130" s="31"/>
      <c r="D130" s="38"/>
      <c r="E130" s="32"/>
      <c r="F130" s="32"/>
      <c r="G130" s="34"/>
    </row>
    <row r="131" spans="1:7" ht="26.1" customHeight="1">
      <c r="A131" s="30"/>
      <c r="B131" s="31"/>
      <c r="C131" s="31"/>
      <c r="D131" s="38"/>
      <c r="E131" s="32"/>
      <c r="F131" s="32"/>
      <c r="G131" s="34"/>
    </row>
    <row r="132" spans="1:7" ht="26.1" customHeight="1">
      <c r="A132" s="30"/>
      <c r="B132" s="31"/>
      <c r="C132" s="31"/>
      <c r="D132" s="38"/>
      <c r="E132" s="32"/>
      <c r="F132" s="32"/>
      <c r="G132" s="34"/>
    </row>
    <row r="133" spans="1:7" ht="26.1" customHeight="1">
      <c r="A133" s="30"/>
      <c r="B133" s="31"/>
      <c r="C133" s="31"/>
      <c r="D133" s="38"/>
      <c r="E133" s="32"/>
      <c r="F133" s="32"/>
      <c r="G133" s="34"/>
    </row>
    <row r="134" spans="1:7" ht="26.1" customHeight="1">
      <c r="A134" s="30"/>
      <c r="B134" s="31"/>
      <c r="C134" s="31"/>
      <c r="D134" s="38"/>
      <c r="E134" s="32"/>
      <c r="F134" s="32"/>
      <c r="G134" s="34"/>
    </row>
    <row r="135" spans="1:7" ht="26.1" customHeight="1">
      <c r="A135" s="30"/>
      <c r="B135" s="31"/>
      <c r="C135" s="31"/>
      <c r="D135" s="38"/>
      <c r="E135" s="32"/>
      <c r="F135" s="32"/>
      <c r="G135" s="34"/>
    </row>
    <row r="136" spans="1:7" ht="26.1" customHeight="1">
      <c r="A136" s="30"/>
      <c r="B136" s="31"/>
      <c r="C136" s="31"/>
      <c r="D136" s="38"/>
      <c r="E136" s="32"/>
      <c r="F136" s="32"/>
      <c r="G136" s="34"/>
    </row>
    <row r="137" spans="1:7" ht="26.1" customHeight="1">
      <c r="A137" s="30"/>
      <c r="B137" s="31"/>
      <c r="C137" s="31"/>
      <c r="D137" s="38"/>
      <c r="E137" s="32"/>
      <c r="F137" s="32"/>
      <c r="G137" s="34"/>
    </row>
    <row r="138" spans="1:7" ht="26.1" customHeight="1">
      <c r="A138" s="30"/>
      <c r="B138" s="31"/>
      <c r="C138" s="31"/>
      <c r="D138" s="38"/>
      <c r="E138" s="32"/>
      <c r="F138" s="32"/>
      <c r="G138" s="34"/>
    </row>
    <row r="139" spans="1:7" ht="26.1" customHeight="1">
      <c r="A139" s="30"/>
      <c r="B139" s="31"/>
      <c r="C139" s="31"/>
      <c r="D139" s="38"/>
      <c r="E139" s="32"/>
      <c r="F139" s="32"/>
      <c r="G139" s="34"/>
    </row>
    <row r="140" spans="1:7" ht="26.1" customHeight="1">
      <c r="A140" s="30"/>
      <c r="B140" s="31"/>
      <c r="C140" s="31"/>
      <c r="D140" s="38"/>
      <c r="E140" s="32"/>
      <c r="F140" s="32"/>
      <c r="G140" s="34"/>
    </row>
    <row r="141" spans="1:7" ht="26.1" customHeight="1">
      <c r="A141" s="30"/>
      <c r="B141" s="31"/>
      <c r="C141" s="31"/>
      <c r="D141" s="38"/>
      <c r="E141" s="32"/>
      <c r="F141" s="32"/>
      <c r="G141" s="34"/>
    </row>
    <row r="142" spans="1:7" ht="26.1" customHeight="1">
      <c r="A142" s="30"/>
      <c r="B142" s="31"/>
      <c r="C142" s="31"/>
      <c r="D142" s="38"/>
      <c r="E142" s="32"/>
      <c r="F142" s="32"/>
      <c r="G142" s="34"/>
    </row>
    <row r="143" spans="1:7" ht="26.1" customHeight="1">
      <c r="A143" s="30"/>
      <c r="B143" s="31"/>
      <c r="C143" s="31"/>
      <c r="D143" s="38"/>
      <c r="E143" s="32"/>
      <c r="F143" s="32"/>
      <c r="G143" s="34"/>
    </row>
    <row r="144" spans="1:7" ht="26.1" customHeight="1">
      <c r="A144" s="30"/>
      <c r="B144" s="31"/>
      <c r="C144" s="31"/>
      <c r="D144" s="38"/>
      <c r="E144" s="32"/>
      <c r="F144" s="32"/>
      <c r="G144" s="34"/>
    </row>
    <row r="145" spans="1:7" ht="26.1" customHeight="1">
      <c r="A145" s="30"/>
      <c r="B145" s="31"/>
      <c r="C145" s="31"/>
      <c r="D145" s="38"/>
      <c r="E145" s="32"/>
      <c r="F145" s="32"/>
      <c r="G145" s="34"/>
    </row>
    <row r="146" spans="1:7" ht="26.1" customHeight="1">
      <c r="A146" s="30"/>
      <c r="B146" s="31"/>
      <c r="C146" s="31"/>
      <c r="D146" s="38"/>
      <c r="E146" s="32"/>
      <c r="F146" s="32"/>
      <c r="G146" s="34"/>
    </row>
    <row r="147" spans="1:7" ht="26.1" customHeight="1">
      <c r="A147" s="30"/>
      <c r="B147" s="31"/>
      <c r="C147" s="31"/>
      <c r="D147" s="38"/>
      <c r="E147" s="32"/>
      <c r="F147" s="32"/>
      <c r="G147" s="34"/>
    </row>
    <row r="148" spans="1:7" ht="26.1" customHeight="1">
      <c r="A148" s="30"/>
      <c r="B148" s="31"/>
      <c r="C148" s="31"/>
      <c r="D148" s="38"/>
      <c r="E148" s="32"/>
      <c r="F148" s="32"/>
      <c r="G148" s="34"/>
    </row>
    <row r="149" spans="1:7" ht="26.1" customHeight="1">
      <c r="A149" s="30"/>
      <c r="B149" s="31"/>
      <c r="C149" s="31"/>
      <c r="D149" s="38"/>
      <c r="E149" s="32"/>
      <c r="F149" s="32"/>
      <c r="G149" s="34"/>
    </row>
    <row r="150" spans="1:7" ht="26.1" customHeight="1">
      <c r="A150" s="30"/>
      <c r="B150" s="31"/>
      <c r="C150" s="31"/>
      <c r="D150" s="38"/>
      <c r="E150" s="32"/>
      <c r="F150" s="32"/>
      <c r="G150" s="34"/>
    </row>
    <row r="151" spans="1:7" ht="26.1" customHeight="1">
      <c r="A151" s="30"/>
      <c r="B151" s="31"/>
      <c r="C151" s="31"/>
      <c r="D151" s="38"/>
      <c r="E151" s="32"/>
      <c r="F151" s="32"/>
      <c r="G151" s="34"/>
    </row>
    <row r="152" spans="1:7" ht="26.1" customHeight="1">
      <c r="A152" s="30"/>
      <c r="B152" s="31"/>
      <c r="C152" s="31"/>
      <c r="D152" s="38"/>
      <c r="E152" s="32"/>
      <c r="F152" s="32"/>
      <c r="G152" s="34"/>
    </row>
    <row r="153" spans="1:7" ht="26.1" customHeight="1">
      <c r="A153" s="30"/>
      <c r="B153" s="31"/>
      <c r="C153" s="31"/>
      <c r="D153" s="38"/>
      <c r="E153" s="32"/>
      <c r="F153" s="32"/>
      <c r="G153" s="34"/>
    </row>
    <row r="154" spans="1:7" ht="26.1" customHeight="1">
      <c r="A154" s="30"/>
      <c r="B154" s="31"/>
      <c r="C154" s="31"/>
      <c r="D154" s="38"/>
      <c r="E154" s="32"/>
      <c r="F154" s="32"/>
      <c r="G154" s="34"/>
    </row>
    <row r="155" spans="1:7" ht="26.1" customHeight="1">
      <c r="A155" s="30"/>
      <c r="B155" s="31"/>
      <c r="C155" s="31"/>
      <c r="D155" s="38"/>
      <c r="E155" s="32"/>
      <c r="F155" s="32"/>
      <c r="G155" s="34"/>
    </row>
    <row r="156" spans="1:7" ht="26.1" customHeight="1">
      <c r="A156" s="30"/>
      <c r="B156" s="31"/>
      <c r="C156" s="31"/>
      <c r="D156" s="38"/>
      <c r="E156" s="32"/>
      <c r="F156" s="32"/>
      <c r="G156" s="34"/>
    </row>
    <row r="157" spans="1:7" ht="26.1" customHeight="1">
      <c r="A157" s="30"/>
      <c r="B157" s="31"/>
      <c r="C157" s="31"/>
      <c r="D157" s="38"/>
      <c r="E157" s="32"/>
      <c r="F157" s="32"/>
      <c r="G157" s="34"/>
    </row>
    <row r="158" spans="1:7" ht="26.1" customHeight="1">
      <c r="A158" s="30"/>
      <c r="B158" s="31"/>
      <c r="C158" s="31"/>
      <c r="D158" s="38"/>
      <c r="E158" s="32"/>
      <c r="F158" s="32"/>
      <c r="G158" s="34"/>
    </row>
    <row r="159" spans="1:7" ht="26.1" customHeight="1">
      <c r="A159" s="30"/>
      <c r="B159" s="31"/>
      <c r="C159" s="31"/>
      <c r="D159" s="38"/>
      <c r="E159" s="32"/>
      <c r="F159" s="32"/>
      <c r="G159" s="34"/>
    </row>
    <row r="160" spans="1:7" ht="26.1" customHeight="1">
      <c r="A160" s="30"/>
      <c r="B160" s="31"/>
      <c r="C160" s="31"/>
      <c r="D160" s="38"/>
      <c r="E160" s="32"/>
      <c r="F160" s="32"/>
      <c r="G160" s="34"/>
    </row>
    <row r="161" spans="1:7" ht="26.1" customHeight="1">
      <c r="A161" s="30"/>
      <c r="B161" s="31"/>
      <c r="C161" s="31"/>
      <c r="D161" s="38"/>
      <c r="E161" s="32"/>
      <c r="F161" s="32"/>
      <c r="G161" s="34"/>
    </row>
    <row r="162" spans="1:7" ht="26.1" customHeight="1">
      <c r="A162" s="30"/>
      <c r="B162" s="31"/>
      <c r="C162" s="31"/>
      <c r="D162" s="38"/>
      <c r="E162" s="32"/>
      <c r="F162" s="32"/>
      <c r="G162" s="34"/>
    </row>
    <row r="163" spans="1:7" ht="26.1" customHeight="1">
      <c r="A163" s="30"/>
      <c r="B163" s="31"/>
      <c r="C163" s="31"/>
      <c r="D163" s="38"/>
      <c r="E163" s="32"/>
      <c r="F163" s="32"/>
      <c r="G163" s="34"/>
    </row>
    <row r="164" spans="1:7" ht="26.1" customHeight="1">
      <c r="A164" s="30"/>
      <c r="B164" s="31"/>
      <c r="C164" s="31"/>
      <c r="D164" s="38"/>
      <c r="E164" s="32"/>
      <c r="F164" s="32"/>
      <c r="G164" s="34"/>
    </row>
    <row r="165" spans="1:7" ht="26.1" customHeight="1">
      <c r="A165" s="30"/>
      <c r="B165" s="31"/>
      <c r="C165" s="31"/>
      <c r="D165" s="38"/>
      <c r="E165" s="32"/>
      <c r="F165" s="32"/>
      <c r="G165" s="34"/>
    </row>
    <row r="166" spans="1:7" ht="26.1" customHeight="1">
      <c r="A166" s="30"/>
      <c r="B166" s="31"/>
      <c r="C166" s="31"/>
      <c r="D166" s="38"/>
      <c r="E166" s="32"/>
      <c r="F166" s="32"/>
      <c r="G166" s="34"/>
    </row>
    <row r="167" spans="1:7" ht="26.1" customHeight="1">
      <c r="A167" s="30"/>
      <c r="B167" s="31"/>
      <c r="C167" s="31"/>
      <c r="D167" s="38"/>
      <c r="E167" s="32"/>
      <c r="F167" s="32"/>
      <c r="G167" s="34"/>
    </row>
    <row r="168" spans="1:7" ht="26.1" customHeight="1">
      <c r="A168" s="30"/>
      <c r="B168" s="31"/>
      <c r="C168" s="31"/>
      <c r="D168" s="38"/>
      <c r="E168" s="32"/>
      <c r="F168" s="32"/>
      <c r="G168" s="34"/>
    </row>
    <row r="169" spans="1:7" ht="26.1" customHeight="1">
      <c r="A169" s="30"/>
      <c r="B169" s="31"/>
      <c r="C169" s="31"/>
      <c r="D169" s="38"/>
      <c r="E169" s="32"/>
      <c r="F169" s="32"/>
      <c r="G169" s="34"/>
    </row>
    <row r="170" spans="1:7" ht="26.1" customHeight="1">
      <c r="A170" s="30"/>
      <c r="B170" s="31"/>
      <c r="C170" s="31"/>
      <c r="D170" s="38"/>
      <c r="E170" s="32"/>
      <c r="F170" s="32"/>
      <c r="G170" s="34"/>
    </row>
    <row r="171" spans="1:7" ht="26.1" customHeight="1">
      <c r="A171" s="30"/>
      <c r="B171" s="31"/>
      <c r="C171" s="31"/>
      <c r="D171" s="38"/>
      <c r="E171" s="32"/>
      <c r="F171" s="32"/>
      <c r="G171" s="34"/>
    </row>
    <row r="172" spans="1:7" ht="26.1" customHeight="1">
      <c r="A172" s="30"/>
      <c r="B172" s="31"/>
      <c r="C172" s="31"/>
      <c r="D172" s="38"/>
      <c r="E172" s="32"/>
      <c r="F172" s="32"/>
      <c r="G172" s="34"/>
    </row>
    <row r="173" spans="1:7" ht="26.1" customHeight="1">
      <c r="A173" s="35"/>
      <c r="B173" s="36"/>
      <c r="C173" s="36"/>
      <c r="D173" s="39"/>
      <c r="E173" s="40"/>
      <c r="F173" s="40"/>
      <c r="G173" s="37"/>
    </row>
  </sheetData>
  <phoneticPr fontId="9" type="noConversion"/>
  <conditionalFormatting sqref="E2:F17 E46:F173">
    <cfRule type="expression" dxfId="7" priority="20">
      <formula>AND($C2&lt;&gt;"",OR(NOT(ISNUMBER($E2)),NOT(ISNUMBER($F2)),$F2&lt;$E2))</formula>
    </cfRule>
  </conditionalFormatting>
  <conditionalFormatting sqref="F2:F17 F46:F47">
    <cfRule type="expression" dxfId="6" priority="13">
      <formula>AND($E2&lt;&gt;"",$F2&lt;&gt;"",$F2&lt;$E2)</formula>
    </cfRule>
  </conditionalFormatting>
  <conditionalFormatting sqref="G2">
    <cfRule type="expression" dxfId="5" priority="18">
      <formula>AND($E2&lt;&gt;"",$F2&lt;&gt;"",$F2&lt;$E2)</formula>
    </cfRule>
  </conditionalFormatting>
  <conditionalFormatting sqref="G4 G6 G8 G10 G12 G14 G16">
    <cfRule type="expression" dxfId="4" priority="11">
      <formula>AND($E4&lt;&gt;"",$F4&lt;&gt;"",$F4&lt;$E4)</formula>
    </cfRule>
  </conditionalFormatting>
  <conditionalFormatting sqref="G46">
    <cfRule type="expression" dxfId="3" priority="10">
      <formula>AND($E46&lt;&gt;"",$F46&lt;&gt;"",$F46&lt;$E46)</formula>
    </cfRule>
  </conditionalFormatting>
  <conditionalFormatting sqref="E16">
    <cfRule type="expression" dxfId="2" priority="9">
      <formula>AND($E16&lt;&gt;"",$F16&lt;&gt;"",$F16&lt;$E16)</formula>
    </cfRule>
  </conditionalFormatting>
  <conditionalFormatting sqref="E18:F45">
    <cfRule type="expression" dxfId="1" priority="2">
      <formula>AND($C18&lt;&gt;"",OR(NOT(ISNUMBER($E18)),NOT(ISNUMBER($F18)),$F18&lt;$E18))</formula>
    </cfRule>
  </conditionalFormatting>
  <conditionalFormatting sqref="F18:F45">
    <cfRule type="expression" dxfId="0" priority="1">
      <formula>AND($E18&lt;&gt;"",$F18&lt;&gt;"",$F18&lt;$E18)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4"/>
  <sheetViews>
    <sheetView showGridLines="0" topLeftCell="A16" workbookViewId="0">
      <selection activeCell="D12" sqref="D12"/>
    </sheetView>
  </sheetViews>
  <sheetFormatPr defaultColWidth="9" defaultRowHeight="14.25"/>
  <cols>
    <col min="1" max="1" width="13" style="6" customWidth="1"/>
    <col min="2" max="2" width="15" style="6" customWidth="1"/>
    <col min="3" max="3" width="14" style="6" customWidth="1"/>
    <col min="4" max="4" width="12" style="6" customWidth="1"/>
    <col min="5" max="5" width="25" style="6" customWidth="1"/>
    <col min="6" max="6" width="15" style="6" customWidth="1"/>
    <col min="7" max="7" width="18" style="6" customWidth="1"/>
    <col min="8" max="9" width="11.625" style="6" customWidth="1"/>
    <col min="10" max="10" width="17.5" style="6" customWidth="1"/>
    <col min="11" max="16384" width="9" style="6"/>
  </cols>
  <sheetData>
    <row r="1" spans="1:10" ht="18" customHeight="1">
      <c r="A1" s="46" t="s">
        <v>7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38.1" customHeight="1">
      <c r="A2" s="47" t="s">
        <v>8</v>
      </c>
      <c r="B2" s="47"/>
      <c r="C2" s="47"/>
      <c r="D2" s="47"/>
      <c r="E2" s="47"/>
      <c r="F2" s="47"/>
      <c r="G2" s="47"/>
      <c r="H2" s="47"/>
      <c r="I2" s="47"/>
      <c r="J2" s="47"/>
    </row>
    <row r="4" spans="1:10" ht="42" customHeight="1">
      <c r="A4" s="7" t="s">
        <v>9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7" t="s">
        <v>17</v>
      </c>
      <c r="J4" s="7" t="s">
        <v>18</v>
      </c>
    </row>
    <row r="5" spans="1:10" ht="45.95" customHeight="1">
      <c r="A5" s="41">
        <f>IF(발령대장_입력!$C2="","",발령대장_입력!$E2)</f>
        <v>46082</v>
      </c>
      <c r="B5" s="8" t="str">
        <f>IF($A5="","",IF(기본설정·안내!$B$4="","",기본설정·안내!$B$4))</f>
        <v>학돌중학교</v>
      </c>
      <c r="C5" s="8" t="str">
        <f>IF($A5="","",IF(발령대장_입력!$B2="",발령대장_입력!$A2,발령대장_입력!$A2&amp;CHAR(10)&amp;"("&amp;발령대장_입력!$B2&amp;")"))</f>
        <v>기간제교사
(물리)</v>
      </c>
      <c r="D5" s="8" t="str">
        <f>IF($A5="","",발령대장_입력!$C2)</f>
        <v>홍길동</v>
      </c>
      <c r="E5" s="8" t="str">
        <f>IF($A5="","",발령대장_입력!$A2&amp;"에 임함"&amp;IF(발령대장_입력!$B2="","",CHAR(10)&amp;"("&amp;발령대장_입력!$B2&amp;")")&amp;IF(발령대장_입력!$G2="","",CHAR(10)&amp;"("&amp;SUBSTITUTE(SUBSTITUTE(발령대장_입력!$G2,"호봉","")," ","")&amp;")호봉을 급함")&amp;CHAR(10)&amp;"임용기간: "&amp;YEAR(발령대장_입력!$E2)&amp;"."&amp;MONTH(발령대장_입력!$E2)&amp;"."&amp;DAY(발령대장_입력!$E2)&amp;"."&amp;" ~ "&amp;YEAR(발령대장_입력!$F2)&amp;"."&amp;MONTH(발령대장_입력!$F2)&amp;"."&amp;DAY(발령대장_입력!$F2)&amp;".")</f>
        <v>기간제교사에 임함
(물리)
(21)호봉을 급함
임용기간: 2026.3.1. ~ 2027.2.28.</v>
      </c>
      <c r="F5" s="8" t="str">
        <f>IF($A5="","",IF(기본설정·안내!$B$5="","",기본설정·안내!$B$5))</f>
        <v>학교장</v>
      </c>
      <c r="G5" s="8" t="str">
        <f>IF($A5="","",IF(기본설정·안내!$B$6="","",기본설정·안내!$B$6))</f>
        <v>학돌중-</v>
      </c>
      <c r="H5" s="8" t="str">
        <f>IF($A5="","",IF(기본설정·안내!$B$7="","",기본설정·안내!$B$7))</f>
        <v/>
      </c>
      <c r="I5" s="8" t="str">
        <f>IF($A5="","",IF(기본설정·안내!$B$8="","",기본설정·안내!$B$8))</f>
        <v/>
      </c>
      <c r="J5" s="9" t="str">
        <f>IF($A5="","",IF(기본설정·안내!$B$9="","",기본설정·안내!$B$9))</f>
        <v/>
      </c>
    </row>
    <row r="6" spans="1:10" ht="45.95" customHeight="1">
      <c r="A6" s="41" t="str">
        <f>IF(발령대장_입력!$C3="","",발령대장_입력!$E3)</f>
        <v/>
      </c>
      <c r="B6" s="8" t="str">
        <f>IF($A6="","",IF(기본설정·안내!$B$4="","",기본설정·안내!$B$4))</f>
        <v/>
      </c>
      <c r="C6" s="8" t="str">
        <f>IF($A6="","",IF(발령대장_입력!$B3="",발령대장_입력!$A3,발령대장_입력!$A3&amp;CHAR(10)&amp;"("&amp;발령대장_입력!$B3&amp;")"))</f>
        <v/>
      </c>
      <c r="D6" s="8" t="str">
        <f>IF($A6="","",발령대장_입력!$C3)</f>
        <v/>
      </c>
      <c r="E6" s="8" t="str">
        <f>IF($A6="","",발령대장_입력!$A3&amp;"에 임함"&amp;IF(발령대장_입력!$B3="","",CHAR(10)&amp;"("&amp;발령대장_입력!$B3&amp;")")&amp;IF(발령대장_입력!$G3="","",CHAR(10)&amp;"("&amp;SUBSTITUTE(SUBSTITUTE(발령대장_입력!$G3,"호봉","")," ","")&amp;")호봉을 급함")&amp;CHAR(10)&amp;"임용기간: "&amp;YEAR(발령대장_입력!$E3)&amp;"."&amp;MONTH(발령대장_입력!$E3)&amp;"."&amp;DAY(발령대장_입력!$E3)&amp;"."&amp;" ~ "&amp;YEAR(발령대장_입력!$F3)&amp;"."&amp;MONTH(발령대장_입력!$F3)&amp;"."&amp;DAY(발령대장_입력!$F3)&amp;".")</f>
        <v/>
      </c>
      <c r="F6" s="8" t="str">
        <f>IF($A6="","",IF(기본설정·안내!$B$5="","",기본설정·안내!$B$5))</f>
        <v/>
      </c>
      <c r="G6" s="8" t="str">
        <f>IF($A6="","",IF(기본설정·안내!$B$6="","",기본설정·안내!$B$6))</f>
        <v/>
      </c>
      <c r="H6" s="8" t="str">
        <f>IF($A6="","",IF(기본설정·안내!$B$7="","",기본설정·안내!$B$7))</f>
        <v/>
      </c>
      <c r="I6" s="8" t="str">
        <f>IF($A6="","",IF(기본설정·안내!$B$8="","",기본설정·안내!$B$8))</f>
        <v/>
      </c>
      <c r="J6" s="8" t="str">
        <f>IF($A6="","",IF(기본설정·안내!$B$9="","",기본설정·안내!$B$9))</f>
        <v/>
      </c>
    </row>
    <row r="7" spans="1:10" ht="45.95" customHeight="1">
      <c r="A7" s="41" t="str">
        <f>IF(발령대장_입력!$C4="","",발령대장_입력!$E4)</f>
        <v/>
      </c>
      <c r="B7" s="8" t="str">
        <f>IF($A7="","",IF(기본설정·안내!$B$4="","",기본설정·안내!$B$4))</f>
        <v/>
      </c>
      <c r="C7" s="8" t="str">
        <f>IF($A7="","",IF(발령대장_입력!$B4="",발령대장_입력!$A4,발령대장_입력!$A4&amp;CHAR(10)&amp;"("&amp;발령대장_입력!$B4&amp;")"))</f>
        <v/>
      </c>
      <c r="D7" s="8" t="str">
        <f>IF($A7="","",발령대장_입력!$C4)</f>
        <v/>
      </c>
      <c r="E7" s="8" t="str">
        <f>IF($A7="","",발령대장_입력!$A4&amp;"에 임함"&amp;IF(발령대장_입력!$B4="","",CHAR(10)&amp;"("&amp;발령대장_입력!$B4&amp;")")&amp;IF(발령대장_입력!$G4="","",CHAR(10)&amp;"("&amp;SUBSTITUTE(SUBSTITUTE(발령대장_입력!$G4,"호봉","")," ","")&amp;")호봉을 급함")&amp;CHAR(10)&amp;"임용기간: "&amp;YEAR(발령대장_입력!$E4)&amp;"."&amp;MONTH(발령대장_입력!$E4)&amp;"."&amp;DAY(발령대장_입력!$E4)&amp;"."&amp;" ~ "&amp;YEAR(발령대장_입력!$F4)&amp;"."&amp;MONTH(발령대장_입력!$F4)&amp;"."&amp;DAY(발령대장_입력!$F4)&amp;".")</f>
        <v/>
      </c>
      <c r="F7" s="8" t="str">
        <f>IF($A7="","",IF(기본설정·안내!$B$5="","",기본설정·안내!$B$5))</f>
        <v/>
      </c>
      <c r="G7" s="8" t="str">
        <f>IF($A7="","",IF(기본설정·안내!$B$6="","",기본설정·안내!$B$6))</f>
        <v/>
      </c>
      <c r="H7" s="8" t="str">
        <f>IF($A7="","",IF(기본설정·안내!$B$7="","",기본설정·안내!$B$7))</f>
        <v/>
      </c>
      <c r="I7" s="8" t="str">
        <f>IF($A7="","",IF(기본설정·안내!$B$8="","",기본설정·안내!$B$8))</f>
        <v/>
      </c>
      <c r="J7" s="8" t="str">
        <f>IF($A7="","",IF(기본설정·안내!$B$9="","",기본설정·안내!$B$9))</f>
        <v/>
      </c>
    </row>
    <row r="8" spans="1:10" ht="45.95" customHeight="1">
      <c r="A8" s="41" t="str">
        <f>IF(발령대장_입력!$C5="","",발령대장_입력!$E5)</f>
        <v/>
      </c>
      <c r="B8" s="8" t="str">
        <f>IF($A8="","",IF(기본설정·안내!$B$4="","",기본설정·안내!$B$4))</f>
        <v/>
      </c>
      <c r="C8" s="8" t="str">
        <f>IF($A8="","",IF(발령대장_입력!$B5="",발령대장_입력!$A5,발령대장_입력!$A5&amp;CHAR(10)&amp;"("&amp;발령대장_입력!$B5&amp;")"))</f>
        <v/>
      </c>
      <c r="D8" s="8" t="str">
        <f>IF($A8="","",발령대장_입력!$C5)</f>
        <v/>
      </c>
      <c r="E8" s="8" t="str">
        <f>IF($A8="","",발령대장_입력!$A5&amp;"에 임함"&amp;IF(발령대장_입력!$B5="","",CHAR(10)&amp;"("&amp;발령대장_입력!$B5&amp;")")&amp;IF(발령대장_입력!$G5="","",CHAR(10)&amp;"("&amp;SUBSTITUTE(SUBSTITUTE(발령대장_입력!$G5,"호봉","")," ","")&amp;")호봉을 급함")&amp;CHAR(10)&amp;"임용기간: "&amp;YEAR(발령대장_입력!$E5)&amp;"."&amp;MONTH(발령대장_입력!$E5)&amp;"."&amp;DAY(발령대장_입력!$E5)&amp;"."&amp;" ~ "&amp;YEAR(발령대장_입력!$F5)&amp;"."&amp;MONTH(발령대장_입력!$F5)&amp;"."&amp;DAY(발령대장_입력!$F5)&amp;".")</f>
        <v/>
      </c>
      <c r="F8" s="8" t="str">
        <f>IF($A8="","",IF(기본설정·안내!$B$5="","",기본설정·안내!$B$5))</f>
        <v/>
      </c>
      <c r="G8" s="8" t="str">
        <f>IF($A8="","",IF(기본설정·안내!$B$6="","",기본설정·안내!$B$6))</f>
        <v/>
      </c>
      <c r="H8" s="8" t="str">
        <f>IF($A8="","",IF(기본설정·안내!$B$7="","",기본설정·안내!$B$7))</f>
        <v/>
      </c>
      <c r="I8" s="8" t="str">
        <f>IF($A8="","",IF(기본설정·안내!$B$8="","",기본설정·안내!$B$8))</f>
        <v/>
      </c>
      <c r="J8" s="8" t="str">
        <f>IF($A8="","",IF(기본설정·안내!$B$9="","",기본설정·안내!$B$9))</f>
        <v/>
      </c>
    </row>
    <row r="9" spans="1:10" ht="45.95" customHeight="1">
      <c r="A9" s="41" t="str">
        <f>IF(발령대장_입력!$C6="","",발령대장_입력!$E6)</f>
        <v/>
      </c>
      <c r="B9" s="8" t="str">
        <f>IF($A9="","",IF(기본설정·안내!$B$4="","",기본설정·안내!$B$4))</f>
        <v/>
      </c>
      <c r="C9" s="8" t="str">
        <f>IF($A9="","",IF(발령대장_입력!$B6="",발령대장_입력!$A6,발령대장_입력!$A6&amp;CHAR(10)&amp;"("&amp;발령대장_입력!$B6&amp;")"))</f>
        <v/>
      </c>
      <c r="D9" s="8" t="str">
        <f>IF($A9="","",발령대장_입력!$C6)</f>
        <v/>
      </c>
      <c r="E9" s="8" t="str">
        <f>IF($A9="","",발령대장_입력!$A6&amp;"에 임함"&amp;IF(발령대장_입력!$B6="","",CHAR(10)&amp;"("&amp;발령대장_입력!$B6&amp;")")&amp;IF(발령대장_입력!$G6="","",CHAR(10)&amp;"("&amp;SUBSTITUTE(SUBSTITUTE(발령대장_입력!$G6,"호봉","")," ","")&amp;")호봉을 급함")&amp;CHAR(10)&amp;"임용기간: "&amp;YEAR(발령대장_입력!$E6)&amp;"."&amp;MONTH(발령대장_입력!$E6)&amp;"."&amp;DAY(발령대장_입력!$E6)&amp;"."&amp;" ~ "&amp;YEAR(발령대장_입력!$F6)&amp;"."&amp;MONTH(발령대장_입력!$F6)&amp;"."&amp;DAY(발령대장_입력!$F6)&amp;".")</f>
        <v/>
      </c>
      <c r="F9" s="8" t="str">
        <f>IF($A9="","",IF(기본설정·안내!$B$5="","",기본설정·안내!$B$5))</f>
        <v/>
      </c>
      <c r="G9" s="8" t="str">
        <f>IF($A9="","",IF(기본설정·안내!$B$6="","",기본설정·안내!$B$6))</f>
        <v/>
      </c>
      <c r="H9" s="8" t="str">
        <f>IF($A9="","",IF(기본설정·안내!$B$7="","",기본설정·안내!$B$7))</f>
        <v/>
      </c>
      <c r="I9" s="8" t="str">
        <f>IF($A9="","",IF(기본설정·안내!$B$8="","",기본설정·안내!$B$8))</f>
        <v/>
      </c>
      <c r="J9" s="8" t="str">
        <f>IF($A9="","",IF(기본설정·안내!$B$9="","",기본설정·안내!$B$9))</f>
        <v/>
      </c>
    </row>
    <row r="10" spans="1:10" ht="45.95" customHeight="1">
      <c r="A10" s="41" t="str">
        <f>IF(발령대장_입력!$C7="","",발령대장_입력!$E7)</f>
        <v/>
      </c>
      <c r="B10" s="8" t="str">
        <f>IF($A10="","",IF(기본설정·안내!$B$4="","",기본설정·안내!$B$4))</f>
        <v/>
      </c>
      <c r="C10" s="8" t="str">
        <f>IF($A10="","",IF(발령대장_입력!$B7="",발령대장_입력!$A7,발령대장_입력!$A7&amp;CHAR(10)&amp;"("&amp;발령대장_입력!$B7&amp;")"))</f>
        <v/>
      </c>
      <c r="D10" s="8" t="str">
        <f>IF($A10="","",발령대장_입력!$C7)</f>
        <v/>
      </c>
      <c r="E10" s="8" t="str">
        <f>IF($A10="","",발령대장_입력!$A7&amp;"에 임함"&amp;IF(발령대장_입력!$B7="","",CHAR(10)&amp;"("&amp;발령대장_입력!$B7&amp;")")&amp;IF(발령대장_입력!$G7="","",CHAR(10)&amp;"("&amp;SUBSTITUTE(SUBSTITUTE(발령대장_입력!$G7,"호봉","")," ","")&amp;")호봉을 급함")&amp;CHAR(10)&amp;"임용기간: "&amp;YEAR(발령대장_입력!$E7)&amp;"."&amp;MONTH(발령대장_입력!$E7)&amp;"."&amp;DAY(발령대장_입력!$E7)&amp;"."&amp;" ~ "&amp;YEAR(발령대장_입력!$F7)&amp;"."&amp;MONTH(발령대장_입력!$F7)&amp;"."&amp;DAY(발령대장_입력!$F7)&amp;".")</f>
        <v/>
      </c>
      <c r="F10" s="8" t="str">
        <f>IF($A10="","",IF(기본설정·안내!$B$5="","",기본설정·안내!$B$5))</f>
        <v/>
      </c>
      <c r="G10" s="8" t="str">
        <f>IF($A10="","",IF(기본설정·안내!$B$6="","",기본설정·안내!$B$6))</f>
        <v/>
      </c>
      <c r="H10" s="8" t="str">
        <f>IF($A10="","",IF(기본설정·안내!$B$7="","",기본설정·안내!$B$7))</f>
        <v/>
      </c>
      <c r="I10" s="8" t="str">
        <f>IF($A10="","",IF(기본설정·안내!$B$8="","",기본설정·안내!$B$8))</f>
        <v/>
      </c>
      <c r="J10" s="8" t="str">
        <f>IF($A10="","",IF(기본설정·안내!$B$9="","",기본설정·안내!$B$9))</f>
        <v/>
      </c>
    </row>
    <row r="11" spans="1:10" ht="45.95" customHeight="1">
      <c r="A11" s="41" t="str">
        <f>IF(발령대장_입력!$C8="","",발령대장_입력!$E8)</f>
        <v/>
      </c>
      <c r="B11" s="8" t="str">
        <f>IF($A11="","",IF(기본설정·안내!$B$4="","",기본설정·안내!$B$4))</f>
        <v/>
      </c>
      <c r="C11" s="8" t="str">
        <f>IF($A11="","",IF(발령대장_입력!$B8="",발령대장_입력!$A8,발령대장_입력!$A8&amp;CHAR(10)&amp;"("&amp;발령대장_입력!$B8&amp;")"))</f>
        <v/>
      </c>
      <c r="D11" s="8" t="str">
        <f>IF($A11="","",발령대장_입력!$C8)</f>
        <v/>
      </c>
      <c r="E11" s="8" t="str">
        <f>IF($A11="","",발령대장_입력!$A8&amp;"에 임함"&amp;IF(발령대장_입력!$B8="","",CHAR(10)&amp;"("&amp;발령대장_입력!$B8&amp;")")&amp;IF(발령대장_입력!$G8="","",CHAR(10)&amp;"("&amp;SUBSTITUTE(SUBSTITUTE(발령대장_입력!$G8,"호봉","")," ","")&amp;")호봉을 급함")&amp;CHAR(10)&amp;"임용기간: "&amp;YEAR(발령대장_입력!$E8)&amp;"."&amp;MONTH(발령대장_입력!$E8)&amp;"."&amp;DAY(발령대장_입력!$E8)&amp;"."&amp;" ~ "&amp;YEAR(발령대장_입력!$F8)&amp;"."&amp;MONTH(발령대장_입력!$F8)&amp;"."&amp;DAY(발령대장_입력!$F8)&amp;".")</f>
        <v/>
      </c>
      <c r="F11" s="8" t="str">
        <f>IF($A11="","",IF(기본설정·안내!$B$5="","",기본설정·안내!$B$5))</f>
        <v/>
      </c>
      <c r="G11" s="8" t="str">
        <f>IF($A11="","",IF(기본설정·안내!$B$6="","",기본설정·안내!$B$6))</f>
        <v/>
      </c>
      <c r="H11" s="8" t="str">
        <f>IF($A11="","",IF(기본설정·안내!$B$7="","",기본설정·안내!$B$7))</f>
        <v/>
      </c>
      <c r="I11" s="8" t="str">
        <f>IF($A11="","",IF(기본설정·안내!$B$8="","",기본설정·안내!$B$8))</f>
        <v/>
      </c>
      <c r="J11" s="8" t="str">
        <f>IF($A11="","",IF(기본설정·안내!$B$9="","",기본설정·안내!$B$9))</f>
        <v/>
      </c>
    </row>
    <row r="12" spans="1:10" ht="45.95" customHeight="1">
      <c r="A12" s="41" t="str">
        <f>IF(발령대장_입력!$C9="","",발령대장_입력!$E9)</f>
        <v/>
      </c>
      <c r="B12" s="8" t="str">
        <f>IF($A12="","",IF(기본설정·안내!$B$4="","",기본설정·안내!$B$4))</f>
        <v/>
      </c>
      <c r="C12" s="8" t="str">
        <f>IF($A12="","",IF(발령대장_입력!$B9="",발령대장_입력!$A9,발령대장_입력!$A9&amp;CHAR(10)&amp;"("&amp;발령대장_입력!$B9&amp;")"))</f>
        <v/>
      </c>
      <c r="D12" s="8" t="str">
        <f>IF($A12="","",발령대장_입력!$C9)</f>
        <v/>
      </c>
      <c r="E12" s="8" t="str">
        <f>IF($A12="","",발령대장_입력!$A9&amp;"에 임함"&amp;IF(발령대장_입력!$B9="","",CHAR(10)&amp;"("&amp;발령대장_입력!$B9&amp;")")&amp;IF(발령대장_입력!$G9="","",CHAR(10)&amp;"("&amp;SUBSTITUTE(SUBSTITUTE(발령대장_입력!$G9,"호봉","")," ","")&amp;")호봉을 급함")&amp;CHAR(10)&amp;"임용기간: "&amp;YEAR(발령대장_입력!$E9)&amp;"."&amp;MONTH(발령대장_입력!$E9)&amp;"."&amp;DAY(발령대장_입력!$E9)&amp;"."&amp;" ~ "&amp;YEAR(발령대장_입력!$F9)&amp;"."&amp;MONTH(발령대장_입력!$F9)&amp;"."&amp;DAY(발령대장_입력!$F9)&amp;".")</f>
        <v/>
      </c>
      <c r="F12" s="8" t="str">
        <f>IF($A12="","",IF(기본설정·안내!$B$5="","",기본설정·안내!$B$5))</f>
        <v/>
      </c>
      <c r="G12" s="8" t="str">
        <f>IF($A12="","",IF(기본설정·안내!$B$6="","",기본설정·안내!$B$6))</f>
        <v/>
      </c>
      <c r="H12" s="8" t="str">
        <f>IF($A12="","",IF(기본설정·안내!$B$7="","",기본설정·안내!$B$7))</f>
        <v/>
      </c>
      <c r="I12" s="8" t="str">
        <f>IF($A12="","",IF(기본설정·안내!$B$8="","",기본설정·안내!$B$8))</f>
        <v/>
      </c>
      <c r="J12" s="8" t="str">
        <f>IF($A12="","",IF(기본설정·안내!$B$9="","",기본설정·안내!$B$9))</f>
        <v/>
      </c>
    </row>
    <row r="13" spans="1:10" ht="45.95" customHeight="1">
      <c r="A13" s="41" t="str">
        <f>IF(발령대장_입력!$C10="","",발령대장_입력!$E10)</f>
        <v/>
      </c>
      <c r="B13" s="8" t="str">
        <f>IF($A13="","",IF(기본설정·안내!$B$4="","",기본설정·안내!$B$4))</f>
        <v/>
      </c>
      <c r="C13" s="8" t="str">
        <f>IF($A13="","",IF(발령대장_입력!$B10="",발령대장_입력!$A10,발령대장_입력!$A10&amp;CHAR(10)&amp;"("&amp;발령대장_입력!$B10&amp;")"))</f>
        <v/>
      </c>
      <c r="D13" s="8" t="str">
        <f>IF($A13="","",발령대장_입력!$C10)</f>
        <v/>
      </c>
      <c r="E13" s="8" t="str">
        <f>IF($A13="","",발령대장_입력!$A10&amp;"에 임함"&amp;IF(발령대장_입력!$B10="","",CHAR(10)&amp;"("&amp;발령대장_입력!$B10&amp;")")&amp;IF(발령대장_입력!$G10="","",CHAR(10)&amp;"("&amp;SUBSTITUTE(SUBSTITUTE(발령대장_입력!$G10,"호봉","")," ","")&amp;")호봉을 급함")&amp;CHAR(10)&amp;"임용기간: "&amp;YEAR(발령대장_입력!$E10)&amp;"."&amp;MONTH(발령대장_입력!$E10)&amp;"."&amp;DAY(발령대장_입력!$E10)&amp;"."&amp;" ~ "&amp;YEAR(발령대장_입력!$F10)&amp;"."&amp;MONTH(발령대장_입력!$F10)&amp;"."&amp;DAY(발령대장_입력!$F10)&amp;".")</f>
        <v/>
      </c>
      <c r="F13" s="8" t="str">
        <f>IF($A13="","",IF(기본설정·안내!$B$5="","",기본설정·안내!$B$5))</f>
        <v/>
      </c>
      <c r="G13" s="8" t="str">
        <f>IF($A13="","",IF(기본설정·안내!$B$6="","",기본설정·안내!$B$6))</f>
        <v/>
      </c>
      <c r="H13" s="8" t="str">
        <f>IF($A13="","",IF(기본설정·안내!$B$7="","",기본설정·안내!$B$7))</f>
        <v/>
      </c>
      <c r="I13" s="8" t="str">
        <f>IF($A13="","",IF(기본설정·안내!$B$8="","",기본설정·안내!$B$8))</f>
        <v/>
      </c>
      <c r="J13" s="8" t="str">
        <f>IF($A13="","",IF(기본설정·안내!$B$9="","",기본설정·안내!$B$9))</f>
        <v/>
      </c>
    </row>
    <row r="14" spans="1:10" ht="45.95" customHeight="1">
      <c r="A14" s="41" t="str">
        <f>IF(발령대장_입력!$C11="","",발령대장_입력!$E11)</f>
        <v/>
      </c>
      <c r="B14" s="8" t="str">
        <f>IF($A14="","",IF(기본설정·안내!$B$4="","",기본설정·안내!$B$4))</f>
        <v/>
      </c>
      <c r="C14" s="8" t="str">
        <f>IF($A14="","",IF(발령대장_입력!$B11="",발령대장_입력!$A11,발령대장_입력!$A11&amp;CHAR(10)&amp;"("&amp;발령대장_입력!$B11&amp;")"))</f>
        <v/>
      </c>
      <c r="D14" s="8" t="str">
        <f>IF($A14="","",발령대장_입력!$C11)</f>
        <v/>
      </c>
      <c r="E14" s="8" t="str">
        <f>IF($A14="","",발령대장_입력!$A11&amp;"에 임함"&amp;IF(발령대장_입력!$B11="","",CHAR(10)&amp;"("&amp;발령대장_입력!$B11&amp;")")&amp;IF(발령대장_입력!$G11="","",CHAR(10)&amp;"("&amp;SUBSTITUTE(SUBSTITUTE(발령대장_입력!$G11,"호봉","")," ","")&amp;")호봉을 급함")&amp;CHAR(10)&amp;"임용기간: "&amp;YEAR(발령대장_입력!$E11)&amp;"."&amp;MONTH(발령대장_입력!$E11)&amp;"."&amp;DAY(발령대장_입력!$E11)&amp;"."&amp;" ~ "&amp;YEAR(발령대장_입력!$F11)&amp;"."&amp;MONTH(발령대장_입력!$F11)&amp;"."&amp;DAY(발령대장_입력!$F11)&amp;".")</f>
        <v/>
      </c>
      <c r="F14" s="8" t="str">
        <f>IF($A14="","",IF(기본설정·안내!$B$5="","",기본설정·안내!$B$5))</f>
        <v/>
      </c>
      <c r="G14" s="8" t="str">
        <f>IF($A14="","",IF(기본설정·안내!$B$6="","",기본설정·안내!$B$6))</f>
        <v/>
      </c>
      <c r="H14" s="8" t="str">
        <f>IF($A14="","",IF(기본설정·안내!$B$7="","",기본설정·안내!$B$7))</f>
        <v/>
      </c>
      <c r="I14" s="8" t="str">
        <f>IF($A14="","",IF(기본설정·안내!$B$8="","",기본설정·안내!$B$8))</f>
        <v/>
      </c>
      <c r="J14" s="8" t="str">
        <f>IF($A14="","",IF(기본설정·안내!$B$9="","",기본설정·안내!$B$9))</f>
        <v/>
      </c>
    </row>
    <row r="15" spans="1:10" ht="45.95" customHeight="1">
      <c r="A15" s="41" t="str">
        <f>IF(발령대장_입력!$C12="","",발령대장_입력!$E12)</f>
        <v/>
      </c>
      <c r="B15" s="8" t="str">
        <f>IF($A15="","",IF(기본설정·안내!$B$4="","",기본설정·안내!$B$4))</f>
        <v/>
      </c>
      <c r="C15" s="8" t="str">
        <f>IF($A15="","",IF(발령대장_입력!$B12="",발령대장_입력!$A12,발령대장_입력!$A12&amp;CHAR(10)&amp;"("&amp;발령대장_입력!$B12&amp;")"))</f>
        <v/>
      </c>
      <c r="D15" s="8" t="str">
        <f>IF($A15="","",발령대장_입력!$C12)</f>
        <v/>
      </c>
      <c r="E15" s="8" t="str">
        <f>IF($A15="","",발령대장_입력!$A12&amp;"에 임함"&amp;IF(발령대장_입력!$B12="","",CHAR(10)&amp;"("&amp;발령대장_입력!$B12&amp;")")&amp;IF(발령대장_입력!$G12="","",CHAR(10)&amp;"("&amp;SUBSTITUTE(SUBSTITUTE(발령대장_입력!$G12,"호봉","")," ","")&amp;")호봉을 급함")&amp;CHAR(10)&amp;"임용기간: "&amp;YEAR(발령대장_입력!$E12)&amp;"."&amp;MONTH(발령대장_입력!$E12)&amp;"."&amp;DAY(발령대장_입력!$E12)&amp;"."&amp;" ~ "&amp;YEAR(발령대장_입력!$F12)&amp;"."&amp;MONTH(발령대장_입력!$F12)&amp;"."&amp;DAY(발령대장_입력!$F12)&amp;".")</f>
        <v/>
      </c>
      <c r="F15" s="8" t="str">
        <f>IF($A15="","",IF(기본설정·안내!$B$5="","",기본설정·안내!$B$5))</f>
        <v/>
      </c>
      <c r="G15" s="8" t="str">
        <f>IF($A15="","",IF(기본설정·안내!$B$6="","",기본설정·안내!$B$6))</f>
        <v/>
      </c>
      <c r="H15" s="8" t="str">
        <f>IF($A15="","",IF(기본설정·안내!$B$7="","",기본설정·안내!$B$7))</f>
        <v/>
      </c>
      <c r="I15" s="8" t="str">
        <f>IF($A15="","",IF(기본설정·안내!$B$8="","",기본설정·안내!$B$8))</f>
        <v/>
      </c>
      <c r="J15" s="8" t="str">
        <f>IF($A15="","",IF(기본설정·안내!$B$9="","",기본설정·안내!$B$9))</f>
        <v/>
      </c>
    </row>
    <row r="16" spans="1:10" ht="45.95" customHeight="1">
      <c r="A16" s="41" t="str">
        <f>IF(발령대장_입력!$C13="","",발령대장_입력!$E13)</f>
        <v/>
      </c>
      <c r="B16" s="8" t="str">
        <f>IF($A16="","",IF(기본설정·안내!$B$4="","",기본설정·안내!$B$4))</f>
        <v/>
      </c>
      <c r="C16" s="8" t="str">
        <f>IF($A16="","",IF(발령대장_입력!$B13="",발령대장_입력!$A13,발령대장_입력!$A13&amp;CHAR(10)&amp;"("&amp;발령대장_입력!$B13&amp;")"))</f>
        <v/>
      </c>
      <c r="D16" s="8" t="str">
        <f>IF($A16="","",발령대장_입력!$C13)</f>
        <v/>
      </c>
      <c r="E16" s="8" t="str">
        <f>IF($A16="","",발령대장_입력!$A13&amp;"에 임함"&amp;IF(발령대장_입력!$B13="","",CHAR(10)&amp;"("&amp;발령대장_입력!$B13&amp;")")&amp;IF(발령대장_입력!$G13="","",CHAR(10)&amp;"("&amp;SUBSTITUTE(SUBSTITUTE(발령대장_입력!$G13,"호봉","")," ","")&amp;")호봉을 급함")&amp;CHAR(10)&amp;"임용기간: "&amp;YEAR(발령대장_입력!$E13)&amp;"."&amp;MONTH(발령대장_입력!$E13)&amp;"."&amp;DAY(발령대장_입력!$E13)&amp;"."&amp;" ~ "&amp;YEAR(발령대장_입력!$F13)&amp;"."&amp;MONTH(발령대장_입력!$F13)&amp;"."&amp;DAY(발령대장_입력!$F13)&amp;".")</f>
        <v/>
      </c>
      <c r="F16" s="8" t="str">
        <f>IF($A16="","",IF(기본설정·안내!$B$5="","",기본설정·안내!$B$5))</f>
        <v/>
      </c>
      <c r="G16" s="8" t="str">
        <f>IF($A16="","",IF(기본설정·안내!$B$6="","",기본설정·안내!$B$6))</f>
        <v/>
      </c>
      <c r="H16" s="8" t="str">
        <f>IF($A16="","",IF(기본설정·안내!$B$7="","",기본설정·안내!$B$7))</f>
        <v/>
      </c>
      <c r="I16" s="8" t="str">
        <f>IF($A16="","",IF(기본설정·안내!$B$8="","",기본설정·안내!$B$8))</f>
        <v/>
      </c>
      <c r="J16" s="8" t="str">
        <f>IF($A16="","",IF(기본설정·안내!$B$9="","",기본설정·안내!$B$9))</f>
        <v/>
      </c>
    </row>
    <row r="17" spans="1:10" ht="45.95" customHeight="1">
      <c r="A17" s="41" t="str">
        <f>IF(발령대장_입력!$C14="","",발령대장_입력!$E14)</f>
        <v/>
      </c>
      <c r="B17" s="8" t="str">
        <f>IF($A17="","",IF(기본설정·안내!$B$4="","",기본설정·안내!$B$4))</f>
        <v/>
      </c>
      <c r="C17" s="8" t="str">
        <f>IF($A17="","",IF(발령대장_입력!$B14="",발령대장_입력!$A14,발령대장_입력!$A14&amp;CHAR(10)&amp;"("&amp;발령대장_입력!$B14&amp;")"))</f>
        <v/>
      </c>
      <c r="D17" s="8" t="str">
        <f>IF($A17="","",발령대장_입력!$C14)</f>
        <v/>
      </c>
      <c r="E17" s="8" t="str">
        <f>IF($A17="","",발령대장_입력!$A14&amp;"에 임함"&amp;IF(발령대장_입력!$B14="","",CHAR(10)&amp;"("&amp;발령대장_입력!$B14&amp;")")&amp;IF(발령대장_입력!$G14="","",CHAR(10)&amp;"("&amp;SUBSTITUTE(SUBSTITUTE(발령대장_입력!$G14,"호봉","")," ","")&amp;")호봉을 급함")&amp;CHAR(10)&amp;"임용기간: "&amp;YEAR(발령대장_입력!$E14)&amp;"."&amp;MONTH(발령대장_입력!$E14)&amp;"."&amp;DAY(발령대장_입력!$E14)&amp;"."&amp;" ~ "&amp;YEAR(발령대장_입력!$F14)&amp;"."&amp;MONTH(발령대장_입력!$F14)&amp;"."&amp;DAY(발령대장_입력!$F14)&amp;".")</f>
        <v/>
      </c>
      <c r="F17" s="8" t="str">
        <f>IF($A17="","",IF(기본설정·안내!$B$5="","",기본설정·안내!$B$5))</f>
        <v/>
      </c>
      <c r="G17" s="8" t="str">
        <f>IF($A17="","",IF(기본설정·안내!$B$6="","",기본설정·안내!$B$6))</f>
        <v/>
      </c>
      <c r="H17" s="8" t="str">
        <f>IF($A17="","",IF(기본설정·안내!$B$7="","",기본설정·안내!$B$7))</f>
        <v/>
      </c>
      <c r="I17" s="8" t="str">
        <f>IF($A17="","",IF(기본설정·안내!$B$8="","",기본설정·안내!$B$8))</f>
        <v/>
      </c>
      <c r="J17" s="8" t="str">
        <f>IF($A17="","",IF(기본설정·안내!$B$9="","",기본설정·안내!$B$9))</f>
        <v/>
      </c>
    </row>
    <row r="18" spans="1:10" ht="45.95" customHeight="1">
      <c r="A18" s="41" t="str">
        <f>IF(발령대장_입력!$C15="","",발령대장_입력!$E15)</f>
        <v/>
      </c>
      <c r="B18" s="8" t="str">
        <f>IF($A18="","",IF(기본설정·안내!$B$4="","",기본설정·안내!$B$4))</f>
        <v/>
      </c>
      <c r="C18" s="8" t="str">
        <f>IF($A18="","",IF(발령대장_입력!$B15="",발령대장_입력!$A15,발령대장_입력!$A15&amp;CHAR(10)&amp;"("&amp;발령대장_입력!$B15&amp;")"))</f>
        <v/>
      </c>
      <c r="D18" s="8" t="str">
        <f>IF($A18="","",발령대장_입력!$C15)</f>
        <v/>
      </c>
      <c r="E18" s="8" t="str">
        <f>IF($A18="","",발령대장_입력!$A15&amp;"에 임함"&amp;IF(발령대장_입력!$B15="","",CHAR(10)&amp;"("&amp;발령대장_입력!$B15&amp;")")&amp;IF(발령대장_입력!$G15="","",CHAR(10)&amp;"("&amp;SUBSTITUTE(SUBSTITUTE(발령대장_입력!$G15,"호봉","")," ","")&amp;")호봉을 급함")&amp;CHAR(10)&amp;"임용기간: "&amp;YEAR(발령대장_입력!$E15)&amp;"."&amp;MONTH(발령대장_입력!$E15)&amp;"."&amp;DAY(발령대장_입력!$E15)&amp;"."&amp;" ~ "&amp;YEAR(발령대장_입력!$F15)&amp;"."&amp;MONTH(발령대장_입력!$F15)&amp;"."&amp;DAY(발령대장_입력!$F15)&amp;".")</f>
        <v/>
      </c>
      <c r="F18" s="8" t="str">
        <f>IF($A18="","",IF(기본설정·안내!$B$5="","",기본설정·안내!$B$5))</f>
        <v/>
      </c>
      <c r="G18" s="8" t="str">
        <f>IF($A18="","",IF(기본설정·안내!$B$6="","",기본설정·안내!$B$6))</f>
        <v/>
      </c>
      <c r="H18" s="8" t="str">
        <f>IF($A18="","",IF(기본설정·안내!$B$7="","",기본설정·안내!$B$7))</f>
        <v/>
      </c>
      <c r="I18" s="8" t="str">
        <f>IF($A18="","",IF(기본설정·안내!$B$8="","",기본설정·안내!$B$8))</f>
        <v/>
      </c>
      <c r="J18" s="8" t="str">
        <f>IF($A18="","",IF(기본설정·안내!$B$9="","",기본설정·안내!$B$9))</f>
        <v/>
      </c>
    </row>
    <row r="19" spans="1:10" ht="45.95" customHeight="1">
      <c r="A19" s="41" t="str">
        <f>IF(발령대장_입력!$C16="","",발령대장_입력!$E16)</f>
        <v/>
      </c>
      <c r="B19" s="8" t="str">
        <f>IF($A19="","",IF(기본설정·안내!$B$4="","",기본설정·안내!$B$4))</f>
        <v/>
      </c>
      <c r="C19" s="8" t="str">
        <f>IF($A19="","",IF(발령대장_입력!$B16="",발령대장_입력!$A16,발령대장_입력!$A16&amp;CHAR(10)&amp;"("&amp;발령대장_입력!$B16&amp;")"))</f>
        <v/>
      </c>
      <c r="D19" s="8" t="str">
        <f>IF($A19="","",발령대장_입력!$C16)</f>
        <v/>
      </c>
      <c r="E19" s="8" t="str">
        <f>IF($A19="","",발령대장_입력!$A16&amp;"에 임함"&amp;IF(발령대장_입력!$B16="","",CHAR(10)&amp;"("&amp;발령대장_입력!$B16&amp;")")&amp;IF(발령대장_입력!$G16="","",CHAR(10)&amp;"("&amp;SUBSTITUTE(SUBSTITUTE(발령대장_입력!$G16,"호봉","")," ","")&amp;")호봉을 급함")&amp;CHAR(10)&amp;"임용기간: "&amp;YEAR(발령대장_입력!$E16)&amp;"."&amp;MONTH(발령대장_입력!$E16)&amp;"."&amp;DAY(발령대장_입력!$E16)&amp;"."&amp;" ~ "&amp;YEAR(발령대장_입력!$F16)&amp;"."&amp;MONTH(발령대장_입력!$F16)&amp;"."&amp;DAY(발령대장_입력!$F16)&amp;".")</f>
        <v/>
      </c>
      <c r="F19" s="8" t="str">
        <f>IF($A19="","",IF(기본설정·안내!$B$5="","",기본설정·안내!$B$5))</f>
        <v/>
      </c>
      <c r="G19" s="8" t="str">
        <f>IF($A19="","",IF(기본설정·안내!$B$6="","",기본설정·안내!$B$6))</f>
        <v/>
      </c>
      <c r="H19" s="8" t="str">
        <f>IF($A19="","",IF(기본설정·안내!$B$7="","",기본설정·안내!$B$7))</f>
        <v/>
      </c>
      <c r="I19" s="8" t="str">
        <f>IF($A19="","",IF(기본설정·안내!$B$8="","",기본설정·안내!$B$8))</f>
        <v/>
      </c>
      <c r="J19" s="8" t="str">
        <f>IF($A19="","",IF(기본설정·안내!$B$9="","",기본설정·안내!$B$9))</f>
        <v/>
      </c>
    </row>
    <row r="20" spans="1:10" ht="45.95" customHeight="1">
      <c r="A20" s="41" t="str">
        <f>IF(발령대장_입력!$C17="","",발령대장_입력!$E17)</f>
        <v/>
      </c>
      <c r="B20" s="8" t="str">
        <f>IF($A20="","",IF(기본설정·안내!$B$4="","",기본설정·안내!$B$4))</f>
        <v/>
      </c>
      <c r="C20" s="8" t="str">
        <f>IF($A20="","",IF(발령대장_입력!$B17="",발령대장_입력!$A17,발령대장_입력!$A17&amp;CHAR(10)&amp;"("&amp;발령대장_입력!$B17&amp;")"))</f>
        <v/>
      </c>
      <c r="D20" s="8" t="str">
        <f>IF($A20="","",발령대장_입력!$C17)</f>
        <v/>
      </c>
      <c r="E20" s="8" t="str">
        <f>IF($A20="","",발령대장_입력!$A17&amp;"에 임함"&amp;IF(발령대장_입력!$B17="","",CHAR(10)&amp;"("&amp;발령대장_입력!$B17&amp;")")&amp;IF(발령대장_입력!$G17="","",CHAR(10)&amp;"("&amp;SUBSTITUTE(SUBSTITUTE(발령대장_입력!$G17,"호봉","")," ","")&amp;")호봉을 급함")&amp;CHAR(10)&amp;"임용기간: "&amp;YEAR(발령대장_입력!$E17)&amp;"."&amp;MONTH(발령대장_입력!$E17)&amp;"."&amp;DAY(발령대장_입력!$E17)&amp;"."&amp;" ~ "&amp;YEAR(발령대장_입력!$F17)&amp;"."&amp;MONTH(발령대장_입력!$F17)&amp;"."&amp;DAY(발령대장_입력!$F17)&amp;".")</f>
        <v/>
      </c>
      <c r="F20" s="8" t="str">
        <f>IF($A20="","",IF(기본설정·안내!$B$5="","",기본설정·안내!$B$5))</f>
        <v/>
      </c>
      <c r="G20" s="8" t="str">
        <f>IF($A20="","",IF(기본설정·안내!$B$6="","",기본설정·안내!$B$6))</f>
        <v/>
      </c>
      <c r="H20" s="8" t="str">
        <f>IF($A20="","",IF(기본설정·안내!$B$7="","",기본설정·안내!$B$7))</f>
        <v/>
      </c>
      <c r="I20" s="8" t="str">
        <f>IF($A20="","",IF(기본설정·안내!$B$8="","",기본설정·안내!$B$8))</f>
        <v/>
      </c>
      <c r="J20" s="8" t="str">
        <f>IF($A20="","",IF(기본설정·안내!$B$9="","",기본설정·안내!$B$9))</f>
        <v/>
      </c>
    </row>
    <row r="21" spans="1:10" ht="45.95" customHeight="1">
      <c r="A21" s="41" t="e">
        <f>IF(발령대장_입력!#REF!="","",발령대장_입력!#REF!)</f>
        <v>#REF!</v>
      </c>
      <c r="B21" s="8" t="e">
        <f>IF($A21="","",IF(기본설정·안내!$B$4="","",기본설정·안내!$B$4))</f>
        <v>#REF!</v>
      </c>
      <c r="C21" s="8" t="e">
        <f>IF($A21="","",IF(발령대장_입력!#REF!="",발령대장_입력!#REF!,발령대장_입력!#REF!&amp;CHAR(10)&amp;"("&amp;발령대장_입력!#REF!&amp;")"))</f>
        <v>#REF!</v>
      </c>
      <c r="D21" s="8" t="e">
        <f>IF($A21="","",발령대장_입력!#REF!)</f>
        <v>#REF!</v>
      </c>
      <c r="E21" s="8" t="e">
        <f>IF($A21="","",발령대장_입력!#REF!&amp;"에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21" s="8" t="e">
        <f>IF($A21="","",IF(기본설정·안내!$B$5="","",기본설정·안내!$B$5))</f>
        <v>#REF!</v>
      </c>
      <c r="G21" s="8" t="e">
        <f>IF($A21="","",IF(기본설정·안내!$B$6="","",기본설정·안내!$B$6))</f>
        <v>#REF!</v>
      </c>
      <c r="H21" s="8" t="e">
        <f>IF($A21="","",IF(기본설정·안내!$B$7="","",기본설정·안내!$B$7))</f>
        <v>#REF!</v>
      </c>
      <c r="I21" s="8" t="e">
        <f>IF($A21="","",IF(기본설정·안내!$B$8="","",기본설정·안내!$B$8))</f>
        <v>#REF!</v>
      </c>
      <c r="J21" s="8" t="e">
        <f>IF($A21="","",IF(기본설정·안내!$B$9="","",기본설정·안내!$B$9))</f>
        <v>#REF!</v>
      </c>
    </row>
    <row r="22" spans="1:10" ht="45.95" customHeight="1">
      <c r="A22" s="41" t="e">
        <f>IF(발령대장_입력!#REF!="","",발령대장_입력!#REF!)</f>
        <v>#REF!</v>
      </c>
      <c r="B22" s="8" t="e">
        <f>IF($A22="","",IF(기본설정·안내!$B$4="","",기본설정·안내!$B$4))</f>
        <v>#REF!</v>
      </c>
      <c r="C22" s="8" t="e">
        <f>IF($A22="","",IF(발령대장_입력!#REF!="",발령대장_입력!#REF!,발령대장_입력!#REF!&amp;CHAR(10)&amp;"("&amp;발령대장_입력!#REF!&amp;")"))</f>
        <v>#REF!</v>
      </c>
      <c r="D22" s="8" t="e">
        <f>IF($A22="","",발령대장_입력!#REF!)</f>
        <v>#REF!</v>
      </c>
      <c r="E22" s="8" t="e">
        <f>IF($A22="","",발령대장_입력!#REF!&amp;"에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22" s="8" t="e">
        <f>IF($A22="","",IF(기본설정·안내!$B$5="","",기본설정·안내!$B$5))</f>
        <v>#REF!</v>
      </c>
      <c r="G22" s="8" t="e">
        <f>IF($A22="","",IF(기본설정·안내!$B$6="","",기본설정·안내!$B$6))</f>
        <v>#REF!</v>
      </c>
      <c r="H22" s="8" t="e">
        <f>IF($A22="","",IF(기본설정·안내!$B$7="","",기본설정·안내!$B$7))</f>
        <v>#REF!</v>
      </c>
      <c r="I22" s="8" t="e">
        <f>IF($A22="","",IF(기본설정·안내!$B$8="","",기본설정·안내!$B$8))</f>
        <v>#REF!</v>
      </c>
      <c r="J22" s="8" t="e">
        <f>IF($A22="","",IF(기본설정·안내!$B$9="","",기본설정·안내!$B$9))</f>
        <v>#REF!</v>
      </c>
    </row>
    <row r="23" spans="1:10" ht="45.95" customHeight="1">
      <c r="A23" s="41" t="e">
        <f>IF(발령대장_입력!#REF!="","",발령대장_입력!#REF!)</f>
        <v>#REF!</v>
      </c>
      <c r="B23" s="8" t="e">
        <f>IF($A23="","",IF(기본설정·안내!$B$4="","",기본설정·안내!$B$4))</f>
        <v>#REF!</v>
      </c>
      <c r="C23" s="8" t="e">
        <f>IF($A23="","",IF(발령대장_입력!#REF!="",발령대장_입력!#REF!,발령대장_입력!#REF!&amp;CHAR(10)&amp;"("&amp;발령대장_입력!#REF!&amp;")"))</f>
        <v>#REF!</v>
      </c>
      <c r="D23" s="8" t="e">
        <f>IF($A23="","",발령대장_입력!#REF!)</f>
        <v>#REF!</v>
      </c>
      <c r="E23" s="8" t="e">
        <f>IF($A23="","",발령대장_입력!#REF!&amp;"에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23" s="8" t="e">
        <f>IF($A23="","",IF(기본설정·안내!$B$5="","",기본설정·안내!$B$5))</f>
        <v>#REF!</v>
      </c>
      <c r="G23" s="8" t="e">
        <f>IF($A23="","",IF(기본설정·안내!$B$6="","",기본설정·안내!$B$6))</f>
        <v>#REF!</v>
      </c>
      <c r="H23" s="8" t="e">
        <f>IF($A23="","",IF(기본설정·안내!$B$7="","",기본설정·안내!$B$7))</f>
        <v>#REF!</v>
      </c>
      <c r="I23" s="8" t="e">
        <f>IF($A23="","",IF(기본설정·안내!$B$8="","",기본설정·안내!$B$8))</f>
        <v>#REF!</v>
      </c>
      <c r="J23" s="8" t="e">
        <f>IF($A23="","",IF(기본설정·안내!$B$9="","",기본설정·안내!$B$9))</f>
        <v>#REF!</v>
      </c>
    </row>
    <row r="24" spans="1:10" ht="45.95" customHeight="1">
      <c r="A24" s="41" t="e">
        <f>IF(발령대장_입력!#REF!="","",발령대장_입력!#REF!)</f>
        <v>#REF!</v>
      </c>
      <c r="B24" s="8" t="e">
        <f>IF($A24="","",IF(기본설정·안내!$B$4="","",기본설정·안내!$B$4))</f>
        <v>#REF!</v>
      </c>
      <c r="C24" s="8" t="e">
        <f>IF($A24="","",IF(발령대장_입력!#REF!="",발령대장_입력!#REF!,발령대장_입력!#REF!&amp;CHAR(10)&amp;"("&amp;발령대장_입력!#REF!&amp;")"))</f>
        <v>#REF!</v>
      </c>
      <c r="D24" s="8" t="e">
        <f>IF($A24="","",발령대장_입력!#REF!)</f>
        <v>#REF!</v>
      </c>
      <c r="E24" s="8" t="e">
        <f>IF($A24="","",발령대장_입력!#REF!&amp;"에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24" s="8" t="e">
        <f>IF($A24="","",IF(기본설정·안내!$B$5="","",기본설정·안내!$B$5))</f>
        <v>#REF!</v>
      </c>
      <c r="G24" s="8" t="e">
        <f>IF($A24="","",IF(기본설정·안내!$B$6="","",기본설정·안내!$B$6))</f>
        <v>#REF!</v>
      </c>
      <c r="H24" s="8" t="e">
        <f>IF($A24="","",IF(기본설정·안내!$B$7="","",기본설정·안내!$B$7))</f>
        <v>#REF!</v>
      </c>
      <c r="I24" s="8" t="e">
        <f>IF($A24="","",IF(기본설정·안내!$B$8="","",기본설정·안내!$B$8))</f>
        <v>#REF!</v>
      </c>
      <c r="J24" s="8" t="e">
        <f>IF($A24="","",IF(기본설정·안내!$B$9="","",기본설정·안내!$B$9))</f>
        <v>#REF!</v>
      </c>
    </row>
    <row r="25" spans="1:10" ht="45.95" customHeight="1">
      <c r="A25" s="41" t="e">
        <f>IF(발령대장_입력!#REF!="","",발령대장_입력!#REF!)</f>
        <v>#REF!</v>
      </c>
      <c r="B25" s="8" t="e">
        <f>IF($A25="","",IF(기본설정·안내!$B$4="","",기본설정·안내!$B$4))</f>
        <v>#REF!</v>
      </c>
      <c r="C25" s="8" t="e">
        <f>IF($A25="","",IF(발령대장_입력!#REF!="",발령대장_입력!#REF!,발령대장_입력!#REF!&amp;CHAR(10)&amp;"("&amp;발령대장_입력!#REF!&amp;")"))</f>
        <v>#REF!</v>
      </c>
      <c r="D25" s="8" t="e">
        <f>IF($A25="","",발령대장_입력!#REF!)</f>
        <v>#REF!</v>
      </c>
      <c r="E25" s="8" t="e">
        <f>IF($A25="","",발령대장_입력!#REF!&amp;"에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25" s="8" t="e">
        <f>IF($A25="","",IF(기본설정·안내!$B$5="","",기본설정·안내!$B$5))</f>
        <v>#REF!</v>
      </c>
      <c r="G25" s="8" t="e">
        <f>IF($A25="","",IF(기본설정·안내!$B$6="","",기본설정·안내!$B$6))</f>
        <v>#REF!</v>
      </c>
      <c r="H25" s="8" t="e">
        <f>IF($A25="","",IF(기본설정·안내!$B$7="","",기본설정·안내!$B$7))</f>
        <v>#REF!</v>
      </c>
      <c r="I25" s="8" t="e">
        <f>IF($A25="","",IF(기본설정·안내!$B$8="","",기본설정·안내!$B$8))</f>
        <v>#REF!</v>
      </c>
      <c r="J25" s="8" t="e">
        <f>IF($A25="","",IF(기본설정·안내!$B$9="","",기본설정·안내!$B$9))</f>
        <v>#REF!</v>
      </c>
    </row>
    <row r="26" spans="1:10" ht="45.95" customHeight="1">
      <c r="A26" s="41" t="e">
        <f>IF(발령대장_입력!#REF!="","",발령대장_입력!#REF!)</f>
        <v>#REF!</v>
      </c>
      <c r="B26" s="8" t="e">
        <f>IF($A26="","",IF(기본설정·안내!$B$4="","",기본설정·안내!$B$4))</f>
        <v>#REF!</v>
      </c>
      <c r="C26" s="8" t="e">
        <f>IF($A26="","",IF(발령대장_입력!#REF!="",발령대장_입력!#REF!,발령대장_입력!#REF!&amp;CHAR(10)&amp;"("&amp;발령대장_입력!#REF!&amp;")"))</f>
        <v>#REF!</v>
      </c>
      <c r="D26" s="8" t="e">
        <f>IF($A26="","",발령대장_입력!#REF!)</f>
        <v>#REF!</v>
      </c>
      <c r="E26" s="8" t="e">
        <f>IF($A26="","",발령대장_입력!#REF!&amp;"에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26" s="8" t="e">
        <f>IF($A26="","",IF(기본설정·안내!$B$5="","",기본설정·안내!$B$5))</f>
        <v>#REF!</v>
      </c>
      <c r="G26" s="8" t="e">
        <f>IF($A26="","",IF(기본설정·안내!$B$6="","",기본설정·안내!$B$6))</f>
        <v>#REF!</v>
      </c>
      <c r="H26" s="8" t="e">
        <f>IF($A26="","",IF(기본설정·안내!$B$7="","",기본설정·안내!$B$7))</f>
        <v>#REF!</v>
      </c>
      <c r="I26" s="8" t="e">
        <f>IF($A26="","",IF(기본설정·안내!$B$8="","",기본설정·안내!$B$8))</f>
        <v>#REF!</v>
      </c>
      <c r="J26" s="8" t="e">
        <f>IF($A26="","",IF(기본설정·안내!$B$9="","",기본설정·안내!$B$9))</f>
        <v>#REF!</v>
      </c>
    </row>
    <row r="27" spans="1:10" ht="45.95" customHeight="1">
      <c r="A27" s="41" t="e">
        <f>IF(발령대장_입력!#REF!="","",발령대장_입력!#REF!)</f>
        <v>#REF!</v>
      </c>
      <c r="B27" s="8" t="e">
        <f>IF($A27="","",IF(기본설정·안내!$B$4="","",기본설정·안내!$B$4))</f>
        <v>#REF!</v>
      </c>
      <c r="C27" s="8" t="e">
        <f>IF($A27="","",IF(발령대장_입력!#REF!="",발령대장_입력!#REF!,발령대장_입력!#REF!&amp;CHAR(10)&amp;"("&amp;발령대장_입력!#REF!&amp;")"))</f>
        <v>#REF!</v>
      </c>
      <c r="D27" s="8" t="e">
        <f>IF($A27="","",발령대장_입력!#REF!)</f>
        <v>#REF!</v>
      </c>
      <c r="E27" s="8" t="e">
        <f>IF($A27="","",발령대장_입력!#REF!&amp;"에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27" s="8" t="e">
        <f>IF($A27="","",IF(기본설정·안내!$B$5="","",기본설정·안내!$B$5))</f>
        <v>#REF!</v>
      </c>
      <c r="G27" s="8" t="e">
        <f>IF($A27="","",IF(기본설정·안내!$B$6="","",기본설정·안내!$B$6))</f>
        <v>#REF!</v>
      </c>
      <c r="H27" s="8" t="e">
        <f>IF($A27="","",IF(기본설정·안내!$B$7="","",기본설정·안내!$B$7))</f>
        <v>#REF!</v>
      </c>
      <c r="I27" s="8" t="e">
        <f>IF($A27="","",IF(기본설정·안내!$B$8="","",기본설정·안내!$B$8))</f>
        <v>#REF!</v>
      </c>
      <c r="J27" s="8" t="e">
        <f>IF($A27="","",IF(기본설정·안내!$B$9="","",기본설정·안내!$B$9))</f>
        <v>#REF!</v>
      </c>
    </row>
    <row r="28" spans="1:10" ht="45.95" customHeight="1">
      <c r="A28" s="41" t="e">
        <f>IF(발령대장_입력!#REF!="","",발령대장_입력!#REF!)</f>
        <v>#REF!</v>
      </c>
      <c r="B28" s="8" t="e">
        <f>IF($A28="","",IF(기본설정·안내!$B$4="","",기본설정·안내!$B$4))</f>
        <v>#REF!</v>
      </c>
      <c r="C28" s="8" t="e">
        <f>IF($A28="","",IF(발령대장_입력!#REF!="",발령대장_입력!#REF!,발령대장_입력!#REF!&amp;CHAR(10)&amp;"("&amp;발령대장_입력!#REF!&amp;")"))</f>
        <v>#REF!</v>
      </c>
      <c r="D28" s="8" t="e">
        <f>IF($A28="","",발령대장_입력!#REF!)</f>
        <v>#REF!</v>
      </c>
      <c r="E28" s="8" t="e">
        <f>IF($A28="","",발령대장_입력!#REF!&amp;"에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28" s="8" t="e">
        <f>IF($A28="","",IF(기본설정·안내!$B$5="","",기본설정·안내!$B$5))</f>
        <v>#REF!</v>
      </c>
      <c r="G28" s="8" t="e">
        <f>IF($A28="","",IF(기본설정·안내!$B$6="","",기본설정·안내!$B$6))</f>
        <v>#REF!</v>
      </c>
      <c r="H28" s="8" t="e">
        <f>IF($A28="","",IF(기본설정·안내!$B$7="","",기본설정·안내!$B$7))</f>
        <v>#REF!</v>
      </c>
      <c r="I28" s="8" t="e">
        <f>IF($A28="","",IF(기본설정·안내!$B$8="","",기본설정·안내!$B$8))</f>
        <v>#REF!</v>
      </c>
      <c r="J28" s="8" t="e">
        <f>IF($A28="","",IF(기본설정·안내!$B$9="","",기본설정·안내!$B$9))</f>
        <v>#REF!</v>
      </c>
    </row>
    <row r="29" spans="1:10" ht="45.95" customHeight="1">
      <c r="A29" s="41" t="e">
        <f>IF(발령대장_입력!#REF!="","",발령대장_입력!#REF!)</f>
        <v>#REF!</v>
      </c>
      <c r="B29" s="8" t="e">
        <f>IF($A29="","",IF(기본설정·안내!$B$4="","",기본설정·안내!$B$4))</f>
        <v>#REF!</v>
      </c>
      <c r="C29" s="8" t="e">
        <f>IF($A29="","",IF(발령대장_입력!#REF!="",발령대장_입력!#REF!,발령대장_입력!#REF!&amp;CHAR(10)&amp;"("&amp;발령대장_입력!#REF!&amp;")"))</f>
        <v>#REF!</v>
      </c>
      <c r="D29" s="8" t="e">
        <f>IF($A29="","",발령대장_입력!#REF!)</f>
        <v>#REF!</v>
      </c>
      <c r="E29" s="8" t="e">
        <f>IF($A29="","",발령대장_입력!#REF!&amp;"에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29" s="8" t="e">
        <f>IF($A29="","",IF(기본설정·안내!$B$5="","",기본설정·안내!$B$5))</f>
        <v>#REF!</v>
      </c>
      <c r="G29" s="8" t="e">
        <f>IF($A29="","",IF(기본설정·안내!$B$6="","",기본설정·안내!$B$6))</f>
        <v>#REF!</v>
      </c>
      <c r="H29" s="8" t="e">
        <f>IF($A29="","",IF(기본설정·안내!$B$7="","",기본설정·안내!$B$7))</f>
        <v>#REF!</v>
      </c>
      <c r="I29" s="8" t="e">
        <f>IF($A29="","",IF(기본설정·안내!$B$8="","",기본설정·안내!$B$8))</f>
        <v>#REF!</v>
      </c>
      <c r="J29" s="8" t="e">
        <f>IF($A29="","",IF(기본설정·안내!$B$9="","",기본설정·안내!$B$9))</f>
        <v>#REF!</v>
      </c>
    </row>
    <row r="30" spans="1:10" ht="45.95" customHeight="1">
      <c r="A30" s="41" t="e">
        <f>IF(발령대장_입력!#REF!="","",발령대장_입력!#REF!)</f>
        <v>#REF!</v>
      </c>
      <c r="B30" s="8" t="e">
        <f>IF($A30="","",IF(기본설정·안내!$B$4="","",기본설정·안내!$B$4))</f>
        <v>#REF!</v>
      </c>
      <c r="C30" s="8" t="e">
        <f>IF($A30="","",IF(발령대장_입력!#REF!="",발령대장_입력!#REF!,발령대장_입력!#REF!&amp;CHAR(10)&amp;"("&amp;발령대장_입력!#REF!&amp;")"))</f>
        <v>#REF!</v>
      </c>
      <c r="D30" s="8" t="e">
        <f>IF($A30="","",발령대장_입력!#REF!)</f>
        <v>#REF!</v>
      </c>
      <c r="E30" s="8" t="e">
        <f>IF($A30="","",발령대장_입력!#REF!&amp;"에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30" s="8" t="e">
        <f>IF($A30="","",IF(기본설정·안내!$B$5="","",기본설정·안내!$B$5))</f>
        <v>#REF!</v>
      </c>
      <c r="G30" s="8" t="e">
        <f>IF($A30="","",IF(기본설정·안내!$B$6="","",기본설정·안내!$B$6))</f>
        <v>#REF!</v>
      </c>
      <c r="H30" s="8" t="e">
        <f>IF($A30="","",IF(기본설정·안내!$B$7="","",기본설정·안내!$B$7))</f>
        <v>#REF!</v>
      </c>
      <c r="I30" s="8" t="e">
        <f>IF($A30="","",IF(기본설정·안내!$B$8="","",기본설정·안내!$B$8))</f>
        <v>#REF!</v>
      </c>
      <c r="J30" s="8" t="e">
        <f>IF($A30="","",IF(기본설정·안내!$B$9="","",기본설정·안내!$B$9))</f>
        <v>#REF!</v>
      </c>
    </row>
    <row r="31" spans="1:10" ht="45.95" customHeight="1">
      <c r="A31" s="41" t="e">
        <f>IF(발령대장_입력!#REF!="","",발령대장_입력!#REF!)</f>
        <v>#REF!</v>
      </c>
      <c r="B31" s="8" t="e">
        <f>IF($A31="","",IF(기본설정·안내!$B$4="","",기본설정·안내!$B$4))</f>
        <v>#REF!</v>
      </c>
      <c r="C31" s="8" t="e">
        <f>IF($A31="","",IF(발령대장_입력!#REF!="",발령대장_입력!#REF!,발령대장_입력!#REF!&amp;CHAR(10)&amp;"("&amp;발령대장_입력!#REF!&amp;")"))</f>
        <v>#REF!</v>
      </c>
      <c r="D31" s="8" t="e">
        <f>IF($A31="","",발령대장_입력!#REF!)</f>
        <v>#REF!</v>
      </c>
      <c r="E31" s="8" t="e">
        <f>IF($A31="","",발령대장_입력!#REF!&amp;"에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31" s="8" t="e">
        <f>IF($A31="","",IF(기본설정·안내!$B$5="","",기본설정·안내!$B$5))</f>
        <v>#REF!</v>
      </c>
      <c r="G31" s="8" t="e">
        <f>IF($A31="","",IF(기본설정·안내!$B$6="","",기본설정·안내!$B$6))</f>
        <v>#REF!</v>
      </c>
      <c r="H31" s="8" t="e">
        <f>IF($A31="","",IF(기본설정·안내!$B$7="","",기본설정·안내!$B$7))</f>
        <v>#REF!</v>
      </c>
      <c r="I31" s="8" t="e">
        <f>IF($A31="","",IF(기본설정·안내!$B$8="","",기본설정·안내!$B$8))</f>
        <v>#REF!</v>
      </c>
      <c r="J31" s="8" t="e">
        <f>IF($A31="","",IF(기본설정·안내!$B$9="","",기본설정·안내!$B$9))</f>
        <v>#REF!</v>
      </c>
    </row>
    <row r="32" spans="1:10" ht="45.95" customHeight="1">
      <c r="A32" s="41" t="e">
        <f>IF(발령대장_입력!#REF!="","",발령대장_입력!#REF!)</f>
        <v>#REF!</v>
      </c>
      <c r="B32" s="8" t="e">
        <f>IF($A32="","",IF(기본설정·안내!$B$4="","",기본설정·안내!$B$4))</f>
        <v>#REF!</v>
      </c>
      <c r="C32" s="8" t="e">
        <f>IF($A32="","",IF(발령대장_입력!#REF!="",발령대장_입력!#REF!,발령대장_입력!#REF!&amp;CHAR(10)&amp;"("&amp;발령대장_입력!#REF!&amp;")"))</f>
        <v>#REF!</v>
      </c>
      <c r="D32" s="8" t="e">
        <f>IF($A32="","",발령대장_입력!#REF!)</f>
        <v>#REF!</v>
      </c>
      <c r="E32" s="8" t="e">
        <f>IF($A32="","",발령대장_입력!#REF!&amp;"에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32" s="8" t="e">
        <f>IF($A32="","",IF(기본설정·안내!$B$5="","",기본설정·안내!$B$5))</f>
        <v>#REF!</v>
      </c>
      <c r="G32" s="8" t="e">
        <f>IF($A32="","",IF(기본설정·안내!$B$6="","",기본설정·안내!$B$6))</f>
        <v>#REF!</v>
      </c>
      <c r="H32" s="8" t="e">
        <f>IF($A32="","",IF(기본설정·안내!$B$7="","",기본설정·안내!$B$7))</f>
        <v>#REF!</v>
      </c>
      <c r="I32" s="8" t="e">
        <f>IF($A32="","",IF(기본설정·안내!$B$8="","",기본설정·안내!$B$8))</f>
        <v>#REF!</v>
      </c>
      <c r="J32" s="8" t="e">
        <f>IF($A32="","",IF(기본설정·안내!$B$9="","",기본설정·안내!$B$9))</f>
        <v>#REF!</v>
      </c>
    </row>
    <row r="33" spans="1:10" ht="45.95" customHeight="1">
      <c r="A33" s="41" t="e">
        <f>IF(발령대장_입력!#REF!="","",발령대장_입력!#REF!)</f>
        <v>#REF!</v>
      </c>
      <c r="B33" s="8" t="e">
        <f>IF($A33="","",IF(기본설정·안내!$B$4="","",기본설정·안내!$B$4))</f>
        <v>#REF!</v>
      </c>
      <c r="C33" s="8" t="e">
        <f>IF($A33="","",IF(발령대장_입력!#REF!="",발령대장_입력!#REF!,발령대장_입력!#REF!&amp;CHAR(10)&amp;"("&amp;발령대장_입력!#REF!&amp;")"))</f>
        <v>#REF!</v>
      </c>
      <c r="D33" s="8" t="e">
        <f>IF($A33="","",발령대장_입력!#REF!)</f>
        <v>#REF!</v>
      </c>
      <c r="E33" s="8" t="e">
        <f>IF($A33="","",발령대장_입력!#REF!&amp;"에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33" s="8" t="e">
        <f>IF($A33="","",IF(기본설정·안내!$B$5="","",기본설정·안내!$B$5))</f>
        <v>#REF!</v>
      </c>
      <c r="G33" s="8" t="e">
        <f>IF($A33="","",IF(기본설정·안내!$B$6="","",기본설정·안내!$B$6))</f>
        <v>#REF!</v>
      </c>
      <c r="H33" s="8" t="e">
        <f>IF($A33="","",IF(기본설정·안내!$B$7="","",기본설정·안내!$B$7))</f>
        <v>#REF!</v>
      </c>
      <c r="I33" s="8" t="e">
        <f>IF($A33="","",IF(기본설정·안내!$B$8="","",기본설정·안내!$B$8))</f>
        <v>#REF!</v>
      </c>
      <c r="J33" s="8" t="e">
        <f>IF($A33="","",IF(기본설정·안내!$B$9="","",기본설정·안내!$B$9))</f>
        <v>#REF!</v>
      </c>
    </row>
    <row r="34" spans="1:10" ht="45.95" customHeight="1">
      <c r="A34" s="41" t="e">
        <f>IF(발령대장_입력!#REF!="","",발령대장_입력!#REF!)</f>
        <v>#REF!</v>
      </c>
      <c r="B34" s="8" t="e">
        <f>IF($A34="","",IF(기본설정·안내!$B$4="","",기본설정·안내!$B$4))</f>
        <v>#REF!</v>
      </c>
      <c r="C34" s="8" t="e">
        <f>IF($A34="","",IF(발령대장_입력!#REF!="",발령대장_입력!#REF!,발령대장_입력!#REF!&amp;CHAR(10)&amp;"("&amp;발령대장_입력!#REF!&amp;")"))</f>
        <v>#REF!</v>
      </c>
      <c r="D34" s="8" t="e">
        <f>IF($A34="","",발령대장_입력!#REF!)</f>
        <v>#REF!</v>
      </c>
      <c r="E34" s="8" t="e">
        <f>IF($A34="","",발령대장_입력!#REF!&amp;"에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34" s="8" t="e">
        <f>IF($A34="","",IF(기본설정·안내!$B$5="","",기본설정·안내!$B$5))</f>
        <v>#REF!</v>
      </c>
      <c r="G34" s="8" t="e">
        <f>IF($A34="","",IF(기본설정·안내!$B$6="","",기본설정·안내!$B$6))</f>
        <v>#REF!</v>
      </c>
      <c r="H34" s="8" t="e">
        <f>IF($A34="","",IF(기본설정·안내!$B$7="","",기본설정·안내!$B$7))</f>
        <v>#REF!</v>
      </c>
      <c r="I34" s="8" t="e">
        <f>IF($A34="","",IF(기본설정·안내!$B$8="","",기본설정·안내!$B$8))</f>
        <v>#REF!</v>
      </c>
      <c r="J34" s="8" t="e">
        <f>IF($A34="","",IF(기본설정·안내!$B$9="","",기본설정·안내!$B$9))</f>
        <v>#REF!</v>
      </c>
    </row>
    <row r="35" spans="1:10" ht="45.95" customHeight="1">
      <c r="A35" s="41" t="e">
        <f>IF(발령대장_입력!#REF!="","",발령대장_입력!#REF!)</f>
        <v>#REF!</v>
      </c>
      <c r="B35" s="8" t="e">
        <f>IF($A35="","",IF(기본설정·안내!$B$4="","",기본설정·안내!$B$4))</f>
        <v>#REF!</v>
      </c>
      <c r="C35" s="8" t="e">
        <f>IF($A35="","",IF(발령대장_입력!#REF!="",발령대장_입력!#REF!,발령대장_입력!#REF!&amp;CHAR(10)&amp;"("&amp;발령대장_입력!#REF!&amp;")"))</f>
        <v>#REF!</v>
      </c>
      <c r="D35" s="8" t="e">
        <f>IF($A35="","",발령대장_입력!#REF!)</f>
        <v>#REF!</v>
      </c>
      <c r="E35" s="8" t="e">
        <f>IF($A35="","",발령대장_입력!#REF!&amp;"에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35" s="8" t="e">
        <f>IF($A35="","",IF(기본설정·안내!$B$5="","",기본설정·안내!$B$5))</f>
        <v>#REF!</v>
      </c>
      <c r="G35" s="8" t="e">
        <f>IF($A35="","",IF(기본설정·안내!$B$6="","",기본설정·안내!$B$6))</f>
        <v>#REF!</v>
      </c>
      <c r="H35" s="8" t="e">
        <f>IF($A35="","",IF(기본설정·안내!$B$7="","",기본설정·안내!$B$7))</f>
        <v>#REF!</v>
      </c>
      <c r="I35" s="8" t="e">
        <f>IF($A35="","",IF(기본설정·안내!$B$8="","",기본설정·안내!$B$8))</f>
        <v>#REF!</v>
      </c>
      <c r="J35" s="8" t="e">
        <f>IF($A35="","",IF(기본설정·안내!$B$9="","",기본설정·안내!$B$9))</f>
        <v>#REF!</v>
      </c>
    </row>
    <row r="36" spans="1:10" ht="45.95" customHeight="1">
      <c r="A36" s="41" t="e">
        <f>IF(발령대장_입력!#REF!="","",발령대장_입력!#REF!)</f>
        <v>#REF!</v>
      </c>
      <c r="B36" s="8" t="e">
        <f>IF($A36="","",IF(기본설정·안내!$B$4="","",기본설정·안내!$B$4))</f>
        <v>#REF!</v>
      </c>
      <c r="C36" s="8" t="e">
        <f>IF($A36="","",IF(발령대장_입력!#REF!="",발령대장_입력!#REF!,발령대장_입력!#REF!&amp;CHAR(10)&amp;"("&amp;발령대장_입력!#REF!&amp;")"))</f>
        <v>#REF!</v>
      </c>
      <c r="D36" s="8" t="e">
        <f>IF($A36="","",발령대장_입력!#REF!)</f>
        <v>#REF!</v>
      </c>
      <c r="E36" s="8" t="e">
        <f>IF($A36="","",발령대장_입력!#REF!&amp;"에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36" s="8" t="e">
        <f>IF($A36="","",IF(기본설정·안내!$B$5="","",기본설정·안내!$B$5))</f>
        <v>#REF!</v>
      </c>
      <c r="G36" s="8" t="e">
        <f>IF($A36="","",IF(기본설정·안내!$B$6="","",기본설정·안내!$B$6))</f>
        <v>#REF!</v>
      </c>
      <c r="H36" s="8" t="e">
        <f>IF($A36="","",IF(기본설정·안내!$B$7="","",기본설정·안내!$B$7))</f>
        <v>#REF!</v>
      </c>
      <c r="I36" s="8" t="e">
        <f>IF($A36="","",IF(기본설정·안내!$B$8="","",기본설정·안내!$B$8))</f>
        <v>#REF!</v>
      </c>
      <c r="J36" s="8" t="e">
        <f>IF($A36="","",IF(기본설정·안내!$B$9="","",기본설정·안내!$B$9))</f>
        <v>#REF!</v>
      </c>
    </row>
    <row r="37" spans="1:10" ht="45.95" customHeight="1">
      <c r="A37" s="41" t="e">
        <f>IF(발령대장_입력!#REF!="","",발령대장_입력!#REF!)</f>
        <v>#REF!</v>
      </c>
      <c r="B37" s="8" t="e">
        <f>IF($A37="","",IF(기본설정·안내!$B$4="","",기본설정·안내!$B$4))</f>
        <v>#REF!</v>
      </c>
      <c r="C37" s="8" t="e">
        <f>IF($A37="","",IF(발령대장_입력!#REF!="",발령대장_입력!#REF!,발령대장_입력!#REF!&amp;CHAR(10)&amp;"("&amp;발령대장_입력!#REF!&amp;")"))</f>
        <v>#REF!</v>
      </c>
      <c r="D37" s="8" t="e">
        <f>IF($A37="","",발령대장_입력!#REF!)</f>
        <v>#REF!</v>
      </c>
      <c r="E37" s="8" t="e">
        <f>IF($A37="","",발령대장_입력!#REF!&amp;"에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37" s="8" t="e">
        <f>IF($A37="","",IF(기본설정·안내!$B$5="","",기본설정·안내!$B$5))</f>
        <v>#REF!</v>
      </c>
      <c r="G37" s="8" t="e">
        <f>IF($A37="","",IF(기본설정·안내!$B$6="","",기본설정·안내!$B$6))</f>
        <v>#REF!</v>
      </c>
      <c r="H37" s="8" t="e">
        <f>IF($A37="","",IF(기본설정·안내!$B$7="","",기본설정·안내!$B$7))</f>
        <v>#REF!</v>
      </c>
      <c r="I37" s="8" t="e">
        <f>IF($A37="","",IF(기본설정·안내!$B$8="","",기본설정·안내!$B$8))</f>
        <v>#REF!</v>
      </c>
      <c r="J37" s="8" t="e">
        <f>IF($A37="","",IF(기본설정·안내!$B$9="","",기본설정·안내!$B$9))</f>
        <v>#REF!</v>
      </c>
    </row>
    <row r="38" spans="1:10" ht="45.95" customHeight="1">
      <c r="A38" s="41" t="e">
        <f>IF(발령대장_입력!#REF!="","",발령대장_입력!#REF!)</f>
        <v>#REF!</v>
      </c>
      <c r="B38" s="8" t="e">
        <f>IF($A38="","",IF(기본설정·안내!$B$4="","",기본설정·안내!$B$4))</f>
        <v>#REF!</v>
      </c>
      <c r="C38" s="8" t="e">
        <f>IF($A38="","",IF(발령대장_입력!#REF!="",발령대장_입력!#REF!,발령대장_입력!#REF!&amp;CHAR(10)&amp;"("&amp;발령대장_입력!#REF!&amp;")"))</f>
        <v>#REF!</v>
      </c>
      <c r="D38" s="8" t="e">
        <f>IF($A38="","",발령대장_입력!#REF!)</f>
        <v>#REF!</v>
      </c>
      <c r="E38" s="8" t="e">
        <f>IF($A38="","",발령대장_입력!#REF!&amp;"에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38" s="8" t="e">
        <f>IF($A38="","",IF(기본설정·안내!$B$5="","",기본설정·안내!$B$5))</f>
        <v>#REF!</v>
      </c>
      <c r="G38" s="8" t="e">
        <f>IF($A38="","",IF(기본설정·안내!$B$6="","",기본설정·안내!$B$6))</f>
        <v>#REF!</v>
      </c>
      <c r="H38" s="8" t="e">
        <f>IF($A38="","",IF(기본설정·안내!$B$7="","",기본설정·안내!$B$7))</f>
        <v>#REF!</v>
      </c>
      <c r="I38" s="8" t="e">
        <f>IF($A38="","",IF(기본설정·안내!$B$8="","",기본설정·안내!$B$8))</f>
        <v>#REF!</v>
      </c>
      <c r="J38" s="8" t="e">
        <f>IF($A38="","",IF(기본설정·안내!$B$9="","",기본설정·안내!$B$9))</f>
        <v>#REF!</v>
      </c>
    </row>
    <row r="39" spans="1:10" ht="45.95" customHeight="1">
      <c r="A39" s="41" t="e">
        <f>IF(발령대장_입력!#REF!="","",발령대장_입력!#REF!)</f>
        <v>#REF!</v>
      </c>
      <c r="B39" s="8" t="e">
        <f>IF($A39="","",IF(기본설정·안내!$B$4="","",기본설정·안내!$B$4))</f>
        <v>#REF!</v>
      </c>
      <c r="C39" s="8" t="e">
        <f>IF($A39="","",IF(발령대장_입력!#REF!="",발령대장_입력!#REF!,발령대장_입력!#REF!&amp;CHAR(10)&amp;"("&amp;발령대장_입력!#REF!&amp;")"))</f>
        <v>#REF!</v>
      </c>
      <c r="D39" s="8" t="e">
        <f>IF($A39="","",발령대장_입력!#REF!)</f>
        <v>#REF!</v>
      </c>
      <c r="E39" s="8" t="e">
        <f>IF($A39="","",발령대장_입력!#REF!&amp;"에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39" s="8" t="e">
        <f>IF($A39="","",IF(기본설정·안내!$B$5="","",기본설정·안내!$B$5))</f>
        <v>#REF!</v>
      </c>
      <c r="G39" s="8" t="e">
        <f>IF($A39="","",IF(기본설정·안내!$B$6="","",기본설정·안내!$B$6))</f>
        <v>#REF!</v>
      </c>
      <c r="H39" s="8" t="e">
        <f>IF($A39="","",IF(기본설정·안내!$B$7="","",기본설정·안내!$B$7))</f>
        <v>#REF!</v>
      </c>
      <c r="I39" s="8" t="e">
        <f>IF($A39="","",IF(기본설정·안내!$B$8="","",기본설정·안내!$B$8))</f>
        <v>#REF!</v>
      </c>
      <c r="J39" s="8" t="e">
        <f>IF($A39="","",IF(기본설정·안내!$B$9="","",기본설정·안내!$B$9))</f>
        <v>#REF!</v>
      </c>
    </row>
    <row r="40" spans="1:10" ht="45.95" customHeight="1">
      <c r="A40" s="41" t="e">
        <f>IF(발령대장_입력!#REF!="","",발령대장_입력!#REF!)</f>
        <v>#REF!</v>
      </c>
      <c r="B40" s="8" t="e">
        <f>IF($A40="","",IF(기본설정·안내!$B$4="","",기본설정·안내!$B$4))</f>
        <v>#REF!</v>
      </c>
      <c r="C40" s="8" t="e">
        <f>IF($A40="","",IF(발령대장_입력!#REF!="",발령대장_입력!#REF!,발령대장_입력!#REF!&amp;CHAR(10)&amp;"("&amp;발령대장_입력!#REF!&amp;")"))</f>
        <v>#REF!</v>
      </c>
      <c r="D40" s="8" t="e">
        <f>IF($A40="","",발령대장_입력!#REF!)</f>
        <v>#REF!</v>
      </c>
      <c r="E40" s="8" t="e">
        <f>IF($A40="","",발령대장_입력!#REF!&amp;"에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40" s="8" t="e">
        <f>IF($A40="","",IF(기본설정·안내!$B$5="","",기본설정·안내!$B$5))</f>
        <v>#REF!</v>
      </c>
      <c r="G40" s="8" t="e">
        <f>IF($A40="","",IF(기본설정·안내!$B$6="","",기본설정·안내!$B$6))</f>
        <v>#REF!</v>
      </c>
      <c r="H40" s="8" t="e">
        <f>IF($A40="","",IF(기본설정·안내!$B$7="","",기본설정·안내!$B$7))</f>
        <v>#REF!</v>
      </c>
      <c r="I40" s="8" t="e">
        <f>IF($A40="","",IF(기본설정·안내!$B$8="","",기본설정·안내!$B$8))</f>
        <v>#REF!</v>
      </c>
      <c r="J40" s="8" t="e">
        <f>IF($A40="","",IF(기본설정·안내!$B$9="","",기본설정·안내!$B$9))</f>
        <v>#REF!</v>
      </c>
    </row>
    <row r="41" spans="1:10" ht="45.95" customHeight="1">
      <c r="A41" s="41" t="e">
        <f>IF(발령대장_입력!#REF!="","",발령대장_입력!#REF!)</f>
        <v>#REF!</v>
      </c>
      <c r="B41" s="8" t="e">
        <f>IF($A41="","",IF(기본설정·안내!$B$4="","",기본설정·안내!$B$4))</f>
        <v>#REF!</v>
      </c>
      <c r="C41" s="8" t="e">
        <f>IF($A41="","",IF(발령대장_입력!#REF!="",발령대장_입력!#REF!,발령대장_입력!#REF!&amp;CHAR(10)&amp;"("&amp;발령대장_입력!#REF!&amp;")"))</f>
        <v>#REF!</v>
      </c>
      <c r="D41" s="8" t="e">
        <f>IF($A41="","",발령대장_입력!#REF!)</f>
        <v>#REF!</v>
      </c>
      <c r="E41" s="8" t="e">
        <f>IF($A41="","",발령대장_입력!#REF!&amp;"에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41" s="8" t="e">
        <f>IF($A41="","",IF(기본설정·안내!$B$5="","",기본설정·안내!$B$5))</f>
        <v>#REF!</v>
      </c>
      <c r="G41" s="8" t="e">
        <f>IF($A41="","",IF(기본설정·안내!$B$6="","",기본설정·안내!$B$6))</f>
        <v>#REF!</v>
      </c>
      <c r="H41" s="8" t="e">
        <f>IF($A41="","",IF(기본설정·안내!$B$7="","",기본설정·안내!$B$7))</f>
        <v>#REF!</v>
      </c>
      <c r="I41" s="8" t="e">
        <f>IF($A41="","",IF(기본설정·안내!$B$8="","",기본설정·안내!$B$8))</f>
        <v>#REF!</v>
      </c>
      <c r="J41" s="8" t="e">
        <f>IF($A41="","",IF(기본설정·안내!$B$9="","",기본설정·안내!$B$9))</f>
        <v>#REF!</v>
      </c>
    </row>
    <row r="42" spans="1:10" ht="45.95" customHeight="1">
      <c r="A42" s="41" t="e">
        <f>IF(발령대장_입력!#REF!="","",발령대장_입력!#REF!)</f>
        <v>#REF!</v>
      </c>
      <c r="B42" s="8" t="e">
        <f>IF($A42="","",IF(기본설정·안내!$B$4="","",기본설정·안내!$B$4))</f>
        <v>#REF!</v>
      </c>
      <c r="C42" s="8" t="e">
        <f>IF($A42="","",IF(발령대장_입력!#REF!="",발령대장_입력!#REF!,발령대장_입력!#REF!&amp;CHAR(10)&amp;"("&amp;발령대장_입력!#REF!&amp;")"))</f>
        <v>#REF!</v>
      </c>
      <c r="D42" s="8" t="e">
        <f>IF($A42="","",발령대장_입력!#REF!)</f>
        <v>#REF!</v>
      </c>
      <c r="E42" s="8" t="e">
        <f>IF($A42="","",발령대장_입력!#REF!&amp;"에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42" s="8" t="e">
        <f>IF($A42="","",IF(기본설정·안내!$B$5="","",기본설정·안내!$B$5))</f>
        <v>#REF!</v>
      </c>
      <c r="G42" s="8" t="e">
        <f>IF($A42="","",IF(기본설정·안내!$B$6="","",기본설정·안내!$B$6))</f>
        <v>#REF!</v>
      </c>
      <c r="H42" s="8" t="e">
        <f>IF($A42="","",IF(기본설정·안내!$B$7="","",기본설정·안내!$B$7))</f>
        <v>#REF!</v>
      </c>
      <c r="I42" s="8" t="e">
        <f>IF($A42="","",IF(기본설정·안내!$B$8="","",기본설정·안내!$B$8))</f>
        <v>#REF!</v>
      </c>
      <c r="J42" s="8" t="e">
        <f>IF($A42="","",IF(기본설정·안내!$B$9="","",기본설정·안내!$B$9))</f>
        <v>#REF!</v>
      </c>
    </row>
    <row r="43" spans="1:10" ht="45.95" customHeight="1">
      <c r="A43" s="41" t="e">
        <f>IF(발령대장_입력!#REF!="","",발령대장_입력!#REF!)</f>
        <v>#REF!</v>
      </c>
      <c r="B43" s="8" t="e">
        <f>IF($A43="","",IF(기본설정·안내!$B$4="","",기본설정·안내!$B$4))</f>
        <v>#REF!</v>
      </c>
      <c r="C43" s="8" t="e">
        <f>IF($A43="","",IF(발령대장_입력!#REF!="",발령대장_입력!#REF!,발령대장_입력!#REF!&amp;CHAR(10)&amp;"("&amp;발령대장_입력!#REF!&amp;")"))</f>
        <v>#REF!</v>
      </c>
      <c r="D43" s="8" t="e">
        <f>IF($A43="","",발령대장_입력!#REF!)</f>
        <v>#REF!</v>
      </c>
      <c r="E43" s="8" t="e">
        <f>IF($A43="","",발령대장_입력!#REF!&amp;"에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43" s="8" t="e">
        <f>IF($A43="","",IF(기본설정·안내!$B$5="","",기본설정·안내!$B$5))</f>
        <v>#REF!</v>
      </c>
      <c r="G43" s="8" t="e">
        <f>IF($A43="","",IF(기본설정·안내!$B$6="","",기본설정·안내!$B$6))</f>
        <v>#REF!</v>
      </c>
      <c r="H43" s="8" t="e">
        <f>IF($A43="","",IF(기본설정·안내!$B$7="","",기본설정·안내!$B$7))</f>
        <v>#REF!</v>
      </c>
      <c r="I43" s="8" t="e">
        <f>IF($A43="","",IF(기본설정·안내!$B$8="","",기본설정·안내!$B$8))</f>
        <v>#REF!</v>
      </c>
      <c r="J43" s="8" t="e">
        <f>IF($A43="","",IF(기본설정·안내!$B$9="","",기본설정·안내!$B$9))</f>
        <v>#REF!</v>
      </c>
    </row>
    <row r="44" spans="1:10" ht="45.95" customHeight="1">
      <c r="A44" s="41" t="e">
        <f>IF(발령대장_입력!#REF!="","",발령대장_입력!#REF!)</f>
        <v>#REF!</v>
      </c>
      <c r="B44" s="8" t="e">
        <f>IF($A44="","",IF(기본설정·안내!$B$4="","",기본설정·안내!$B$4))</f>
        <v>#REF!</v>
      </c>
      <c r="C44" s="8" t="e">
        <f>IF($A44="","",IF(발령대장_입력!#REF!="",발령대장_입력!#REF!,발령대장_입력!#REF!&amp;CHAR(10)&amp;"("&amp;발령대장_입력!#REF!&amp;")"))</f>
        <v>#REF!</v>
      </c>
      <c r="D44" s="8" t="e">
        <f>IF($A44="","",발령대장_입력!#REF!)</f>
        <v>#REF!</v>
      </c>
      <c r="E44" s="8" t="e">
        <f>IF($A44="","",발령대장_입력!#REF!&amp;"에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44" s="8" t="e">
        <f>IF($A44="","",IF(기본설정·안내!$B$5="","",기본설정·안내!$B$5))</f>
        <v>#REF!</v>
      </c>
      <c r="G44" s="8" t="e">
        <f>IF($A44="","",IF(기본설정·안내!$B$6="","",기본설정·안내!$B$6))</f>
        <v>#REF!</v>
      </c>
      <c r="H44" s="8" t="e">
        <f>IF($A44="","",IF(기본설정·안내!$B$7="","",기본설정·안내!$B$7))</f>
        <v>#REF!</v>
      </c>
      <c r="I44" s="8" t="e">
        <f>IF($A44="","",IF(기본설정·안내!$B$8="","",기본설정·안내!$B$8))</f>
        <v>#REF!</v>
      </c>
      <c r="J44" s="8" t="e">
        <f>IF($A44="","",IF(기본설정·안내!$B$9="","",기본설정·안내!$B$9))</f>
        <v>#REF!</v>
      </c>
    </row>
    <row r="45" spans="1:10" ht="45.95" customHeight="1">
      <c r="A45" s="41" t="e">
        <f>IF(발령대장_입력!#REF!="","",발령대장_입력!#REF!)</f>
        <v>#REF!</v>
      </c>
      <c r="B45" s="8" t="e">
        <f>IF($A45="","",IF(기본설정·안내!$B$4="","",기본설정·안내!$B$4))</f>
        <v>#REF!</v>
      </c>
      <c r="C45" s="8" t="e">
        <f>IF($A45="","",IF(발령대장_입력!#REF!="",발령대장_입력!#REF!,발령대장_입력!#REF!&amp;CHAR(10)&amp;"("&amp;발령대장_입력!#REF!&amp;")"))</f>
        <v>#REF!</v>
      </c>
      <c r="D45" s="8" t="e">
        <f>IF($A45="","",발령대장_입력!#REF!)</f>
        <v>#REF!</v>
      </c>
      <c r="E45" s="8" t="e">
        <f>IF($A45="","",발령대장_입력!#REF!&amp;"에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45" s="8" t="e">
        <f>IF($A45="","",IF(기본설정·안내!$B$5="","",기본설정·안내!$B$5))</f>
        <v>#REF!</v>
      </c>
      <c r="G45" s="8" t="e">
        <f>IF($A45="","",IF(기본설정·안내!$B$6="","",기본설정·안내!$B$6))</f>
        <v>#REF!</v>
      </c>
      <c r="H45" s="8" t="e">
        <f>IF($A45="","",IF(기본설정·안내!$B$7="","",기본설정·안내!$B$7))</f>
        <v>#REF!</v>
      </c>
      <c r="I45" s="8" t="e">
        <f>IF($A45="","",IF(기본설정·안내!$B$8="","",기본설정·안내!$B$8))</f>
        <v>#REF!</v>
      </c>
      <c r="J45" s="8" t="e">
        <f>IF($A45="","",IF(기본설정·안내!$B$9="","",기본설정·안내!$B$9))</f>
        <v>#REF!</v>
      </c>
    </row>
    <row r="46" spans="1:10" ht="45.95" customHeight="1">
      <c r="A46" s="41" t="e">
        <f>IF(발령대장_입력!#REF!="","",발령대장_입력!#REF!)</f>
        <v>#REF!</v>
      </c>
      <c r="B46" s="8" t="e">
        <f>IF($A46="","",IF(기본설정·안내!$B$4="","",기본설정·안내!$B$4))</f>
        <v>#REF!</v>
      </c>
      <c r="C46" s="8" t="e">
        <f>IF($A46="","",IF(발령대장_입력!#REF!="",발령대장_입력!#REF!,발령대장_입력!#REF!&amp;CHAR(10)&amp;"("&amp;발령대장_입력!#REF!&amp;")"))</f>
        <v>#REF!</v>
      </c>
      <c r="D46" s="8" t="e">
        <f>IF($A46="","",발령대장_입력!#REF!)</f>
        <v>#REF!</v>
      </c>
      <c r="E46" s="8" t="e">
        <f>IF($A46="","",발령대장_입력!#REF!&amp;"에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46" s="8" t="e">
        <f>IF($A46="","",IF(기본설정·안내!$B$5="","",기본설정·안내!$B$5))</f>
        <v>#REF!</v>
      </c>
      <c r="G46" s="8" t="e">
        <f>IF($A46="","",IF(기본설정·안내!$B$6="","",기본설정·안내!$B$6))</f>
        <v>#REF!</v>
      </c>
      <c r="H46" s="8" t="e">
        <f>IF($A46="","",IF(기본설정·안내!$B$7="","",기본설정·안내!$B$7))</f>
        <v>#REF!</v>
      </c>
      <c r="I46" s="8" t="e">
        <f>IF($A46="","",IF(기본설정·안내!$B$8="","",기본설정·안내!$B$8))</f>
        <v>#REF!</v>
      </c>
      <c r="J46" s="8" t="e">
        <f>IF($A46="","",IF(기본설정·안내!$B$9="","",기본설정·안내!$B$9))</f>
        <v>#REF!</v>
      </c>
    </row>
    <row r="47" spans="1:10" ht="45.95" customHeight="1">
      <c r="A47" s="41" t="e">
        <f>IF(발령대장_입력!#REF!="","",발령대장_입력!#REF!)</f>
        <v>#REF!</v>
      </c>
      <c r="B47" s="8" t="e">
        <f>IF($A47="","",IF(기본설정·안내!$B$4="","",기본설정·안내!$B$4))</f>
        <v>#REF!</v>
      </c>
      <c r="C47" s="8" t="e">
        <f>IF($A47="","",IF(발령대장_입력!#REF!="",발령대장_입력!#REF!,발령대장_입력!#REF!&amp;CHAR(10)&amp;"("&amp;발령대장_입력!#REF!&amp;")"))</f>
        <v>#REF!</v>
      </c>
      <c r="D47" s="8" t="e">
        <f>IF($A47="","",발령대장_입력!#REF!)</f>
        <v>#REF!</v>
      </c>
      <c r="E47" s="8" t="e">
        <f>IF($A47="","",발령대장_입력!#REF!&amp;"에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47" s="8" t="e">
        <f>IF($A47="","",IF(기본설정·안내!$B$5="","",기본설정·안내!$B$5))</f>
        <v>#REF!</v>
      </c>
      <c r="G47" s="8" t="e">
        <f>IF($A47="","",IF(기본설정·안내!$B$6="","",기본설정·안내!$B$6))</f>
        <v>#REF!</v>
      </c>
      <c r="H47" s="8" t="e">
        <f>IF($A47="","",IF(기본설정·안내!$B$7="","",기본설정·안내!$B$7))</f>
        <v>#REF!</v>
      </c>
      <c r="I47" s="8" t="e">
        <f>IF($A47="","",IF(기본설정·안내!$B$8="","",기본설정·안내!$B$8))</f>
        <v>#REF!</v>
      </c>
      <c r="J47" s="8" t="e">
        <f>IF($A47="","",IF(기본설정·안내!$B$9="","",기본설정·안내!$B$9))</f>
        <v>#REF!</v>
      </c>
    </row>
    <row r="48" spans="1:10" ht="45.95" customHeight="1">
      <c r="A48" s="41" t="str">
        <f>IF(발령대장_입력!$C45="","",발령대장_입력!$E45)</f>
        <v/>
      </c>
      <c r="B48" s="8" t="str">
        <f>IF($A48="","",IF(기본설정·안내!$B$4="","",기본설정·안내!$B$4))</f>
        <v/>
      </c>
      <c r="C48" s="8" t="str">
        <f>IF($A48="","",IF(발령대장_입력!$B45="",발령대장_입력!$A45,발령대장_입력!$A45&amp;CHAR(10)&amp;"("&amp;발령대장_입력!$B45&amp;")"))</f>
        <v/>
      </c>
      <c r="D48" s="8" t="str">
        <f>IF($A48="","",발령대장_입력!$C45)</f>
        <v/>
      </c>
      <c r="E48" s="8" t="str">
        <f>IF($A48="","",발령대장_입력!$A45&amp;"에 임함"&amp;IF(발령대장_입력!$B45="","",CHAR(10)&amp;"("&amp;발령대장_입력!$B45&amp;")")&amp;IF(발령대장_입력!$G45="","",CHAR(10)&amp;"("&amp;SUBSTITUTE(SUBSTITUTE(발령대장_입력!$G45,"호봉","")," ","")&amp;")호봉을 급함")&amp;CHAR(10)&amp;"임용기간: "&amp;YEAR(발령대장_입력!$E45)&amp;"."&amp;MONTH(발령대장_입력!$E45)&amp;"."&amp;DAY(발령대장_입력!$E45)&amp;"."&amp;" ~ "&amp;YEAR(발령대장_입력!$F45)&amp;"."&amp;MONTH(발령대장_입력!$F45)&amp;"."&amp;DAY(발령대장_입력!$F45)&amp;".")</f>
        <v/>
      </c>
      <c r="F48" s="8" t="str">
        <f>IF($A48="","",IF(기본설정·안내!$B$5="","",기본설정·안내!$B$5))</f>
        <v/>
      </c>
      <c r="G48" s="8" t="str">
        <f>IF($A48="","",IF(기본설정·안내!$B$6="","",기본설정·안내!$B$6))</f>
        <v/>
      </c>
      <c r="H48" s="8" t="str">
        <f>IF($A48="","",IF(기본설정·안내!$B$7="","",기본설정·안내!$B$7))</f>
        <v/>
      </c>
      <c r="I48" s="8" t="str">
        <f>IF($A48="","",IF(기본설정·안내!$B$8="","",기본설정·안내!$B$8))</f>
        <v/>
      </c>
      <c r="J48" s="8" t="str">
        <f>IF($A48="","",IF(기본설정·안내!$B$9="","",기본설정·안내!$B$9))</f>
        <v/>
      </c>
    </row>
    <row r="49" spans="1:10" ht="45.95" customHeight="1">
      <c r="A49" s="41" t="str">
        <f>IF(발령대장_입력!$C46="","",발령대장_입력!$E46)</f>
        <v/>
      </c>
      <c r="B49" s="8" t="str">
        <f>IF($A49="","",IF(기본설정·안내!$B$4="","",기본설정·안내!$B$4))</f>
        <v/>
      </c>
      <c r="C49" s="8" t="str">
        <f>IF($A49="","",IF(발령대장_입력!$B46="",발령대장_입력!$A46,발령대장_입력!$A46&amp;CHAR(10)&amp;"("&amp;발령대장_입력!$B46&amp;")"))</f>
        <v/>
      </c>
      <c r="D49" s="8" t="str">
        <f>IF($A49="","",발령대장_입력!$C46)</f>
        <v/>
      </c>
      <c r="E49" s="8" t="str">
        <f>IF($A49="","",발령대장_입력!$A46&amp;"에 임함"&amp;IF(발령대장_입력!$B46="","",CHAR(10)&amp;"("&amp;발령대장_입력!$B46&amp;")")&amp;IF(발령대장_입력!$G46="","",CHAR(10)&amp;"("&amp;SUBSTITUTE(SUBSTITUTE(발령대장_입력!$G46,"호봉","")," ","")&amp;")호봉을 급함")&amp;CHAR(10)&amp;"임용기간: "&amp;YEAR(발령대장_입력!$E46)&amp;"."&amp;MONTH(발령대장_입력!$E46)&amp;"."&amp;DAY(발령대장_입력!$E46)&amp;"."&amp;" ~ "&amp;YEAR(발령대장_입력!$F46)&amp;"."&amp;MONTH(발령대장_입력!$F46)&amp;"."&amp;DAY(발령대장_입력!$F46)&amp;".")</f>
        <v/>
      </c>
      <c r="F49" s="8" t="str">
        <f>IF($A49="","",IF(기본설정·안내!$B$5="","",기본설정·안내!$B$5))</f>
        <v/>
      </c>
      <c r="G49" s="8" t="str">
        <f>IF($A49="","",IF(기본설정·안내!$B$6="","",기본설정·안내!$B$6))</f>
        <v/>
      </c>
      <c r="H49" s="8" t="str">
        <f>IF($A49="","",IF(기본설정·안내!$B$7="","",기본설정·안내!$B$7))</f>
        <v/>
      </c>
      <c r="I49" s="8" t="str">
        <f>IF($A49="","",IF(기본설정·안내!$B$8="","",기본설정·안내!$B$8))</f>
        <v/>
      </c>
      <c r="J49" s="8" t="str">
        <f>IF($A49="","",IF(기본설정·안내!$B$9="","",기본설정·안내!$B$9))</f>
        <v/>
      </c>
    </row>
    <row r="50" spans="1:10" ht="45.95" customHeight="1">
      <c r="A50" s="41" t="str">
        <f>IF(발령대장_입력!$C47="","",발령대장_입력!$E47)</f>
        <v/>
      </c>
      <c r="B50" s="8" t="str">
        <f>IF($A50="","",IF(기본설정·안내!$B$4="","",기본설정·안내!$B$4))</f>
        <v/>
      </c>
      <c r="C50" s="8" t="str">
        <f>IF($A50="","",IF(발령대장_입력!$B47="",발령대장_입력!$A47,발령대장_입력!$A47&amp;CHAR(10)&amp;"("&amp;발령대장_입력!$B47&amp;")"))</f>
        <v/>
      </c>
      <c r="D50" s="8" t="str">
        <f>IF($A50="","",발령대장_입력!$C47)</f>
        <v/>
      </c>
      <c r="E50" s="8" t="str">
        <f>IF($A50="","",발령대장_입력!$A47&amp;"에 임함"&amp;IF(발령대장_입력!$B47="","",CHAR(10)&amp;"("&amp;발령대장_입력!$B47&amp;")")&amp;IF(발령대장_입력!$G47="","",CHAR(10)&amp;"("&amp;SUBSTITUTE(SUBSTITUTE(발령대장_입력!$G47,"호봉","")," ","")&amp;")호봉을 급함")&amp;CHAR(10)&amp;"임용기간: "&amp;YEAR(발령대장_입력!$E47)&amp;"."&amp;MONTH(발령대장_입력!$E47)&amp;"."&amp;DAY(발령대장_입력!$E47)&amp;"."&amp;" ~ "&amp;YEAR(발령대장_입력!$F47)&amp;"."&amp;MONTH(발령대장_입력!$F47)&amp;"."&amp;DAY(발령대장_입력!$F47)&amp;".")</f>
        <v/>
      </c>
      <c r="F50" s="8" t="str">
        <f>IF($A50="","",IF(기본설정·안내!$B$5="","",기본설정·안내!$B$5))</f>
        <v/>
      </c>
      <c r="G50" s="8" t="str">
        <f>IF($A50="","",IF(기본설정·안내!$B$6="","",기본설정·안내!$B$6))</f>
        <v/>
      </c>
      <c r="H50" s="8" t="str">
        <f>IF($A50="","",IF(기본설정·안내!$B$7="","",기본설정·안내!$B$7))</f>
        <v/>
      </c>
      <c r="I50" s="8" t="str">
        <f>IF($A50="","",IF(기본설정·안내!$B$8="","",기본설정·안내!$B$8))</f>
        <v/>
      </c>
      <c r="J50" s="8" t="str">
        <f>IF($A50="","",IF(기본설정·안내!$B$9="","",기본설정·안내!$B$9))</f>
        <v/>
      </c>
    </row>
    <row r="51" spans="1:10" ht="45.95" customHeight="1">
      <c r="A51" s="41" t="str">
        <f>IF(발령대장_입력!$C48="","",발령대장_입력!$E48)</f>
        <v/>
      </c>
      <c r="B51" s="8" t="str">
        <f>IF($A51="","",IF(기본설정·안내!$B$4="","",기본설정·안내!$B$4))</f>
        <v/>
      </c>
      <c r="C51" s="8" t="str">
        <f>IF($A51="","",IF(발령대장_입력!$B48="",발령대장_입력!$A48,발령대장_입력!$A48&amp;CHAR(10)&amp;"("&amp;발령대장_입력!$B48&amp;")"))</f>
        <v/>
      </c>
      <c r="D51" s="8" t="str">
        <f>IF($A51="","",발령대장_입력!$C48)</f>
        <v/>
      </c>
      <c r="E51" s="8" t="str">
        <f>IF($A51="","",발령대장_입력!$A48&amp;"에 임함"&amp;IF(발령대장_입력!$B48="","",CHAR(10)&amp;"("&amp;발령대장_입력!$B48&amp;")")&amp;IF(발령대장_입력!$G48="","",CHAR(10)&amp;"("&amp;SUBSTITUTE(SUBSTITUTE(발령대장_입력!$G48,"호봉","")," ","")&amp;")호봉을 급함")&amp;CHAR(10)&amp;"임용기간: "&amp;YEAR(발령대장_입력!$E48)&amp;"."&amp;MONTH(발령대장_입력!$E48)&amp;"."&amp;DAY(발령대장_입력!$E48)&amp;"."&amp;" ~ "&amp;YEAR(발령대장_입력!$F48)&amp;"."&amp;MONTH(발령대장_입력!$F48)&amp;"."&amp;DAY(발령대장_입력!$F48)&amp;".")</f>
        <v/>
      </c>
      <c r="F51" s="8" t="str">
        <f>IF($A51="","",IF(기본설정·안내!$B$5="","",기본설정·안내!$B$5))</f>
        <v/>
      </c>
      <c r="G51" s="8" t="str">
        <f>IF($A51="","",IF(기본설정·안내!$B$6="","",기본설정·안내!$B$6))</f>
        <v/>
      </c>
      <c r="H51" s="8" t="str">
        <f>IF($A51="","",IF(기본설정·안내!$B$7="","",기본설정·안내!$B$7))</f>
        <v/>
      </c>
      <c r="I51" s="8" t="str">
        <f>IF($A51="","",IF(기본설정·안내!$B$8="","",기본설정·안내!$B$8))</f>
        <v/>
      </c>
      <c r="J51" s="8" t="str">
        <f>IF($A51="","",IF(기본설정·안내!$B$9="","",기본설정·안내!$B$9))</f>
        <v/>
      </c>
    </row>
    <row r="52" spans="1:10" ht="45.95" customHeight="1">
      <c r="A52" s="41" t="str">
        <f>IF(발령대장_입력!$C49="","",발령대장_입력!$E49)</f>
        <v/>
      </c>
      <c r="B52" s="8" t="str">
        <f>IF($A52="","",IF(기본설정·안내!$B$4="","",기본설정·안내!$B$4))</f>
        <v/>
      </c>
      <c r="C52" s="8" t="str">
        <f>IF($A52="","",IF(발령대장_입력!$B49="",발령대장_입력!$A49,발령대장_입력!$A49&amp;CHAR(10)&amp;"("&amp;발령대장_입력!$B49&amp;")"))</f>
        <v/>
      </c>
      <c r="D52" s="8" t="str">
        <f>IF($A52="","",발령대장_입력!$C49)</f>
        <v/>
      </c>
      <c r="E52" s="8" t="str">
        <f>IF($A52="","",발령대장_입력!$A49&amp;"에 임함"&amp;IF(발령대장_입력!$B49="","",CHAR(10)&amp;"("&amp;발령대장_입력!$B49&amp;")")&amp;IF(발령대장_입력!$G49="","",CHAR(10)&amp;"("&amp;SUBSTITUTE(SUBSTITUTE(발령대장_입력!$G49,"호봉","")," ","")&amp;")호봉을 급함")&amp;CHAR(10)&amp;"임용기간: "&amp;YEAR(발령대장_입력!$E49)&amp;"."&amp;MONTH(발령대장_입력!$E49)&amp;"."&amp;DAY(발령대장_입력!$E49)&amp;"."&amp;" ~ "&amp;YEAR(발령대장_입력!$F49)&amp;"."&amp;MONTH(발령대장_입력!$F49)&amp;"."&amp;DAY(발령대장_입력!$F49)&amp;".")</f>
        <v/>
      </c>
      <c r="F52" s="8" t="str">
        <f>IF($A52="","",IF(기본설정·안내!$B$5="","",기본설정·안내!$B$5))</f>
        <v/>
      </c>
      <c r="G52" s="8" t="str">
        <f>IF($A52="","",IF(기본설정·안내!$B$6="","",기본설정·안내!$B$6))</f>
        <v/>
      </c>
      <c r="H52" s="8" t="str">
        <f>IF($A52="","",IF(기본설정·안내!$B$7="","",기본설정·안내!$B$7))</f>
        <v/>
      </c>
      <c r="I52" s="8" t="str">
        <f>IF($A52="","",IF(기본설정·안내!$B$8="","",기본설정·안내!$B$8))</f>
        <v/>
      </c>
      <c r="J52" s="8" t="str">
        <f>IF($A52="","",IF(기본설정·안내!$B$9="","",기본설정·안내!$B$9))</f>
        <v/>
      </c>
    </row>
    <row r="53" spans="1:10" ht="45.95" customHeight="1">
      <c r="A53" s="41" t="str">
        <f>IF(발령대장_입력!$C50="","",발령대장_입력!$E50)</f>
        <v/>
      </c>
      <c r="B53" s="8" t="str">
        <f>IF($A53="","",IF(기본설정·안내!$B$4="","",기본설정·안내!$B$4))</f>
        <v/>
      </c>
      <c r="C53" s="8" t="str">
        <f>IF($A53="","",IF(발령대장_입력!$B50="",발령대장_입력!$A50,발령대장_입력!$A50&amp;CHAR(10)&amp;"("&amp;발령대장_입력!$B50&amp;")"))</f>
        <v/>
      </c>
      <c r="D53" s="8" t="str">
        <f>IF($A53="","",발령대장_입력!$C50)</f>
        <v/>
      </c>
      <c r="E53" s="8" t="str">
        <f>IF($A53="","",발령대장_입력!$A50&amp;"에 임함"&amp;IF(발령대장_입력!$B50="","",CHAR(10)&amp;"("&amp;발령대장_입력!$B50&amp;")")&amp;IF(발령대장_입력!$G50="","",CHAR(10)&amp;"("&amp;SUBSTITUTE(SUBSTITUTE(발령대장_입력!$G50,"호봉","")," ","")&amp;")호봉을 급함")&amp;CHAR(10)&amp;"임용기간: "&amp;YEAR(발령대장_입력!$E50)&amp;"."&amp;MONTH(발령대장_입력!$E50)&amp;"."&amp;DAY(발령대장_입력!$E50)&amp;"."&amp;" ~ "&amp;YEAR(발령대장_입력!$F50)&amp;"."&amp;MONTH(발령대장_입력!$F50)&amp;"."&amp;DAY(발령대장_입력!$F50)&amp;".")</f>
        <v/>
      </c>
      <c r="F53" s="8" t="str">
        <f>IF($A53="","",IF(기본설정·안내!$B$5="","",기본설정·안내!$B$5))</f>
        <v/>
      </c>
      <c r="G53" s="8" t="str">
        <f>IF($A53="","",IF(기본설정·안내!$B$6="","",기본설정·안내!$B$6))</f>
        <v/>
      </c>
      <c r="H53" s="8" t="str">
        <f>IF($A53="","",IF(기본설정·안내!$B$7="","",기본설정·안내!$B$7))</f>
        <v/>
      </c>
      <c r="I53" s="8" t="str">
        <f>IF($A53="","",IF(기본설정·안내!$B$8="","",기본설정·안내!$B$8))</f>
        <v/>
      </c>
      <c r="J53" s="8" t="str">
        <f>IF($A53="","",IF(기본설정·안내!$B$9="","",기본설정·안내!$B$9))</f>
        <v/>
      </c>
    </row>
    <row r="54" spans="1:10" ht="45.95" customHeight="1">
      <c r="A54" s="41" t="str">
        <f>IF(발령대장_입력!$C51="","",발령대장_입력!$E51)</f>
        <v/>
      </c>
      <c r="B54" s="8" t="str">
        <f>IF($A54="","",IF(기본설정·안내!$B$4="","",기본설정·안내!$B$4))</f>
        <v/>
      </c>
      <c r="C54" s="8" t="str">
        <f>IF($A54="","",IF(발령대장_입력!$B51="",발령대장_입력!$A51,발령대장_입력!$A51&amp;CHAR(10)&amp;"("&amp;발령대장_입력!$B51&amp;")"))</f>
        <v/>
      </c>
      <c r="D54" s="8" t="str">
        <f>IF($A54="","",발령대장_입력!$C51)</f>
        <v/>
      </c>
      <c r="E54" s="8" t="str">
        <f>IF($A54="","",발령대장_입력!$A51&amp;"에 임함"&amp;IF(발령대장_입력!$B51="","",CHAR(10)&amp;"("&amp;발령대장_입력!$B51&amp;")")&amp;IF(발령대장_입력!$G51="","",CHAR(10)&amp;"("&amp;SUBSTITUTE(SUBSTITUTE(발령대장_입력!$G51,"호봉","")," ","")&amp;")호봉을 급함")&amp;CHAR(10)&amp;"임용기간: "&amp;YEAR(발령대장_입력!$E51)&amp;"."&amp;MONTH(발령대장_입력!$E51)&amp;"."&amp;DAY(발령대장_입력!$E51)&amp;"."&amp;" ~ "&amp;YEAR(발령대장_입력!$F51)&amp;"."&amp;MONTH(발령대장_입력!$F51)&amp;"."&amp;DAY(발령대장_입력!$F51)&amp;".")</f>
        <v/>
      </c>
      <c r="F54" s="8" t="str">
        <f>IF($A54="","",IF(기본설정·안내!$B$5="","",기본설정·안내!$B$5))</f>
        <v/>
      </c>
      <c r="G54" s="8" t="str">
        <f>IF($A54="","",IF(기본설정·안내!$B$6="","",기본설정·안내!$B$6))</f>
        <v/>
      </c>
      <c r="H54" s="8" t="str">
        <f>IF($A54="","",IF(기본설정·안내!$B$7="","",기본설정·안내!$B$7))</f>
        <v/>
      </c>
      <c r="I54" s="8" t="str">
        <f>IF($A54="","",IF(기본설정·안내!$B$8="","",기본설정·안내!$B$8))</f>
        <v/>
      </c>
      <c r="J54" s="8" t="str">
        <f>IF($A54="","",IF(기본설정·안내!$B$9="","",기본설정·안내!$B$9))</f>
        <v/>
      </c>
    </row>
    <row r="55" spans="1:10">
      <c r="A55" s="42" t="str">
        <f>IF(발령대장_입력!$C52="","",발령대장_입력!$E52)</f>
        <v/>
      </c>
      <c r="B55" t="str">
        <f>IF($A55="","",IF(기본설정·안내!$B$4="","",기본설정·안내!$B$4))</f>
        <v/>
      </c>
      <c r="C55" t="str">
        <f>IF($A55="","",IF(발령대장_입력!$B52="",발령대장_입력!$A52,발령대장_입력!$A52&amp;CHAR(10)&amp;"("&amp;발령대장_입력!$B52&amp;")"))</f>
        <v/>
      </c>
      <c r="D55" t="str">
        <f>IF($A55="","",발령대장_입력!$C52)</f>
        <v/>
      </c>
      <c r="E55" t="str">
        <f>IF($A55="","",발령대장_입력!$A52&amp;"에 임함"&amp;IF(발령대장_입력!$B52="","",CHAR(10)&amp;"("&amp;발령대장_입력!$B52&amp;")")&amp;IF(발령대장_입력!$G52="","",CHAR(10)&amp;"("&amp;SUBSTITUTE(SUBSTITUTE(발령대장_입력!$G52,"호봉","")," ","")&amp;")호봉을 급함")&amp;CHAR(10)&amp;"임용기간: "&amp;YEAR(발령대장_입력!$E52)&amp;"."&amp;MONTH(발령대장_입력!$E52)&amp;"."&amp;DAY(발령대장_입력!$E52)&amp;"."&amp;" ~ "&amp;YEAR(발령대장_입력!$F52)&amp;"."&amp;MONTH(발령대장_입력!$F52)&amp;"."&amp;DAY(발령대장_입력!$F52)&amp;".")</f>
        <v/>
      </c>
      <c r="F55" t="str">
        <f>IF($A55="","",IF(기본설정·안내!$B$5="","",기본설정·안내!$B$5))</f>
        <v/>
      </c>
      <c r="G55" t="str">
        <f>IF($A55="","",IF(기본설정·안내!$B$6="","",기본설정·안내!$B$6))</f>
        <v/>
      </c>
      <c r="H55" t="str">
        <f>IF($A55="","",IF(기본설정·안내!$B$7="","",기본설정·안내!$B$7))</f>
        <v/>
      </c>
      <c r="I55" t="str">
        <f>IF($A55="","",IF(기본설정·안내!$B$8="","",기본설정·안내!$B$8))</f>
        <v/>
      </c>
      <c r="J55" t="str">
        <f>IF($A55="","",IF(기본설정·안내!$B$9="","",기본설정·안내!$B$9))</f>
        <v/>
      </c>
    </row>
    <row r="56" spans="1:10">
      <c r="A56" s="42" t="str">
        <f>IF(발령대장_입력!$C53="","",발령대장_입력!$E53)</f>
        <v/>
      </c>
      <c r="B56" t="str">
        <f>IF($A56="","",IF(기본설정·안내!$B$4="","",기본설정·안내!$B$4))</f>
        <v/>
      </c>
      <c r="C56" t="str">
        <f>IF($A56="","",IF(발령대장_입력!$B53="",발령대장_입력!$A53,발령대장_입력!$A53&amp;CHAR(10)&amp;"("&amp;발령대장_입력!$B53&amp;")"))</f>
        <v/>
      </c>
      <c r="D56" t="str">
        <f>IF($A56="","",발령대장_입력!$C53)</f>
        <v/>
      </c>
      <c r="E56" t="str">
        <f>IF($A56="","",발령대장_입력!$A53&amp;"에 임함"&amp;IF(발령대장_입력!$B53="","",CHAR(10)&amp;"("&amp;발령대장_입력!$B53&amp;")")&amp;IF(발령대장_입력!$G53="","",CHAR(10)&amp;"("&amp;SUBSTITUTE(SUBSTITUTE(발령대장_입력!$G53,"호봉","")," ","")&amp;")호봉을 급함")&amp;CHAR(10)&amp;"임용기간: "&amp;YEAR(발령대장_입력!$E53)&amp;"."&amp;MONTH(발령대장_입력!$E53)&amp;"."&amp;DAY(발령대장_입력!$E53)&amp;"."&amp;" ~ "&amp;YEAR(발령대장_입력!$F53)&amp;"."&amp;MONTH(발령대장_입력!$F53)&amp;"."&amp;DAY(발령대장_입력!$F53)&amp;".")</f>
        <v/>
      </c>
      <c r="F56" t="str">
        <f>IF($A56="","",IF(기본설정·안내!$B$5="","",기본설정·안내!$B$5))</f>
        <v/>
      </c>
      <c r="G56" t="str">
        <f>IF($A56="","",IF(기본설정·안내!$B$6="","",기본설정·안내!$B$6))</f>
        <v/>
      </c>
      <c r="H56" t="str">
        <f>IF($A56="","",IF(기본설정·안내!$B$7="","",기본설정·안내!$B$7))</f>
        <v/>
      </c>
      <c r="I56" t="str">
        <f>IF($A56="","",IF(기본설정·안내!$B$8="","",기본설정·안내!$B$8))</f>
        <v/>
      </c>
      <c r="J56" t="str">
        <f>IF($A56="","",IF(기본설정·안내!$B$9="","",기본설정·안내!$B$9))</f>
        <v/>
      </c>
    </row>
    <row r="57" spans="1:10">
      <c r="A57" s="42" t="str">
        <f>IF(발령대장_입력!$C54="","",발령대장_입력!$E54)</f>
        <v/>
      </c>
      <c r="B57" t="str">
        <f>IF($A57="","",IF(기본설정·안내!$B$4="","",기본설정·안내!$B$4))</f>
        <v/>
      </c>
      <c r="C57" t="str">
        <f>IF($A57="","",IF(발령대장_입력!$B54="",발령대장_입력!$A54,발령대장_입력!$A54&amp;CHAR(10)&amp;"("&amp;발령대장_입력!$B54&amp;")"))</f>
        <v/>
      </c>
      <c r="D57" t="str">
        <f>IF($A57="","",발령대장_입력!$C54)</f>
        <v/>
      </c>
      <c r="E57" t="str">
        <f>IF($A57="","",발령대장_입력!$A54&amp;"에 임함"&amp;IF(발령대장_입력!$B54="","",CHAR(10)&amp;"("&amp;발령대장_입력!$B54&amp;")")&amp;IF(발령대장_입력!$G54="","",CHAR(10)&amp;"("&amp;SUBSTITUTE(SUBSTITUTE(발령대장_입력!$G54,"호봉","")," ","")&amp;")호봉을 급함")&amp;CHAR(10)&amp;"임용기간: "&amp;YEAR(발령대장_입력!$E54)&amp;"."&amp;MONTH(발령대장_입력!$E54)&amp;"."&amp;DAY(발령대장_입력!$E54)&amp;"."&amp;" ~ "&amp;YEAR(발령대장_입력!$F54)&amp;"."&amp;MONTH(발령대장_입력!$F54)&amp;"."&amp;DAY(발령대장_입력!$F54)&amp;".")</f>
        <v/>
      </c>
      <c r="F57" t="str">
        <f>IF($A57="","",IF(기본설정·안내!$B$5="","",기본설정·안내!$B$5))</f>
        <v/>
      </c>
      <c r="G57" t="str">
        <f>IF($A57="","",IF(기본설정·안내!$B$6="","",기본설정·안내!$B$6))</f>
        <v/>
      </c>
      <c r="H57" t="str">
        <f>IF($A57="","",IF(기본설정·안내!$B$7="","",기본설정·안내!$B$7))</f>
        <v/>
      </c>
      <c r="I57" t="str">
        <f>IF($A57="","",IF(기본설정·안내!$B$8="","",기본설정·안내!$B$8))</f>
        <v/>
      </c>
      <c r="J57" t="str">
        <f>IF($A57="","",IF(기본설정·안내!$B$9="","",기본설정·안내!$B$9))</f>
        <v/>
      </c>
    </row>
    <row r="58" spans="1:10">
      <c r="A58" s="42" t="str">
        <f>IF(발령대장_입력!$C55="","",발령대장_입력!$E55)</f>
        <v/>
      </c>
      <c r="B58" t="str">
        <f>IF($A58="","",IF(기본설정·안내!$B$4="","",기본설정·안내!$B$4))</f>
        <v/>
      </c>
      <c r="C58" t="str">
        <f>IF($A58="","",IF(발령대장_입력!$B55="",발령대장_입력!$A55,발령대장_입력!$A55&amp;CHAR(10)&amp;"("&amp;발령대장_입력!$B55&amp;")"))</f>
        <v/>
      </c>
      <c r="D58" t="str">
        <f>IF($A58="","",발령대장_입력!$C55)</f>
        <v/>
      </c>
      <c r="E58" t="str">
        <f>IF($A58="","",발령대장_입력!$A55&amp;"에 임함"&amp;IF(발령대장_입력!$B55="","",CHAR(10)&amp;"("&amp;발령대장_입력!$B55&amp;")")&amp;IF(발령대장_입력!$G55="","",CHAR(10)&amp;"("&amp;SUBSTITUTE(SUBSTITUTE(발령대장_입력!$G55,"호봉","")," ","")&amp;")호봉을 급함")&amp;CHAR(10)&amp;"임용기간: "&amp;YEAR(발령대장_입력!$E55)&amp;"."&amp;MONTH(발령대장_입력!$E55)&amp;"."&amp;DAY(발령대장_입력!$E55)&amp;"."&amp;" ~ "&amp;YEAR(발령대장_입력!$F55)&amp;"."&amp;MONTH(발령대장_입력!$F55)&amp;"."&amp;DAY(발령대장_입력!$F55)&amp;".")</f>
        <v/>
      </c>
      <c r="F58" t="str">
        <f>IF($A58="","",IF(기본설정·안내!$B$5="","",기본설정·안내!$B$5))</f>
        <v/>
      </c>
      <c r="G58" t="str">
        <f>IF($A58="","",IF(기본설정·안내!$B$6="","",기본설정·안내!$B$6))</f>
        <v/>
      </c>
      <c r="H58" t="str">
        <f>IF($A58="","",IF(기본설정·안내!$B$7="","",기본설정·안내!$B$7))</f>
        <v/>
      </c>
      <c r="I58" t="str">
        <f>IF($A58="","",IF(기본설정·안내!$B$8="","",기본설정·안내!$B$8))</f>
        <v/>
      </c>
      <c r="J58" t="str">
        <f>IF($A58="","",IF(기본설정·안내!$B$9="","",기본설정·안내!$B$9))</f>
        <v/>
      </c>
    </row>
    <row r="59" spans="1:10">
      <c r="A59" s="42" t="str">
        <f>IF(발령대장_입력!$C56="","",발령대장_입력!$E56)</f>
        <v/>
      </c>
      <c r="B59" t="str">
        <f>IF($A59="","",IF(기본설정·안내!$B$4="","",기본설정·안내!$B$4))</f>
        <v/>
      </c>
      <c r="C59" t="str">
        <f>IF($A59="","",IF(발령대장_입력!$B56="",발령대장_입력!$A56,발령대장_입력!$A56&amp;CHAR(10)&amp;"("&amp;발령대장_입력!$B56&amp;")"))</f>
        <v/>
      </c>
      <c r="D59" t="str">
        <f>IF($A59="","",발령대장_입력!$C56)</f>
        <v/>
      </c>
      <c r="E59" t="str">
        <f>IF($A59="","",발령대장_입력!$A56&amp;"에 임함"&amp;IF(발령대장_입력!$B56="","",CHAR(10)&amp;"("&amp;발령대장_입력!$B56&amp;")")&amp;IF(발령대장_입력!$G56="","",CHAR(10)&amp;"("&amp;SUBSTITUTE(SUBSTITUTE(발령대장_입력!$G56,"호봉","")," ","")&amp;")호봉을 급함")&amp;CHAR(10)&amp;"임용기간: "&amp;YEAR(발령대장_입력!$E56)&amp;"."&amp;MONTH(발령대장_입력!$E56)&amp;"."&amp;DAY(발령대장_입력!$E56)&amp;"."&amp;" ~ "&amp;YEAR(발령대장_입력!$F56)&amp;"."&amp;MONTH(발령대장_입력!$F56)&amp;"."&amp;DAY(발령대장_입력!$F56)&amp;".")</f>
        <v/>
      </c>
      <c r="F59" t="str">
        <f>IF($A59="","",IF(기본설정·안내!$B$5="","",기본설정·안내!$B$5))</f>
        <v/>
      </c>
      <c r="G59" t="str">
        <f>IF($A59="","",IF(기본설정·안내!$B$6="","",기본설정·안내!$B$6))</f>
        <v/>
      </c>
      <c r="H59" t="str">
        <f>IF($A59="","",IF(기본설정·안내!$B$7="","",기본설정·안내!$B$7))</f>
        <v/>
      </c>
      <c r="I59" t="str">
        <f>IF($A59="","",IF(기본설정·안내!$B$8="","",기본설정·안내!$B$8))</f>
        <v/>
      </c>
      <c r="J59" t="str">
        <f>IF($A59="","",IF(기본설정·안내!$B$9="","",기본설정·안내!$B$9))</f>
        <v/>
      </c>
    </row>
    <row r="60" spans="1:10">
      <c r="A60" s="42" t="str">
        <f>IF(발령대장_입력!$C57="","",발령대장_입력!$E57)</f>
        <v/>
      </c>
      <c r="B60" t="str">
        <f>IF($A60="","",IF(기본설정·안내!$B$4="","",기본설정·안내!$B$4))</f>
        <v/>
      </c>
      <c r="C60" t="str">
        <f>IF($A60="","",IF(발령대장_입력!$B57="",발령대장_입력!$A57,발령대장_입력!$A57&amp;CHAR(10)&amp;"("&amp;발령대장_입력!$B57&amp;")"))</f>
        <v/>
      </c>
      <c r="D60" t="str">
        <f>IF($A60="","",발령대장_입력!$C57)</f>
        <v/>
      </c>
      <c r="E60" t="str">
        <f>IF($A60="","",발령대장_입력!$A57&amp;"에 임함"&amp;IF(발령대장_입력!$B57="","",CHAR(10)&amp;"("&amp;발령대장_입력!$B57&amp;")")&amp;IF(발령대장_입력!$G57="","",CHAR(10)&amp;"("&amp;SUBSTITUTE(SUBSTITUTE(발령대장_입력!$G57,"호봉","")," ","")&amp;")호봉을 급함")&amp;CHAR(10)&amp;"임용기간: "&amp;YEAR(발령대장_입력!$E57)&amp;"."&amp;MONTH(발령대장_입력!$E57)&amp;"."&amp;DAY(발령대장_입력!$E57)&amp;"."&amp;" ~ "&amp;YEAR(발령대장_입력!$F57)&amp;"."&amp;MONTH(발령대장_입력!$F57)&amp;"."&amp;DAY(발령대장_입력!$F57)&amp;".")</f>
        <v/>
      </c>
      <c r="F60" t="str">
        <f>IF($A60="","",IF(기본설정·안내!$B$5="","",기본설정·안내!$B$5))</f>
        <v/>
      </c>
      <c r="G60" t="str">
        <f>IF($A60="","",IF(기본설정·안내!$B$6="","",기본설정·안내!$B$6))</f>
        <v/>
      </c>
      <c r="H60" t="str">
        <f>IF($A60="","",IF(기본설정·안내!$B$7="","",기본설정·안내!$B$7))</f>
        <v/>
      </c>
      <c r="I60" t="str">
        <f>IF($A60="","",IF(기본설정·안내!$B$8="","",기본설정·안내!$B$8))</f>
        <v/>
      </c>
      <c r="J60" t="str">
        <f>IF($A60="","",IF(기본설정·안내!$B$9="","",기본설정·안내!$B$9))</f>
        <v/>
      </c>
    </row>
    <row r="61" spans="1:10">
      <c r="A61" s="42" t="str">
        <f>IF(발령대장_입력!$C58="","",발령대장_입력!$E58)</f>
        <v/>
      </c>
      <c r="B61" t="str">
        <f>IF($A61="","",IF(기본설정·안내!$B$4="","",기본설정·안내!$B$4))</f>
        <v/>
      </c>
      <c r="C61" t="str">
        <f>IF($A61="","",IF(발령대장_입력!$B58="",발령대장_입력!$A58,발령대장_입력!$A58&amp;CHAR(10)&amp;"("&amp;발령대장_입력!$B58&amp;")"))</f>
        <v/>
      </c>
      <c r="D61" t="str">
        <f>IF($A61="","",발령대장_입력!$C58)</f>
        <v/>
      </c>
      <c r="E61" t="str">
        <f>IF($A61="","",발령대장_입력!$A58&amp;"에 임함"&amp;IF(발령대장_입력!$B58="","",CHAR(10)&amp;"("&amp;발령대장_입력!$B58&amp;")")&amp;IF(발령대장_입력!$G58="","",CHAR(10)&amp;"("&amp;SUBSTITUTE(SUBSTITUTE(발령대장_입력!$G58,"호봉","")," ","")&amp;")호봉을 급함")&amp;CHAR(10)&amp;"임용기간: "&amp;YEAR(발령대장_입력!$E58)&amp;"."&amp;MONTH(발령대장_입력!$E58)&amp;"."&amp;DAY(발령대장_입력!$E58)&amp;"."&amp;" ~ "&amp;YEAR(발령대장_입력!$F58)&amp;"."&amp;MONTH(발령대장_입력!$F58)&amp;"."&amp;DAY(발령대장_입력!$F58)&amp;".")</f>
        <v/>
      </c>
      <c r="F61" t="str">
        <f>IF($A61="","",IF(기본설정·안내!$B$5="","",기본설정·안내!$B$5))</f>
        <v/>
      </c>
      <c r="G61" t="str">
        <f>IF($A61="","",IF(기본설정·안내!$B$6="","",기본설정·안내!$B$6))</f>
        <v/>
      </c>
      <c r="H61" t="str">
        <f>IF($A61="","",IF(기본설정·안내!$B$7="","",기본설정·안내!$B$7))</f>
        <v/>
      </c>
      <c r="I61" t="str">
        <f>IF($A61="","",IF(기본설정·안내!$B$8="","",기본설정·안내!$B$8))</f>
        <v/>
      </c>
      <c r="J61" t="str">
        <f>IF($A61="","",IF(기본설정·안내!$B$9="","",기본설정·안내!$B$9))</f>
        <v/>
      </c>
    </row>
    <row r="62" spans="1:10">
      <c r="A62" s="42" t="str">
        <f>IF(발령대장_입력!$C59="","",발령대장_입력!$E59)</f>
        <v/>
      </c>
      <c r="B62" t="str">
        <f>IF($A62="","",IF(기본설정·안내!$B$4="","",기본설정·안내!$B$4))</f>
        <v/>
      </c>
      <c r="C62" t="str">
        <f>IF($A62="","",IF(발령대장_입력!$B59="",발령대장_입력!$A59,발령대장_입력!$A59&amp;CHAR(10)&amp;"("&amp;발령대장_입력!$B59&amp;")"))</f>
        <v/>
      </c>
      <c r="D62" t="str">
        <f>IF($A62="","",발령대장_입력!$C59)</f>
        <v/>
      </c>
      <c r="E62" t="str">
        <f>IF($A62="","",발령대장_입력!$A59&amp;"에 임함"&amp;IF(발령대장_입력!$B59="","",CHAR(10)&amp;"("&amp;발령대장_입력!$B59&amp;")")&amp;IF(발령대장_입력!$G59="","",CHAR(10)&amp;"("&amp;SUBSTITUTE(SUBSTITUTE(발령대장_입력!$G59,"호봉","")," ","")&amp;")호봉을 급함")&amp;CHAR(10)&amp;"임용기간: "&amp;YEAR(발령대장_입력!$E59)&amp;"."&amp;MONTH(발령대장_입력!$E59)&amp;"."&amp;DAY(발령대장_입력!$E59)&amp;"."&amp;" ~ "&amp;YEAR(발령대장_입력!$F59)&amp;"."&amp;MONTH(발령대장_입력!$F59)&amp;"."&amp;DAY(발령대장_입력!$F59)&amp;".")</f>
        <v/>
      </c>
      <c r="F62" t="str">
        <f>IF($A62="","",IF(기본설정·안내!$B$5="","",기본설정·안내!$B$5))</f>
        <v/>
      </c>
      <c r="G62" t="str">
        <f>IF($A62="","",IF(기본설정·안내!$B$6="","",기본설정·안내!$B$6))</f>
        <v/>
      </c>
      <c r="H62" t="str">
        <f>IF($A62="","",IF(기본설정·안내!$B$7="","",기본설정·안내!$B$7))</f>
        <v/>
      </c>
      <c r="I62" t="str">
        <f>IF($A62="","",IF(기본설정·안내!$B$8="","",기본설정·안내!$B$8))</f>
        <v/>
      </c>
      <c r="J62" t="str">
        <f>IF($A62="","",IF(기본설정·안내!$B$9="","",기본설정·안내!$B$9))</f>
        <v/>
      </c>
    </row>
    <row r="63" spans="1:10">
      <c r="A63" s="42" t="str">
        <f>IF(발령대장_입력!$C60="","",발령대장_입력!$E60)</f>
        <v/>
      </c>
      <c r="B63" t="str">
        <f>IF($A63="","",IF(기본설정·안내!$B$4="","",기본설정·안내!$B$4))</f>
        <v/>
      </c>
      <c r="C63" t="str">
        <f>IF($A63="","",IF(발령대장_입력!$B60="",발령대장_입력!$A60,발령대장_입력!$A60&amp;CHAR(10)&amp;"("&amp;발령대장_입력!$B60&amp;")"))</f>
        <v/>
      </c>
      <c r="D63" t="str">
        <f>IF($A63="","",발령대장_입력!$C60)</f>
        <v/>
      </c>
      <c r="E63" t="str">
        <f>IF($A63="","",발령대장_입력!$A60&amp;"에 임함"&amp;IF(발령대장_입력!$B60="","",CHAR(10)&amp;"("&amp;발령대장_입력!$B60&amp;")")&amp;IF(발령대장_입력!$G60="","",CHAR(10)&amp;"("&amp;SUBSTITUTE(SUBSTITUTE(발령대장_입력!$G60,"호봉","")," ","")&amp;")호봉을 급함")&amp;CHAR(10)&amp;"임용기간: "&amp;YEAR(발령대장_입력!$E60)&amp;"."&amp;MONTH(발령대장_입력!$E60)&amp;"."&amp;DAY(발령대장_입력!$E60)&amp;"."&amp;" ~ "&amp;YEAR(발령대장_입력!$F60)&amp;"."&amp;MONTH(발령대장_입력!$F60)&amp;"."&amp;DAY(발령대장_입력!$F60)&amp;".")</f>
        <v/>
      </c>
      <c r="F63" t="str">
        <f>IF($A63="","",IF(기본설정·안내!$B$5="","",기본설정·안내!$B$5))</f>
        <v/>
      </c>
      <c r="G63" t="str">
        <f>IF($A63="","",IF(기본설정·안내!$B$6="","",기본설정·안내!$B$6))</f>
        <v/>
      </c>
      <c r="H63" t="str">
        <f>IF($A63="","",IF(기본설정·안내!$B$7="","",기본설정·안내!$B$7))</f>
        <v/>
      </c>
      <c r="I63" t="str">
        <f>IF($A63="","",IF(기본설정·안내!$B$8="","",기본설정·안내!$B$8))</f>
        <v/>
      </c>
      <c r="J63" t="str">
        <f>IF($A63="","",IF(기본설정·안내!$B$9="","",기본설정·안내!$B$9))</f>
        <v/>
      </c>
    </row>
    <row r="64" spans="1:10">
      <c r="A64" s="42" t="str">
        <f>IF(발령대장_입력!$C61="","",발령대장_입력!$E61)</f>
        <v/>
      </c>
      <c r="B64" t="str">
        <f>IF($A64="","",IF(기본설정·안내!$B$4="","",기본설정·안내!$B$4))</f>
        <v/>
      </c>
      <c r="C64" t="str">
        <f>IF($A64="","",IF(발령대장_입력!$B61="",발령대장_입력!$A61,발령대장_입력!$A61&amp;CHAR(10)&amp;"("&amp;발령대장_입력!$B61&amp;")"))</f>
        <v/>
      </c>
      <c r="D64" t="str">
        <f>IF($A64="","",발령대장_입력!$C61)</f>
        <v/>
      </c>
      <c r="E64" t="str">
        <f>IF($A64="","",발령대장_입력!$A61&amp;"에 임함"&amp;IF(발령대장_입력!$B61="","",CHAR(10)&amp;"("&amp;발령대장_입력!$B61&amp;")")&amp;IF(발령대장_입력!$G61="","",CHAR(10)&amp;"("&amp;SUBSTITUTE(SUBSTITUTE(발령대장_입력!$G61,"호봉","")," ","")&amp;")호봉을 급함")&amp;CHAR(10)&amp;"임용기간: "&amp;YEAR(발령대장_입력!$E61)&amp;"."&amp;MONTH(발령대장_입력!$E61)&amp;"."&amp;DAY(발령대장_입력!$E61)&amp;"."&amp;" ~ "&amp;YEAR(발령대장_입력!$F61)&amp;"."&amp;MONTH(발령대장_입력!$F61)&amp;"."&amp;DAY(발령대장_입력!$F61)&amp;".")</f>
        <v/>
      </c>
      <c r="F64" t="str">
        <f>IF($A64="","",IF(기본설정·안내!$B$5="","",기본설정·안내!$B$5))</f>
        <v/>
      </c>
      <c r="G64" t="str">
        <f>IF($A64="","",IF(기본설정·안내!$B$6="","",기본설정·안내!$B$6))</f>
        <v/>
      </c>
      <c r="H64" t="str">
        <f>IF($A64="","",IF(기본설정·안내!$B$7="","",기본설정·안내!$B$7))</f>
        <v/>
      </c>
      <c r="I64" t="str">
        <f>IF($A64="","",IF(기본설정·안내!$B$8="","",기본설정·안내!$B$8))</f>
        <v/>
      </c>
      <c r="J64" t="str">
        <f>IF($A64="","",IF(기본설정·안내!$B$9="","",기본설정·안내!$B$9))</f>
        <v/>
      </c>
    </row>
    <row r="65" spans="1:10">
      <c r="A65" s="42" t="str">
        <f>IF(발령대장_입력!$C62="","",발령대장_입력!$E62)</f>
        <v/>
      </c>
      <c r="B65" t="str">
        <f>IF($A65="","",IF(기본설정·안내!$B$4="","",기본설정·안내!$B$4))</f>
        <v/>
      </c>
      <c r="C65" t="str">
        <f>IF($A65="","",IF(발령대장_입력!$B62="",발령대장_입력!$A62,발령대장_입력!$A62&amp;CHAR(10)&amp;"("&amp;발령대장_입력!$B62&amp;")"))</f>
        <v/>
      </c>
      <c r="D65" t="str">
        <f>IF($A65="","",발령대장_입력!$C62)</f>
        <v/>
      </c>
      <c r="E65" t="str">
        <f>IF($A65="","",발령대장_입력!$A62&amp;"에 임함"&amp;IF(발령대장_입력!$B62="","",CHAR(10)&amp;"("&amp;발령대장_입력!$B62&amp;")")&amp;IF(발령대장_입력!$G62="","",CHAR(10)&amp;"("&amp;SUBSTITUTE(SUBSTITUTE(발령대장_입력!$G62,"호봉","")," ","")&amp;")호봉을 급함")&amp;CHAR(10)&amp;"임용기간: "&amp;YEAR(발령대장_입력!$E62)&amp;"."&amp;MONTH(발령대장_입력!$E62)&amp;"."&amp;DAY(발령대장_입력!$E62)&amp;"."&amp;" ~ "&amp;YEAR(발령대장_입력!$F62)&amp;"."&amp;MONTH(발령대장_입력!$F62)&amp;"."&amp;DAY(발령대장_입력!$F62)&amp;".")</f>
        <v/>
      </c>
      <c r="F65" t="str">
        <f>IF($A65="","",IF(기본설정·안내!$B$5="","",기본설정·안내!$B$5))</f>
        <v/>
      </c>
      <c r="G65" t="str">
        <f>IF($A65="","",IF(기본설정·안내!$B$6="","",기본설정·안내!$B$6))</f>
        <v/>
      </c>
      <c r="H65" t="str">
        <f>IF($A65="","",IF(기본설정·안내!$B$7="","",기본설정·안내!$B$7))</f>
        <v/>
      </c>
      <c r="I65" t="str">
        <f>IF($A65="","",IF(기본설정·안내!$B$8="","",기본설정·안내!$B$8))</f>
        <v/>
      </c>
      <c r="J65" t="str">
        <f>IF($A65="","",IF(기본설정·안내!$B$9="","",기본설정·안내!$B$9))</f>
        <v/>
      </c>
    </row>
    <row r="66" spans="1:10">
      <c r="A66" s="42" t="str">
        <f>IF(발령대장_입력!$C63="","",발령대장_입력!$E63)</f>
        <v/>
      </c>
      <c r="B66" t="str">
        <f>IF($A66="","",IF(기본설정·안내!$B$4="","",기본설정·안내!$B$4))</f>
        <v/>
      </c>
      <c r="C66" t="str">
        <f>IF($A66="","",IF(발령대장_입력!$B63="",발령대장_입력!$A63,발령대장_입력!$A63&amp;CHAR(10)&amp;"("&amp;발령대장_입력!$B63&amp;")"))</f>
        <v/>
      </c>
      <c r="D66" t="str">
        <f>IF($A66="","",발령대장_입력!$C63)</f>
        <v/>
      </c>
      <c r="E66" t="str">
        <f>IF($A66="","",발령대장_입력!$A63&amp;"에 임함"&amp;IF(발령대장_입력!$B63="","",CHAR(10)&amp;"("&amp;발령대장_입력!$B63&amp;")")&amp;IF(발령대장_입력!$G63="","",CHAR(10)&amp;"("&amp;SUBSTITUTE(SUBSTITUTE(발령대장_입력!$G63,"호봉","")," ","")&amp;")호봉을 급함")&amp;CHAR(10)&amp;"임용기간: "&amp;YEAR(발령대장_입력!$E63)&amp;"."&amp;MONTH(발령대장_입력!$E63)&amp;"."&amp;DAY(발령대장_입력!$E63)&amp;"."&amp;" ~ "&amp;YEAR(발령대장_입력!$F63)&amp;"."&amp;MONTH(발령대장_입력!$F63)&amp;"."&amp;DAY(발령대장_입력!$F63)&amp;".")</f>
        <v/>
      </c>
      <c r="F66" t="str">
        <f>IF($A66="","",IF(기본설정·안내!$B$5="","",기본설정·안내!$B$5))</f>
        <v/>
      </c>
      <c r="G66" t="str">
        <f>IF($A66="","",IF(기본설정·안내!$B$6="","",기본설정·안내!$B$6))</f>
        <v/>
      </c>
      <c r="H66" t="str">
        <f>IF($A66="","",IF(기본설정·안내!$B$7="","",기본설정·안내!$B$7))</f>
        <v/>
      </c>
      <c r="I66" t="str">
        <f>IF($A66="","",IF(기본설정·안내!$B$8="","",기본설정·안내!$B$8))</f>
        <v/>
      </c>
      <c r="J66" t="str">
        <f>IF($A66="","",IF(기본설정·안내!$B$9="","",기본설정·안내!$B$9))</f>
        <v/>
      </c>
    </row>
    <row r="67" spans="1:10">
      <c r="A67" s="42" t="str">
        <f>IF(발령대장_입력!$C64="","",발령대장_입력!$E64)</f>
        <v/>
      </c>
      <c r="B67" t="str">
        <f>IF($A67="","",IF(기본설정·안내!$B$4="","",기본설정·안내!$B$4))</f>
        <v/>
      </c>
      <c r="C67" t="str">
        <f>IF($A67="","",IF(발령대장_입력!$B64="",발령대장_입력!$A64,발령대장_입력!$A64&amp;CHAR(10)&amp;"("&amp;발령대장_입력!$B64&amp;")"))</f>
        <v/>
      </c>
      <c r="D67" t="str">
        <f>IF($A67="","",발령대장_입력!$C64)</f>
        <v/>
      </c>
      <c r="E67" t="str">
        <f>IF($A67="","",발령대장_입력!$A64&amp;"에 임함"&amp;IF(발령대장_입력!$B64="","",CHAR(10)&amp;"("&amp;발령대장_입력!$B64&amp;")")&amp;IF(발령대장_입력!$G64="","",CHAR(10)&amp;"("&amp;SUBSTITUTE(SUBSTITUTE(발령대장_입력!$G64,"호봉","")," ","")&amp;")호봉을 급함")&amp;CHAR(10)&amp;"임용기간: "&amp;YEAR(발령대장_입력!$E64)&amp;"."&amp;MONTH(발령대장_입력!$E64)&amp;"."&amp;DAY(발령대장_입력!$E64)&amp;"."&amp;" ~ "&amp;YEAR(발령대장_입력!$F64)&amp;"."&amp;MONTH(발령대장_입력!$F64)&amp;"."&amp;DAY(발령대장_입력!$F64)&amp;".")</f>
        <v/>
      </c>
      <c r="F67" t="str">
        <f>IF($A67="","",IF(기본설정·안내!$B$5="","",기본설정·안내!$B$5))</f>
        <v/>
      </c>
      <c r="G67" t="str">
        <f>IF($A67="","",IF(기본설정·안내!$B$6="","",기본설정·안내!$B$6))</f>
        <v/>
      </c>
      <c r="H67" t="str">
        <f>IF($A67="","",IF(기본설정·안내!$B$7="","",기본설정·안내!$B$7))</f>
        <v/>
      </c>
      <c r="I67" t="str">
        <f>IF($A67="","",IF(기본설정·안내!$B$8="","",기본설정·안내!$B$8))</f>
        <v/>
      </c>
      <c r="J67" t="str">
        <f>IF($A67="","",IF(기본설정·안내!$B$9="","",기본설정·안내!$B$9))</f>
        <v/>
      </c>
    </row>
    <row r="68" spans="1:10">
      <c r="A68" s="42" t="str">
        <f>IF(발령대장_입력!$C65="","",발령대장_입력!$E65)</f>
        <v/>
      </c>
      <c r="B68" t="str">
        <f>IF($A68="","",IF(기본설정·안내!$B$4="","",기본설정·안내!$B$4))</f>
        <v/>
      </c>
      <c r="C68" t="str">
        <f>IF($A68="","",IF(발령대장_입력!$B65="",발령대장_입력!$A65,발령대장_입력!$A65&amp;CHAR(10)&amp;"("&amp;발령대장_입력!$B65&amp;")"))</f>
        <v/>
      </c>
      <c r="D68" t="str">
        <f>IF($A68="","",발령대장_입력!$C65)</f>
        <v/>
      </c>
      <c r="E68" t="str">
        <f>IF($A68="","",발령대장_입력!$A65&amp;"에 임함"&amp;IF(발령대장_입력!$B65="","",CHAR(10)&amp;"("&amp;발령대장_입력!$B65&amp;")")&amp;IF(발령대장_입력!$G65="","",CHAR(10)&amp;"("&amp;SUBSTITUTE(SUBSTITUTE(발령대장_입력!$G65,"호봉","")," ","")&amp;")호봉을 급함")&amp;CHAR(10)&amp;"임용기간: "&amp;YEAR(발령대장_입력!$E65)&amp;"."&amp;MONTH(발령대장_입력!$E65)&amp;"."&amp;DAY(발령대장_입력!$E65)&amp;"."&amp;" ~ "&amp;YEAR(발령대장_입력!$F65)&amp;"."&amp;MONTH(발령대장_입력!$F65)&amp;"."&amp;DAY(발령대장_입력!$F65)&amp;".")</f>
        <v/>
      </c>
      <c r="F68" t="str">
        <f>IF($A68="","",IF(기본설정·안내!$B$5="","",기본설정·안내!$B$5))</f>
        <v/>
      </c>
      <c r="G68" t="str">
        <f>IF($A68="","",IF(기본설정·안내!$B$6="","",기본설정·안내!$B$6))</f>
        <v/>
      </c>
      <c r="H68" t="str">
        <f>IF($A68="","",IF(기본설정·안내!$B$7="","",기본설정·안내!$B$7))</f>
        <v/>
      </c>
      <c r="I68" t="str">
        <f>IF($A68="","",IF(기본설정·안내!$B$8="","",기본설정·안내!$B$8))</f>
        <v/>
      </c>
      <c r="J68" t="str">
        <f>IF($A68="","",IF(기본설정·안내!$B$9="","",기본설정·안내!$B$9))</f>
        <v/>
      </c>
    </row>
    <row r="69" spans="1:10">
      <c r="A69" s="42" t="str">
        <f>IF(발령대장_입력!$C66="","",발령대장_입력!$E66)</f>
        <v/>
      </c>
      <c r="B69" t="str">
        <f>IF($A69="","",IF(기본설정·안내!$B$4="","",기본설정·안내!$B$4))</f>
        <v/>
      </c>
      <c r="C69" t="str">
        <f>IF($A69="","",IF(발령대장_입력!$B66="",발령대장_입력!$A66,발령대장_입력!$A66&amp;CHAR(10)&amp;"("&amp;발령대장_입력!$B66&amp;")"))</f>
        <v/>
      </c>
      <c r="D69" t="str">
        <f>IF($A69="","",발령대장_입력!$C66)</f>
        <v/>
      </c>
      <c r="E69" t="str">
        <f>IF($A69="","",발령대장_입력!$A66&amp;"에 임함"&amp;IF(발령대장_입력!$B66="","",CHAR(10)&amp;"("&amp;발령대장_입력!$B66&amp;")")&amp;IF(발령대장_입력!$G66="","",CHAR(10)&amp;"("&amp;SUBSTITUTE(SUBSTITUTE(발령대장_입력!$G66,"호봉","")," ","")&amp;")호봉을 급함")&amp;CHAR(10)&amp;"임용기간: "&amp;YEAR(발령대장_입력!$E66)&amp;"."&amp;MONTH(발령대장_입력!$E66)&amp;"."&amp;DAY(발령대장_입력!$E66)&amp;"."&amp;" ~ "&amp;YEAR(발령대장_입력!$F66)&amp;"."&amp;MONTH(발령대장_입력!$F66)&amp;"."&amp;DAY(발령대장_입력!$F66)&amp;".")</f>
        <v/>
      </c>
      <c r="F69" t="str">
        <f>IF($A69="","",IF(기본설정·안내!$B$5="","",기본설정·안내!$B$5))</f>
        <v/>
      </c>
      <c r="G69" t="str">
        <f>IF($A69="","",IF(기본설정·안내!$B$6="","",기본설정·안내!$B$6))</f>
        <v/>
      </c>
      <c r="H69" t="str">
        <f>IF($A69="","",IF(기본설정·안내!$B$7="","",기본설정·안내!$B$7))</f>
        <v/>
      </c>
      <c r="I69" t="str">
        <f>IF($A69="","",IF(기본설정·안내!$B$8="","",기본설정·안내!$B$8))</f>
        <v/>
      </c>
      <c r="J69" t="str">
        <f>IF($A69="","",IF(기본설정·안내!$B$9="","",기본설정·안내!$B$9))</f>
        <v/>
      </c>
    </row>
    <row r="70" spans="1:10">
      <c r="A70" s="42" t="str">
        <f>IF(발령대장_입력!$C67="","",발령대장_입력!$E67)</f>
        <v/>
      </c>
      <c r="B70" t="str">
        <f>IF($A70="","",IF(기본설정·안내!$B$4="","",기본설정·안내!$B$4))</f>
        <v/>
      </c>
      <c r="C70" t="str">
        <f>IF($A70="","",IF(발령대장_입력!$B67="",발령대장_입력!$A67,발령대장_입력!$A67&amp;CHAR(10)&amp;"("&amp;발령대장_입력!$B67&amp;")"))</f>
        <v/>
      </c>
      <c r="D70" t="str">
        <f>IF($A70="","",발령대장_입력!$C67)</f>
        <v/>
      </c>
      <c r="E70" t="str">
        <f>IF($A70="","",발령대장_입력!$A67&amp;"에 임함"&amp;IF(발령대장_입력!$B67="","",CHAR(10)&amp;"("&amp;발령대장_입력!$B67&amp;")")&amp;IF(발령대장_입력!$G67="","",CHAR(10)&amp;"("&amp;SUBSTITUTE(SUBSTITUTE(발령대장_입력!$G67,"호봉","")," ","")&amp;")호봉을 급함")&amp;CHAR(10)&amp;"임용기간: "&amp;YEAR(발령대장_입력!$E67)&amp;"."&amp;MONTH(발령대장_입력!$E67)&amp;"."&amp;DAY(발령대장_입력!$E67)&amp;"."&amp;" ~ "&amp;YEAR(발령대장_입력!$F67)&amp;"."&amp;MONTH(발령대장_입력!$F67)&amp;"."&amp;DAY(발령대장_입력!$F67)&amp;".")</f>
        <v/>
      </c>
      <c r="F70" t="str">
        <f>IF($A70="","",IF(기본설정·안내!$B$5="","",기본설정·안내!$B$5))</f>
        <v/>
      </c>
      <c r="G70" t="str">
        <f>IF($A70="","",IF(기본설정·안내!$B$6="","",기본설정·안내!$B$6))</f>
        <v/>
      </c>
      <c r="H70" t="str">
        <f>IF($A70="","",IF(기본설정·안내!$B$7="","",기본설정·안내!$B$7))</f>
        <v/>
      </c>
      <c r="I70" t="str">
        <f>IF($A70="","",IF(기본설정·안내!$B$8="","",기본설정·안내!$B$8))</f>
        <v/>
      </c>
      <c r="J70" t="str">
        <f>IF($A70="","",IF(기본설정·안내!$B$9="","",기본설정·안내!$B$9))</f>
        <v/>
      </c>
    </row>
    <row r="71" spans="1:10">
      <c r="A71" s="42" t="str">
        <f>IF(발령대장_입력!$C68="","",발령대장_입력!$E68)</f>
        <v/>
      </c>
      <c r="B71" t="str">
        <f>IF($A71="","",IF(기본설정·안내!$B$4="","",기본설정·안내!$B$4))</f>
        <v/>
      </c>
      <c r="C71" t="str">
        <f>IF($A71="","",IF(발령대장_입력!$B68="",발령대장_입력!$A68,발령대장_입력!$A68&amp;CHAR(10)&amp;"("&amp;발령대장_입력!$B68&amp;")"))</f>
        <v/>
      </c>
      <c r="D71" t="str">
        <f>IF($A71="","",발령대장_입력!$C68)</f>
        <v/>
      </c>
      <c r="E71" t="str">
        <f>IF($A71="","",발령대장_입력!$A68&amp;"에 임함"&amp;IF(발령대장_입력!$B68="","",CHAR(10)&amp;"("&amp;발령대장_입력!$B68&amp;")")&amp;IF(발령대장_입력!$G68="","",CHAR(10)&amp;"("&amp;SUBSTITUTE(SUBSTITUTE(발령대장_입력!$G68,"호봉","")," ","")&amp;")호봉을 급함")&amp;CHAR(10)&amp;"임용기간: "&amp;YEAR(발령대장_입력!$E68)&amp;"."&amp;MONTH(발령대장_입력!$E68)&amp;"."&amp;DAY(발령대장_입력!$E68)&amp;"."&amp;" ~ "&amp;YEAR(발령대장_입력!$F68)&amp;"."&amp;MONTH(발령대장_입력!$F68)&amp;"."&amp;DAY(발령대장_입력!$F68)&amp;".")</f>
        <v/>
      </c>
      <c r="F71" t="str">
        <f>IF($A71="","",IF(기본설정·안내!$B$5="","",기본설정·안내!$B$5))</f>
        <v/>
      </c>
      <c r="G71" t="str">
        <f>IF($A71="","",IF(기본설정·안내!$B$6="","",기본설정·안내!$B$6))</f>
        <v/>
      </c>
      <c r="H71" t="str">
        <f>IF($A71="","",IF(기본설정·안내!$B$7="","",기본설정·안내!$B$7))</f>
        <v/>
      </c>
      <c r="I71" t="str">
        <f>IF($A71="","",IF(기본설정·안내!$B$8="","",기본설정·안내!$B$8))</f>
        <v/>
      </c>
      <c r="J71" t="str">
        <f>IF($A71="","",IF(기본설정·안내!$B$9="","",기본설정·안내!$B$9))</f>
        <v/>
      </c>
    </row>
    <row r="72" spans="1:10">
      <c r="A72" s="42" t="str">
        <f>IF(발령대장_입력!$C69="","",발령대장_입력!$E69)</f>
        <v/>
      </c>
      <c r="B72" t="str">
        <f>IF($A72="","",IF(기본설정·안내!$B$4="","",기본설정·안내!$B$4))</f>
        <v/>
      </c>
      <c r="C72" t="str">
        <f>IF($A72="","",IF(발령대장_입력!$B69="",발령대장_입력!$A69,발령대장_입력!$A69&amp;CHAR(10)&amp;"("&amp;발령대장_입력!$B69&amp;")"))</f>
        <v/>
      </c>
      <c r="D72" t="str">
        <f>IF($A72="","",발령대장_입력!$C69)</f>
        <v/>
      </c>
      <c r="E72" t="str">
        <f>IF($A72="","",발령대장_입력!$A69&amp;"에 임함"&amp;IF(발령대장_입력!$B69="","",CHAR(10)&amp;"("&amp;발령대장_입력!$B69&amp;")")&amp;IF(발령대장_입력!$G69="","",CHAR(10)&amp;"("&amp;SUBSTITUTE(SUBSTITUTE(발령대장_입력!$G69,"호봉","")," ","")&amp;")호봉을 급함")&amp;CHAR(10)&amp;"임용기간: "&amp;YEAR(발령대장_입력!$E69)&amp;"."&amp;MONTH(발령대장_입력!$E69)&amp;"."&amp;DAY(발령대장_입력!$E69)&amp;"."&amp;" ~ "&amp;YEAR(발령대장_입력!$F69)&amp;"."&amp;MONTH(발령대장_입력!$F69)&amp;"."&amp;DAY(발령대장_입력!$F69)&amp;".")</f>
        <v/>
      </c>
      <c r="F72" t="str">
        <f>IF($A72="","",IF(기본설정·안내!$B$5="","",기본설정·안내!$B$5))</f>
        <v/>
      </c>
      <c r="G72" t="str">
        <f>IF($A72="","",IF(기본설정·안내!$B$6="","",기본설정·안내!$B$6))</f>
        <v/>
      </c>
      <c r="H72" t="str">
        <f>IF($A72="","",IF(기본설정·안내!$B$7="","",기본설정·안내!$B$7))</f>
        <v/>
      </c>
      <c r="I72" t="str">
        <f>IF($A72="","",IF(기본설정·안내!$B$8="","",기본설정·안내!$B$8))</f>
        <v/>
      </c>
      <c r="J72" t="str">
        <f>IF($A72="","",IF(기본설정·안내!$B$9="","",기본설정·안내!$B$9))</f>
        <v/>
      </c>
    </row>
    <row r="73" spans="1:10">
      <c r="A73" s="42" t="str">
        <f>IF(발령대장_입력!$C70="","",발령대장_입력!$E70)</f>
        <v/>
      </c>
      <c r="B73" t="str">
        <f>IF($A73="","",IF(기본설정·안내!$B$4="","",기본설정·안내!$B$4))</f>
        <v/>
      </c>
      <c r="C73" t="str">
        <f>IF($A73="","",IF(발령대장_입력!$B70="",발령대장_입력!$A70,발령대장_입력!$A70&amp;CHAR(10)&amp;"("&amp;발령대장_입력!$B70&amp;")"))</f>
        <v/>
      </c>
      <c r="D73" t="str">
        <f>IF($A73="","",발령대장_입력!$C70)</f>
        <v/>
      </c>
      <c r="E73" t="str">
        <f>IF($A73="","",발령대장_입력!$A70&amp;"에 임함"&amp;IF(발령대장_입력!$B70="","",CHAR(10)&amp;"("&amp;발령대장_입력!$B70&amp;")")&amp;IF(발령대장_입력!$G70="","",CHAR(10)&amp;"("&amp;SUBSTITUTE(SUBSTITUTE(발령대장_입력!$G70,"호봉","")," ","")&amp;")호봉을 급함")&amp;CHAR(10)&amp;"임용기간: "&amp;YEAR(발령대장_입력!$E70)&amp;"."&amp;MONTH(발령대장_입력!$E70)&amp;"."&amp;DAY(발령대장_입력!$E70)&amp;"."&amp;" ~ "&amp;YEAR(발령대장_입력!$F70)&amp;"."&amp;MONTH(발령대장_입력!$F70)&amp;"."&amp;DAY(발령대장_입력!$F70)&amp;".")</f>
        <v/>
      </c>
      <c r="F73" t="str">
        <f>IF($A73="","",IF(기본설정·안내!$B$5="","",기본설정·안내!$B$5))</f>
        <v/>
      </c>
      <c r="G73" t="str">
        <f>IF($A73="","",IF(기본설정·안내!$B$6="","",기본설정·안내!$B$6))</f>
        <v/>
      </c>
      <c r="H73" t="str">
        <f>IF($A73="","",IF(기본설정·안내!$B$7="","",기본설정·안내!$B$7))</f>
        <v/>
      </c>
      <c r="I73" t="str">
        <f>IF($A73="","",IF(기본설정·안내!$B$8="","",기본설정·안내!$B$8))</f>
        <v/>
      </c>
      <c r="J73" t="str">
        <f>IF($A73="","",IF(기본설정·안내!$B$9="","",기본설정·안내!$B$9))</f>
        <v/>
      </c>
    </row>
    <row r="74" spans="1:10">
      <c r="A74" s="42" t="str">
        <f>IF(발령대장_입력!$C71="","",발령대장_입력!$E71)</f>
        <v/>
      </c>
      <c r="B74" t="str">
        <f>IF($A74="","",IF(기본설정·안내!$B$4="","",기본설정·안내!$B$4))</f>
        <v/>
      </c>
      <c r="C74" t="str">
        <f>IF($A74="","",IF(발령대장_입력!$B71="",발령대장_입력!$A71,발령대장_입력!$A71&amp;CHAR(10)&amp;"("&amp;발령대장_입력!$B71&amp;")"))</f>
        <v/>
      </c>
      <c r="D74" t="str">
        <f>IF($A74="","",발령대장_입력!$C71)</f>
        <v/>
      </c>
      <c r="E74" t="str">
        <f>IF($A74="","",발령대장_입력!$A71&amp;"에 임함"&amp;IF(발령대장_입력!$B71="","",CHAR(10)&amp;"("&amp;발령대장_입력!$B71&amp;")")&amp;IF(발령대장_입력!$G71="","",CHAR(10)&amp;"("&amp;SUBSTITUTE(SUBSTITUTE(발령대장_입력!$G71,"호봉","")," ","")&amp;")호봉을 급함")&amp;CHAR(10)&amp;"임용기간: "&amp;YEAR(발령대장_입력!$E71)&amp;"."&amp;MONTH(발령대장_입력!$E71)&amp;"."&amp;DAY(발령대장_입력!$E71)&amp;"."&amp;" ~ "&amp;YEAR(발령대장_입력!$F71)&amp;"."&amp;MONTH(발령대장_입력!$F71)&amp;"."&amp;DAY(발령대장_입력!$F71)&amp;".")</f>
        <v/>
      </c>
      <c r="F74" t="str">
        <f>IF($A74="","",IF(기본설정·안내!$B$5="","",기본설정·안내!$B$5))</f>
        <v/>
      </c>
      <c r="G74" t="str">
        <f>IF($A74="","",IF(기본설정·안내!$B$6="","",기본설정·안내!$B$6))</f>
        <v/>
      </c>
      <c r="H74" t="str">
        <f>IF($A74="","",IF(기본설정·안내!$B$7="","",기본설정·안내!$B$7))</f>
        <v/>
      </c>
      <c r="I74" t="str">
        <f>IF($A74="","",IF(기본설정·안내!$B$8="","",기본설정·안내!$B$8))</f>
        <v/>
      </c>
      <c r="J74" t="str">
        <f>IF($A74="","",IF(기본설정·안내!$B$9="","",기본설정·안내!$B$9))</f>
        <v/>
      </c>
    </row>
    <row r="75" spans="1:10">
      <c r="A75" s="42" t="str">
        <f>IF(발령대장_입력!$C72="","",발령대장_입력!$E72)</f>
        <v/>
      </c>
      <c r="B75" t="str">
        <f>IF($A75="","",IF(기본설정·안내!$B$4="","",기본설정·안내!$B$4))</f>
        <v/>
      </c>
      <c r="C75" t="str">
        <f>IF($A75="","",IF(발령대장_입력!$B72="",발령대장_입력!$A72,발령대장_입력!$A72&amp;CHAR(10)&amp;"("&amp;발령대장_입력!$B72&amp;")"))</f>
        <v/>
      </c>
      <c r="D75" t="str">
        <f>IF($A75="","",발령대장_입력!$C72)</f>
        <v/>
      </c>
      <c r="E75" t="str">
        <f>IF($A75="","",발령대장_입력!$A72&amp;"에 임함"&amp;IF(발령대장_입력!$B72="","",CHAR(10)&amp;"("&amp;발령대장_입력!$B72&amp;")")&amp;IF(발령대장_입력!$G72="","",CHAR(10)&amp;"("&amp;SUBSTITUTE(SUBSTITUTE(발령대장_입력!$G72,"호봉","")," ","")&amp;")호봉을 급함")&amp;CHAR(10)&amp;"임용기간: "&amp;YEAR(발령대장_입력!$E72)&amp;"."&amp;MONTH(발령대장_입력!$E72)&amp;"."&amp;DAY(발령대장_입력!$E72)&amp;"."&amp;" ~ "&amp;YEAR(발령대장_입력!$F72)&amp;"."&amp;MONTH(발령대장_입력!$F72)&amp;"."&amp;DAY(발령대장_입력!$F72)&amp;".")</f>
        <v/>
      </c>
      <c r="F75" t="str">
        <f>IF($A75="","",IF(기본설정·안내!$B$5="","",기본설정·안내!$B$5))</f>
        <v/>
      </c>
      <c r="G75" t="str">
        <f>IF($A75="","",IF(기본설정·안내!$B$6="","",기본설정·안내!$B$6))</f>
        <v/>
      </c>
      <c r="H75" t="str">
        <f>IF($A75="","",IF(기본설정·안내!$B$7="","",기본설정·안내!$B$7))</f>
        <v/>
      </c>
      <c r="I75" t="str">
        <f>IF($A75="","",IF(기본설정·안내!$B$8="","",기본설정·안내!$B$8))</f>
        <v/>
      </c>
      <c r="J75" t="str">
        <f>IF($A75="","",IF(기본설정·안내!$B$9="","",기본설정·안내!$B$9))</f>
        <v/>
      </c>
    </row>
    <row r="76" spans="1:10">
      <c r="A76" s="42" t="str">
        <f>IF(발령대장_입력!$C73="","",발령대장_입력!$E73)</f>
        <v/>
      </c>
      <c r="B76" t="str">
        <f>IF($A76="","",IF(기본설정·안내!$B$4="","",기본설정·안내!$B$4))</f>
        <v/>
      </c>
      <c r="C76" t="str">
        <f>IF($A76="","",IF(발령대장_입력!$B73="",발령대장_입력!$A73,발령대장_입력!$A73&amp;CHAR(10)&amp;"("&amp;발령대장_입력!$B73&amp;")"))</f>
        <v/>
      </c>
      <c r="D76" t="str">
        <f>IF($A76="","",발령대장_입력!$C73)</f>
        <v/>
      </c>
      <c r="E76" t="str">
        <f>IF($A76="","",발령대장_입력!$A73&amp;"에 임함"&amp;IF(발령대장_입력!$B73="","",CHAR(10)&amp;"("&amp;발령대장_입력!$B73&amp;")")&amp;IF(발령대장_입력!$G73="","",CHAR(10)&amp;"("&amp;SUBSTITUTE(SUBSTITUTE(발령대장_입력!$G73,"호봉","")," ","")&amp;")호봉을 급함")&amp;CHAR(10)&amp;"임용기간: "&amp;YEAR(발령대장_입력!$E73)&amp;"."&amp;MONTH(발령대장_입력!$E73)&amp;"."&amp;DAY(발령대장_입력!$E73)&amp;"."&amp;" ~ "&amp;YEAR(발령대장_입력!$F73)&amp;"."&amp;MONTH(발령대장_입력!$F73)&amp;"."&amp;DAY(발령대장_입력!$F73)&amp;".")</f>
        <v/>
      </c>
      <c r="F76" t="str">
        <f>IF($A76="","",IF(기본설정·안내!$B$5="","",기본설정·안내!$B$5))</f>
        <v/>
      </c>
      <c r="G76" t="str">
        <f>IF($A76="","",IF(기본설정·안내!$B$6="","",기본설정·안내!$B$6))</f>
        <v/>
      </c>
      <c r="H76" t="str">
        <f>IF($A76="","",IF(기본설정·안내!$B$7="","",기본설정·안내!$B$7))</f>
        <v/>
      </c>
      <c r="I76" t="str">
        <f>IF($A76="","",IF(기본설정·안내!$B$8="","",기본설정·안내!$B$8))</f>
        <v/>
      </c>
      <c r="J76" t="str">
        <f>IF($A76="","",IF(기본설정·안내!$B$9="","",기본설정·안내!$B$9))</f>
        <v/>
      </c>
    </row>
    <row r="77" spans="1:10">
      <c r="A77" s="42" t="str">
        <f>IF(발령대장_입력!$C74="","",발령대장_입력!$E74)</f>
        <v/>
      </c>
      <c r="B77" t="str">
        <f>IF($A77="","",IF(기본설정·안내!$B$4="","",기본설정·안내!$B$4))</f>
        <v/>
      </c>
      <c r="C77" t="str">
        <f>IF($A77="","",IF(발령대장_입력!$B74="",발령대장_입력!$A74,발령대장_입력!$A74&amp;CHAR(10)&amp;"("&amp;발령대장_입력!$B74&amp;")"))</f>
        <v/>
      </c>
      <c r="D77" t="str">
        <f>IF($A77="","",발령대장_입력!$C74)</f>
        <v/>
      </c>
      <c r="E77" t="str">
        <f>IF($A77="","",발령대장_입력!$A74&amp;"에 임함"&amp;IF(발령대장_입력!$B74="","",CHAR(10)&amp;"("&amp;발령대장_입력!$B74&amp;")")&amp;IF(발령대장_입력!$G74="","",CHAR(10)&amp;"("&amp;SUBSTITUTE(SUBSTITUTE(발령대장_입력!$G74,"호봉","")," ","")&amp;")호봉을 급함")&amp;CHAR(10)&amp;"임용기간: "&amp;YEAR(발령대장_입력!$E74)&amp;"."&amp;MONTH(발령대장_입력!$E74)&amp;"."&amp;DAY(발령대장_입력!$E74)&amp;"."&amp;" ~ "&amp;YEAR(발령대장_입력!$F74)&amp;"."&amp;MONTH(발령대장_입력!$F74)&amp;"."&amp;DAY(발령대장_입력!$F74)&amp;".")</f>
        <v/>
      </c>
      <c r="F77" t="str">
        <f>IF($A77="","",IF(기본설정·안내!$B$5="","",기본설정·안내!$B$5))</f>
        <v/>
      </c>
      <c r="G77" t="str">
        <f>IF($A77="","",IF(기본설정·안내!$B$6="","",기본설정·안내!$B$6))</f>
        <v/>
      </c>
      <c r="H77" t="str">
        <f>IF($A77="","",IF(기본설정·안내!$B$7="","",기본설정·안내!$B$7))</f>
        <v/>
      </c>
      <c r="I77" t="str">
        <f>IF($A77="","",IF(기본설정·안내!$B$8="","",기본설정·안내!$B$8))</f>
        <v/>
      </c>
      <c r="J77" t="str">
        <f>IF($A77="","",IF(기본설정·안내!$B$9="","",기본설정·안내!$B$9))</f>
        <v/>
      </c>
    </row>
    <row r="78" spans="1:10">
      <c r="A78" s="42" t="str">
        <f>IF(발령대장_입력!$C75="","",발령대장_입력!$E75)</f>
        <v/>
      </c>
      <c r="B78" t="str">
        <f>IF($A78="","",IF(기본설정·안내!$B$4="","",기본설정·안내!$B$4))</f>
        <v/>
      </c>
      <c r="C78" t="str">
        <f>IF($A78="","",IF(발령대장_입력!$B75="",발령대장_입력!$A75,발령대장_입력!$A75&amp;CHAR(10)&amp;"("&amp;발령대장_입력!$B75&amp;")"))</f>
        <v/>
      </c>
      <c r="D78" t="str">
        <f>IF($A78="","",발령대장_입력!$C75)</f>
        <v/>
      </c>
      <c r="E78" t="str">
        <f>IF($A78="","",발령대장_입력!$A75&amp;"에 임함"&amp;IF(발령대장_입력!$B75="","",CHAR(10)&amp;"("&amp;발령대장_입력!$B75&amp;")")&amp;IF(발령대장_입력!$G75="","",CHAR(10)&amp;"("&amp;SUBSTITUTE(SUBSTITUTE(발령대장_입력!$G75,"호봉","")," ","")&amp;")호봉을 급함")&amp;CHAR(10)&amp;"임용기간: "&amp;YEAR(발령대장_입력!$E75)&amp;"."&amp;MONTH(발령대장_입력!$E75)&amp;"."&amp;DAY(발령대장_입력!$E75)&amp;"."&amp;" ~ "&amp;YEAR(발령대장_입력!$F75)&amp;"."&amp;MONTH(발령대장_입력!$F75)&amp;"."&amp;DAY(발령대장_입력!$F75)&amp;".")</f>
        <v/>
      </c>
      <c r="F78" t="str">
        <f>IF($A78="","",IF(기본설정·안내!$B$5="","",기본설정·안내!$B$5))</f>
        <v/>
      </c>
      <c r="G78" t="str">
        <f>IF($A78="","",IF(기본설정·안내!$B$6="","",기본설정·안내!$B$6))</f>
        <v/>
      </c>
      <c r="H78" t="str">
        <f>IF($A78="","",IF(기본설정·안내!$B$7="","",기본설정·안내!$B$7))</f>
        <v/>
      </c>
      <c r="I78" t="str">
        <f>IF($A78="","",IF(기본설정·안내!$B$8="","",기본설정·안내!$B$8))</f>
        <v/>
      </c>
      <c r="J78" t="str">
        <f>IF($A78="","",IF(기본설정·안내!$B$9="","",기본설정·안내!$B$9))</f>
        <v/>
      </c>
    </row>
    <row r="79" spans="1:10">
      <c r="A79" s="42" t="str">
        <f>IF(발령대장_입력!$C76="","",발령대장_입력!$E76)</f>
        <v/>
      </c>
      <c r="B79" t="str">
        <f>IF($A79="","",IF(기본설정·안내!$B$4="","",기본설정·안내!$B$4))</f>
        <v/>
      </c>
      <c r="C79" t="str">
        <f>IF($A79="","",IF(발령대장_입력!$B76="",발령대장_입력!$A76,발령대장_입력!$A76&amp;CHAR(10)&amp;"("&amp;발령대장_입력!$B76&amp;")"))</f>
        <v/>
      </c>
      <c r="D79" t="str">
        <f>IF($A79="","",발령대장_입력!$C76)</f>
        <v/>
      </c>
      <c r="E79" t="str">
        <f>IF($A79="","",발령대장_입력!$A76&amp;"에 임함"&amp;IF(발령대장_입력!$B76="","",CHAR(10)&amp;"("&amp;발령대장_입력!$B76&amp;")")&amp;IF(발령대장_입력!$G76="","",CHAR(10)&amp;"("&amp;SUBSTITUTE(SUBSTITUTE(발령대장_입력!$G76,"호봉","")," ","")&amp;")호봉을 급함")&amp;CHAR(10)&amp;"임용기간: "&amp;YEAR(발령대장_입력!$E76)&amp;"."&amp;MONTH(발령대장_입력!$E76)&amp;"."&amp;DAY(발령대장_입력!$E76)&amp;"."&amp;" ~ "&amp;YEAR(발령대장_입력!$F76)&amp;"."&amp;MONTH(발령대장_입력!$F76)&amp;"."&amp;DAY(발령대장_입력!$F76)&amp;".")</f>
        <v/>
      </c>
      <c r="F79" t="str">
        <f>IF($A79="","",IF(기본설정·안내!$B$5="","",기본설정·안내!$B$5))</f>
        <v/>
      </c>
      <c r="G79" t="str">
        <f>IF($A79="","",IF(기본설정·안내!$B$6="","",기본설정·안내!$B$6))</f>
        <v/>
      </c>
      <c r="H79" t="str">
        <f>IF($A79="","",IF(기본설정·안내!$B$7="","",기본설정·안내!$B$7))</f>
        <v/>
      </c>
      <c r="I79" t="str">
        <f>IF($A79="","",IF(기본설정·안내!$B$8="","",기본설정·안내!$B$8))</f>
        <v/>
      </c>
      <c r="J79" t="str">
        <f>IF($A79="","",IF(기본설정·안내!$B$9="","",기본설정·안내!$B$9))</f>
        <v/>
      </c>
    </row>
    <row r="80" spans="1:10">
      <c r="A80" s="42" t="str">
        <f>IF(발령대장_입력!$C77="","",발령대장_입력!$E77)</f>
        <v/>
      </c>
      <c r="B80" t="str">
        <f>IF($A80="","",IF(기본설정·안내!$B$4="","",기본설정·안내!$B$4))</f>
        <v/>
      </c>
      <c r="C80" t="str">
        <f>IF($A80="","",IF(발령대장_입력!$B77="",발령대장_입력!$A77,발령대장_입력!$A77&amp;CHAR(10)&amp;"("&amp;발령대장_입력!$B77&amp;")"))</f>
        <v/>
      </c>
      <c r="D80" t="str">
        <f>IF($A80="","",발령대장_입력!$C77)</f>
        <v/>
      </c>
      <c r="E80" t="str">
        <f>IF($A80="","",발령대장_입력!$A77&amp;"에 임함"&amp;IF(발령대장_입력!$B77="","",CHAR(10)&amp;"("&amp;발령대장_입력!$B77&amp;")")&amp;IF(발령대장_입력!$G77="","",CHAR(10)&amp;"("&amp;SUBSTITUTE(SUBSTITUTE(발령대장_입력!$G77,"호봉","")," ","")&amp;")호봉을 급함")&amp;CHAR(10)&amp;"임용기간: "&amp;YEAR(발령대장_입력!$E77)&amp;"."&amp;MONTH(발령대장_입력!$E77)&amp;"."&amp;DAY(발령대장_입력!$E77)&amp;"."&amp;" ~ "&amp;YEAR(발령대장_입력!$F77)&amp;"."&amp;MONTH(발령대장_입력!$F77)&amp;"."&amp;DAY(발령대장_입력!$F77)&amp;".")</f>
        <v/>
      </c>
      <c r="F80" t="str">
        <f>IF($A80="","",IF(기본설정·안내!$B$5="","",기본설정·안내!$B$5))</f>
        <v/>
      </c>
      <c r="G80" t="str">
        <f>IF($A80="","",IF(기본설정·안내!$B$6="","",기본설정·안내!$B$6))</f>
        <v/>
      </c>
      <c r="H80" t="str">
        <f>IF($A80="","",IF(기본설정·안내!$B$7="","",기본설정·안내!$B$7))</f>
        <v/>
      </c>
      <c r="I80" t="str">
        <f>IF($A80="","",IF(기본설정·안내!$B$8="","",기본설정·안내!$B$8))</f>
        <v/>
      </c>
      <c r="J80" t="str">
        <f>IF($A80="","",IF(기본설정·안내!$B$9="","",기본설정·안내!$B$9))</f>
        <v/>
      </c>
    </row>
    <row r="81" spans="1:10">
      <c r="A81" s="42" t="str">
        <f>IF(발령대장_입력!$C78="","",발령대장_입력!$E78)</f>
        <v/>
      </c>
      <c r="B81" t="str">
        <f>IF($A81="","",IF(기본설정·안내!$B$4="","",기본설정·안내!$B$4))</f>
        <v/>
      </c>
      <c r="C81" t="str">
        <f>IF($A81="","",IF(발령대장_입력!$B78="",발령대장_입력!$A78,발령대장_입력!$A78&amp;CHAR(10)&amp;"("&amp;발령대장_입력!$B78&amp;")"))</f>
        <v/>
      </c>
      <c r="D81" t="str">
        <f>IF($A81="","",발령대장_입력!$C78)</f>
        <v/>
      </c>
      <c r="E81" t="str">
        <f>IF($A81="","",발령대장_입력!$A78&amp;"에 임함"&amp;IF(발령대장_입력!$B78="","",CHAR(10)&amp;"("&amp;발령대장_입력!$B78&amp;")")&amp;IF(발령대장_입력!$G78="","",CHAR(10)&amp;"("&amp;SUBSTITUTE(SUBSTITUTE(발령대장_입력!$G78,"호봉","")," ","")&amp;")호봉을 급함")&amp;CHAR(10)&amp;"임용기간: "&amp;YEAR(발령대장_입력!$E78)&amp;"."&amp;MONTH(발령대장_입력!$E78)&amp;"."&amp;DAY(발령대장_입력!$E78)&amp;"."&amp;" ~ "&amp;YEAR(발령대장_입력!$F78)&amp;"."&amp;MONTH(발령대장_입력!$F78)&amp;"."&amp;DAY(발령대장_입력!$F78)&amp;".")</f>
        <v/>
      </c>
      <c r="F81" t="str">
        <f>IF($A81="","",IF(기본설정·안내!$B$5="","",기본설정·안내!$B$5))</f>
        <v/>
      </c>
      <c r="G81" t="str">
        <f>IF($A81="","",IF(기본설정·안내!$B$6="","",기본설정·안내!$B$6))</f>
        <v/>
      </c>
      <c r="H81" t="str">
        <f>IF($A81="","",IF(기본설정·안내!$B$7="","",기본설정·안내!$B$7))</f>
        <v/>
      </c>
      <c r="I81" t="str">
        <f>IF($A81="","",IF(기본설정·안내!$B$8="","",기본설정·안내!$B$8))</f>
        <v/>
      </c>
      <c r="J81" t="str">
        <f>IF($A81="","",IF(기본설정·안내!$B$9="","",기본설정·안내!$B$9))</f>
        <v/>
      </c>
    </row>
    <row r="82" spans="1:10">
      <c r="A82" s="42" t="str">
        <f>IF(발령대장_입력!$C79="","",발령대장_입력!$E79)</f>
        <v/>
      </c>
      <c r="B82" t="str">
        <f>IF($A82="","",IF(기본설정·안내!$B$4="","",기본설정·안내!$B$4))</f>
        <v/>
      </c>
      <c r="C82" t="str">
        <f>IF($A82="","",IF(발령대장_입력!$B79="",발령대장_입력!$A79,발령대장_입력!$A79&amp;CHAR(10)&amp;"("&amp;발령대장_입력!$B79&amp;")"))</f>
        <v/>
      </c>
      <c r="D82" t="str">
        <f>IF($A82="","",발령대장_입력!$C79)</f>
        <v/>
      </c>
      <c r="E82" t="str">
        <f>IF($A82="","",발령대장_입력!$A79&amp;"에 임함"&amp;IF(발령대장_입력!$B79="","",CHAR(10)&amp;"("&amp;발령대장_입력!$B79&amp;")")&amp;IF(발령대장_입력!$G79="","",CHAR(10)&amp;"("&amp;SUBSTITUTE(SUBSTITUTE(발령대장_입력!$G79,"호봉","")," ","")&amp;")호봉을 급함")&amp;CHAR(10)&amp;"임용기간: "&amp;YEAR(발령대장_입력!$E79)&amp;"."&amp;MONTH(발령대장_입력!$E79)&amp;"."&amp;DAY(발령대장_입력!$E79)&amp;"."&amp;" ~ "&amp;YEAR(발령대장_입력!$F79)&amp;"."&amp;MONTH(발령대장_입력!$F79)&amp;"."&amp;DAY(발령대장_입력!$F79)&amp;".")</f>
        <v/>
      </c>
      <c r="F82" t="str">
        <f>IF($A82="","",IF(기본설정·안내!$B$5="","",기본설정·안내!$B$5))</f>
        <v/>
      </c>
      <c r="G82" t="str">
        <f>IF($A82="","",IF(기본설정·안내!$B$6="","",기본설정·안내!$B$6))</f>
        <v/>
      </c>
      <c r="H82" t="str">
        <f>IF($A82="","",IF(기본설정·안내!$B$7="","",기본설정·안내!$B$7))</f>
        <v/>
      </c>
      <c r="I82" t="str">
        <f>IF($A82="","",IF(기본설정·안내!$B$8="","",기본설정·안내!$B$8))</f>
        <v/>
      </c>
      <c r="J82" t="str">
        <f>IF($A82="","",IF(기본설정·안내!$B$9="","",기본설정·안내!$B$9))</f>
        <v/>
      </c>
    </row>
    <row r="83" spans="1:10">
      <c r="A83" s="42" t="str">
        <f>IF(발령대장_입력!$C80="","",발령대장_입력!$E80)</f>
        <v/>
      </c>
      <c r="B83" t="str">
        <f>IF($A83="","",IF(기본설정·안내!$B$4="","",기본설정·안내!$B$4))</f>
        <v/>
      </c>
      <c r="C83" t="str">
        <f>IF($A83="","",IF(발령대장_입력!$B80="",발령대장_입력!$A80,발령대장_입력!$A80&amp;CHAR(10)&amp;"("&amp;발령대장_입력!$B80&amp;")"))</f>
        <v/>
      </c>
      <c r="D83" t="str">
        <f>IF($A83="","",발령대장_입력!$C80)</f>
        <v/>
      </c>
      <c r="E83" t="str">
        <f>IF($A83="","",발령대장_입력!$A80&amp;"에 임함"&amp;IF(발령대장_입력!$B80="","",CHAR(10)&amp;"("&amp;발령대장_입력!$B80&amp;")")&amp;IF(발령대장_입력!$G80="","",CHAR(10)&amp;"("&amp;SUBSTITUTE(SUBSTITUTE(발령대장_입력!$G80,"호봉","")," ","")&amp;")호봉을 급함")&amp;CHAR(10)&amp;"임용기간: "&amp;YEAR(발령대장_입력!$E80)&amp;"."&amp;MONTH(발령대장_입력!$E80)&amp;"."&amp;DAY(발령대장_입력!$E80)&amp;"."&amp;" ~ "&amp;YEAR(발령대장_입력!$F80)&amp;"."&amp;MONTH(발령대장_입력!$F80)&amp;"."&amp;DAY(발령대장_입력!$F80)&amp;".")</f>
        <v/>
      </c>
      <c r="F83" t="str">
        <f>IF($A83="","",IF(기본설정·안내!$B$5="","",기본설정·안내!$B$5))</f>
        <v/>
      </c>
      <c r="G83" t="str">
        <f>IF($A83="","",IF(기본설정·안내!$B$6="","",기본설정·안내!$B$6))</f>
        <v/>
      </c>
      <c r="H83" t="str">
        <f>IF($A83="","",IF(기본설정·안내!$B$7="","",기본설정·안내!$B$7))</f>
        <v/>
      </c>
      <c r="I83" t="str">
        <f>IF($A83="","",IF(기본설정·안내!$B$8="","",기본설정·안내!$B$8))</f>
        <v/>
      </c>
      <c r="J83" t="str">
        <f>IF($A83="","",IF(기본설정·안내!$B$9="","",기본설정·안내!$B$9))</f>
        <v/>
      </c>
    </row>
    <row r="84" spans="1:10">
      <c r="A84" s="42" t="str">
        <f>IF(발령대장_입력!$C81="","",발령대장_입력!$E81)</f>
        <v/>
      </c>
      <c r="B84" t="str">
        <f>IF($A84="","",IF(기본설정·안내!$B$4="","",기본설정·안내!$B$4))</f>
        <v/>
      </c>
      <c r="C84" t="str">
        <f>IF($A84="","",IF(발령대장_입력!$B81="",발령대장_입력!$A81,발령대장_입력!$A81&amp;CHAR(10)&amp;"("&amp;발령대장_입력!$B81&amp;")"))</f>
        <v/>
      </c>
      <c r="D84" t="str">
        <f>IF($A84="","",발령대장_입력!$C81)</f>
        <v/>
      </c>
      <c r="E84" t="str">
        <f>IF($A84="","",발령대장_입력!$A81&amp;"에 임함"&amp;IF(발령대장_입력!$B81="","",CHAR(10)&amp;"("&amp;발령대장_입력!$B81&amp;")")&amp;IF(발령대장_입력!$G81="","",CHAR(10)&amp;"("&amp;SUBSTITUTE(SUBSTITUTE(발령대장_입력!$G81,"호봉","")," ","")&amp;")호봉을 급함")&amp;CHAR(10)&amp;"임용기간: "&amp;YEAR(발령대장_입력!$E81)&amp;"."&amp;MONTH(발령대장_입력!$E81)&amp;"."&amp;DAY(발령대장_입력!$E81)&amp;"."&amp;" ~ "&amp;YEAR(발령대장_입력!$F81)&amp;"."&amp;MONTH(발령대장_입력!$F81)&amp;"."&amp;DAY(발령대장_입력!$F81)&amp;".")</f>
        <v/>
      </c>
      <c r="F84" t="str">
        <f>IF($A84="","",IF(기본설정·안내!$B$5="","",기본설정·안내!$B$5))</f>
        <v/>
      </c>
      <c r="G84" t="str">
        <f>IF($A84="","",IF(기본설정·안내!$B$6="","",기본설정·안내!$B$6))</f>
        <v/>
      </c>
      <c r="H84" t="str">
        <f>IF($A84="","",IF(기본설정·안내!$B$7="","",기본설정·안내!$B$7))</f>
        <v/>
      </c>
      <c r="I84" t="str">
        <f>IF($A84="","",IF(기본설정·안내!$B$8="","",기본설정·안내!$B$8))</f>
        <v/>
      </c>
      <c r="J84" t="str">
        <f>IF($A84="","",IF(기본설정·안내!$B$9="","",기본설정·안내!$B$9))</f>
        <v/>
      </c>
    </row>
    <row r="85" spans="1:10">
      <c r="A85" s="42" t="str">
        <f>IF(발령대장_입력!$C82="","",발령대장_입력!$E82)</f>
        <v/>
      </c>
      <c r="B85" t="str">
        <f>IF($A85="","",IF(기본설정·안내!$B$4="","",기본설정·안내!$B$4))</f>
        <v/>
      </c>
      <c r="C85" t="str">
        <f>IF($A85="","",IF(발령대장_입력!$B82="",발령대장_입력!$A82,발령대장_입력!$A82&amp;CHAR(10)&amp;"("&amp;발령대장_입력!$B82&amp;")"))</f>
        <v/>
      </c>
      <c r="D85" t="str">
        <f>IF($A85="","",발령대장_입력!$C82)</f>
        <v/>
      </c>
      <c r="E85" t="str">
        <f>IF($A85="","",발령대장_입력!$A82&amp;"에 임함"&amp;IF(발령대장_입력!$B82="","",CHAR(10)&amp;"("&amp;발령대장_입력!$B82&amp;")")&amp;IF(발령대장_입력!$G82="","",CHAR(10)&amp;"("&amp;SUBSTITUTE(SUBSTITUTE(발령대장_입력!$G82,"호봉","")," ","")&amp;")호봉을 급함")&amp;CHAR(10)&amp;"임용기간: "&amp;YEAR(발령대장_입력!$E82)&amp;"."&amp;MONTH(발령대장_입력!$E82)&amp;"."&amp;DAY(발령대장_입력!$E82)&amp;"."&amp;" ~ "&amp;YEAR(발령대장_입력!$F82)&amp;"."&amp;MONTH(발령대장_입력!$F82)&amp;"."&amp;DAY(발령대장_입력!$F82)&amp;".")</f>
        <v/>
      </c>
      <c r="F85" t="str">
        <f>IF($A85="","",IF(기본설정·안내!$B$5="","",기본설정·안내!$B$5))</f>
        <v/>
      </c>
      <c r="G85" t="str">
        <f>IF($A85="","",IF(기본설정·안내!$B$6="","",기본설정·안내!$B$6))</f>
        <v/>
      </c>
      <c r="H85" t="str">
        <f>IF($A85="","",IF(기본설정·안내!$B$7="","",기본설정·안내!$B$7))</f>
        <v/>
      </c>
      <c r="I85" t="str">
        <f>IF($A85="","",IF(기본설정·안내!$B$8="","",기본설정·안내!$B$8))</f>
        <v/>
      </c>
      <c r="J85" t="str">
        <f>IF($A85="","",IF(기본설정·안내!$B$9="","",기본설정·안내!$B$9))</f>
        <v/>
      </c>
    </row>
    <row r="86" spans="1:10">
      <c r="A86" s="42" t="str">
        <f>IF(발령대장_입력!$C83="","",발령대장_입력!$E83)</f>
        <v/>
      </c>
      <c r="B86" t="str">
        <f>IF($A86="","",IF(기본설정·안내!$B$4="","",기본설정·안내!$B$4))</f>
        <v/>
      </c>
      <c r="C86" t="str">
        <f>IF($A86="","",IF(발령대장_입력!$B83="",발령대장_입력!$A83,발령대장_입력!$A83&amp;CHAR(10)&amp;"("&amp;발령대장_입력!$B83&amp;")"))</f>
        <v/>
      </c>
      <c r="D86" t="str">
        <f>IF($A86="","",발령대장_입력!$C83)</f>
        <v/>
      </c>
      <c r="E86" t="str">
        <f>IF($A86="","",발령대장_입력!$A83&amp;"에 임함"&amp;IF(발령대장_입력!$B83="","",CHAR(10)&amp;"("&amp;발령대장_입력!$B83&amp;")")&amp;IF(발령대장_입력!$G83="","",CHAR(10)&amp;"("&amp;SUBSTITUTE(SUBSTITUTE(발령대장_입력!$G83,"호봉","")," ","")&amp;")호봉을 급함")&amp;CHAR(10)&amp;"임용기간: "&amp;YEAR(발령대장_입력!$E83)&amp;"."&amp;MONTH(발령대장_입력!$E83)&amp;"."&amp;DAY(발령대장_입력!$E83)&amp;"."&amp;" ~ "&amp;YEAR(발령대장_입력!$F83)&amp;"."&amp;MONTH(발령대장_입력!$F83)&amp;"."&amp;DAY(발령대장_입력!$F83)&amp;".")</f>
        <v/>
      </c>
      <c r="F86" t="str">
        <f>IF($A86="","",IF(기본설정·안내!$B$5="","",기본설정·안내!$B$5))</f>
        <v/>
      </c>
      <c r="G86" t="str">
        <f>IF($A86="","",IF(기본설정·안내!$B$6="","",기본설정·안내!$B$6))</f>
        <v/>
      </c>
      <c r="H86" t="str">
        <f>IF($A86="","",IF(기본설정·안내!$B$7="","",기본설정·안내!$B$7))</f>
        <v/>
      </c>
      <c r="I86" t="str">
        <f>IF($A86="","",IF(기본설정·안내!$B$8="","",기본설정·안내!$B$8))</f>
        <v/>
      </c>
      <c r="J86" t="str">
        <f>IF($A86="","",IF(기본설정·안내!$B$9="","",기본설정·안내!$B$9))</f>
        <v/>
      </c>
    </row>
    <row r="87" spans="1:10">
      <c r="A87" s="42" t="str">
        <f>IF(발령대장_입력!$C84="","",발령대장_입력!$E84)</f>
        <v/>
      </c>
      <c r="B87" t="str">
        <f>IF($A87="","",IF(기본설정·안내!$B$4="","",기본설정·안내!$B$4))</f>
        <v/>
      </c>
      <c r="C87" t="str">
        <f>IF($A87="","",IF(발령대장_입력!$B84="",발령대장_입력!$A84,발령대장_입력!$A84&amp;CHAR(10)&amp;"("&amp;발령대장_입력!$B84&amp;")"))</f>
        <v/>
      </c>
      <c r="D87" t="str">
        <f>IF($A87="","",발령대장_입력!$C84)</f>
        <v/>
      </c>
      <c r="E87" t="str">
        <f>IF($A87="","",발령대장_입력!$A84&amp;"에 임함"&amp;IF(발령대장_입력!$B84="","",CHAR(10)&amp;"("&amp;발령대장_입력!$B84&amp;")")&amp;IF(발령대장_입력!$G84="","",CHAR(10)&amp;"("&amp;SUBSTITUTE(SUBSTITUTE(발령대장_입력!$G84,"호봉","")," ","")&amp;")호봉을 급함")&amp;CHAR(10)&amp;"임용기간: "&amp;YEAR(발령대장_입력!$E84)&amp;"."&amp;MONTH(발령대장_입력!$E84)&amp;"."&amp;DAY(발령대장_입력!$E84)&amp;"."&amp;" ~ "&amp;YEAR(발령대장_입력!$F84)&amp;"."&amp;MONTH(발령대장_입력!$F84)&amp;"."&amp;DAY(발령대장_입력!$F84)&amp;".")</f>
        <v/>
      </c>
      <c r="F87" t="str">
        <f>IF($A87="","",IF(기본설정·안내!$B$5="","",기본설정·안내!$B$5))</f>
        <v/>
      </c>
      <c r="G87" t="str">
        <f>IF($A87="","",IF(기본설정·안내!$B$6="","",기본설정·안내!$B$6))</f>
        <v/>
      </c>
      <c r="H87" t="str">
        <f>IF($A87="","",IF(기본설정·안내!$B$7="","",기본설정·안내!$B$7))</f>
        <v/>
      </c>
      <c r="I87" t="str">
        <f>IF($A87="","",IF(기본설정·안내!$B$8="","",기본설정·안내!$B$8))</f>
        <v/>
      </c>
      <c r="J87" t="str">
        <f>IF($A87="","",IF(기본설정·안내!$B$9="","",기본설정·안내!$B$9))</f>
        <v/>
      </c>
    </row>
    <row r="88" spans="1:10">
      <c r="A88" s="42" t="str">
        <f>IF(발령대장_입력!$C85="","",발령대장_입력!$E85)</f>
        <v/>
      </c>
      <c r="B88" t="str">
        <f>IF($A88="","",IF(기본설정·안내!$B$4="","",기본설정·안내!$B$4))</f>
        <v/>
      </c>
      <c r="C88" t="str">
        <f>IF($A88="","",IF(발령대장_입력!$B85="",발령대장_입력!$A85,발령대장_입력!$A85&amp;CHAR(10)&amp;"("&amp;발령대장_입력!$B85&amp;")"))</f>
        <v/>
      </c>
      <c r="D88" t="str">
        <f>IF($A88="","",발령대장_입력!$C85)</f>
        <v/>
      </c>
      <c r="E88" t="str">
        <f>IF($A88="","",발령대장_입력!$A85&amp;"에 임함"&amp;IF(발령대장_입력!$B85="","",CHAR(10)&amp;"("&amp;발령대장_입력!$B85&amp;")")&amp;IF(발령대장_입력!$G85="","",CHAR(10)&amp;"("&amp;SUBSTITUTE(SUBSTITUTE(발령대장_입력!$G85,"호봉","")," ","")&amp;")호봉을 급함")&amp;CHAR(10)&amp;"임용기간: "&amp;YEAR(발령대장_입력!$E85)&amp;"."&amp;MONTH(발령대장_입력!$E85)&amp;"."&amp;DAY(발령대장_입력!$E85)&amp;"."&amp;" ~ "&amp;YEAR(발령대장_입력!$F85)&amp;"."&amp;MONTH(발령대장_입력!$F85)&amp;"."&amp;DAY(발령대장_입력!$F85)&amp;".")</f>
        <v/>
      </c>
      <c r="F88" t="str">
        <f>IF($A88="","",IF(기본설정·안내!$B$5="","",기본설정·안내!$B$5))</f>
        <v/>
      </c>
      <c r="G88" t="str">
        <f>IF($A88="","",IF(기본설정·안내!$B$6="","",기본설정·안내!$B$6))</f>
        <v/>
      </c>
      <c r="H88" t="str">
        <f>IF($A88="","",IF(기본설정·안내!$B$7="","",기본설정·안내!$B$7))</f>
        <v/>
      </c>
      <c r="I88" t="str">
        <f>IF($A88="","",IF(기본설정·안내!$B$8="","",기본설정·안내!$B$8))</f>
        <v/>
      </c>
      <c r="J88" t="str">
        <f>IF($A88="","",IF(기본설정·안내!$B$9="","",기본설정·안내!$B$9))</f>
        <v/>
      </c>
    </row>
    <row r="89" spans="1:10">
      <c r="A89" s="42" t="str">
        <f>IF(발령대장_입력!$C86="","",발령대장_입력!$E86)</f>
        <v/>
      </c>
      <c r="B89" t="str">
        <f>IF($A89="","",IF(기본설정·안내!$B$4="","",기본설정·안내!$B$4))</f>
        <v/>
      </c>
      <c r="C89" t="str">
        <f>IF($A89="","",IF(발령대장_입력!$B86="",발령대장_입력!$A86,발령대장_입력!$A86&amp;CHAR(10)&amp;"("&amp;발령대장_입력!$B86&amp;")"))</f>
        <v/>
      </c>
      <c r="D89" t="str">
        <f>IF($A89="","",발령대장_입력!$C86)</f>
        <v/>
      </c>
      <c r="E89" t="str">
        <f>IF($A89="","",발령대장_입력!$A86&amp;"에 임함"&amp;IF(발령대장_입력!$B86="","",CHAR(10)&amp;"("&amp;발령대장_입력!$B86&amp;")")&amp;IF(발령대장_입력!$G86="","",CHAR(10)&amp;"("&amp;SUBSTITUTE(SUBSTITUTE(발령대장_입력!$G86,"호봉","")," ","")&amp;")호봉을 급함")&amp;CHAR(10)&amp;"임용기간: "&amp;YEAR(발령대장_입력!$E86)&amp;"."&amp;MONTH(발령대장_입력!$E86)&amp;"."&amp;DAY(발령대장_입력!$E86)&amp;"."&amp;" ~ "&amp;YEAR(발령대장_입력!$F86)&amp;"."&amp;MONTH(발령대장_입력!$F86)&amp;"."&amp;DAY(발령대장_입력!$F86)&amp;".")</f>
        <v/>
      </c>
      <c r="F89" t="str">
        <f>IF($A89="","",IF(기본설정·안내!$B$5="","",기본설정·안내!$B$5))</f>
        <v/>
      </c>
      <c r="G89" t="str">
        <f>IF($A89="","",IF(기본설정·안내!$B$6="","",기본설정·안내!$B$6))</f>
        <v/>
      </c>
      <c r="H89" t="str">
        <f>IF($A89="","",IF(기본설정·안내!$B$7="","",기본설정·안내!$B$7))</f>
        <v/>
      </c>
      <c r="I89" t="str">
        <f>IF($A89="","",IF(기본설정·안내!$B$8="","",기본설정·안내!$B$8))</f>
        <v/>
      </c>
      <c r="J89" t="str">
        <f>IF($A89="","",IF(기본설정·안내!$B$9="","",기본설정·안내!$B$9))</f>
        <v/>
      </c>
    </row>
    <row r="90" spans="1:10">
      <c r="A90" s="42" t="str">
        <f>IF(발령대장_입력!$C87="","",발령대장_입력!$E87)</f>
        <v/>
      </c>
      <c r="B90" t="str">
        <f>IF($A90="","",IF(기본설정·안내!$B$4="","",기본설정·안내!$B$4))</f>
        <v/>
      </c>
      <c r="C90" t="str">
        <f>IF($A90="","",IF(발령대장_입력!$B87="",발령대장_입력!$A87,발령대장_입력!$A87&amp;CHAR(10)&amp;"("&amp;발령대장_입력!$B87&amp;")"))</f>
        <v/>
      </c>
      <c r="D90" t="str">
        <f>IF($A90="","",발령대장_입력!$C87)</f>
        <v/>
      </c>
      <c r="E90" t="str">
        <f>IF($A90="","",발령대장_입력!$A87&amp;"에 임함"&amp;IF(발령대장_입력!$B87="","",CHAR(10)&amp;"("&amp;발령대장_입력!$B87&amp;")")&amp;IF(발령대장_입력!$G87="","",CHAR(10)&amp;"("&amp;SUBSTITUTE(SUBSTITUTE(발령대장_입력!$G87,"호봉","")," ","")&amp;")호봉을 급함")&amp;CHAR(10)&amp;"임용기간: "&amp;YEAR(발령대장_입력!$E87)&amp;"."&amp;MONTH(발령대장_입력!$E87)&amp;"."&amp;DAY(발령대장_입력!$E87)&amp;"."&amp;" ~ "&amp;YEAR(발령대장_입력!$F87)&amp;"."&amp;MONTH(발령대장_입력!$F87)&amp;"."&amp;DAY(발령대장_입력!$F87)&amp;".")</f>
        <v/>
      </c>
      <c r="F90" t="str">
        <f>IF($A90="","",IF(기본설정·안내!$B$5="","",기본설정·안내!$B$5))</f>
        <v/>
      </c>
      <c r="G90" t="str">
        <f>IF($A90="","",IF(기본설정·안내!$B$6="","",기본설정·안내!$B$6))</f>
        <v/>
      </c>
      <c r="H90" t="str">
        <f>IF($A90="","",IF(기본설정·안내!$B$7="","",기본설정·안내!$B$7))</f>
        <v/>
      </c>
      <c r="I90" t="str">
        <f>IF($A90="","",IF(기본설정·안내!$B$8="","",기본설정·안내!$B$8))</f>
        <v/>
      </c>
      <c r="J90" t="str">
        <f>IF($A90="","",IF(기본설정·안내!$B$9="","",기본설정·안내!$B$9))</f>
        <v/>
      </c>
    </row>
    <row r="91" spans="1:10">
      <c r="A91" s="42" t="str">
        <f>IF(발령대장_입력!$C88="","",발령대장_입력!$E88)</f>
        <v/>
      </c>
      <c r="B91" t="str">
        <f>IF($A91="","",IF(기본설정·안내!$B$4="","",기본설정·안내!$B$4))</f>
        <v/>
      </c>
      <c r="C91" t="str">
        <f>IF($A91="","",IF(발령대장_입력!$B88="",발령대장_입력!$A88,발령대장_입력!$A88&amp;CHAR(10)&amp;"("&amp;발령대장_입력!$B88&amp;")"))</f>
        <v/>
      </c>
      <c r="D91" t="str">
        <f>IF($A91="","",발령대장_입력!$C88)</f>
        <v/>
      </c>
      <c r="E91" t="str">
        <f>IF($A91="","",발령대장_입력!$A88&amp;"에 임함"&amp;IF(발령대장_입력!$B88="","",CHAR(10)&amp;"("&amp;발령대장_입력!$B88&amp;")")&amp;IF(발령대장_입력!$G88="","",CHAR(10)&amp;"("&amp;SUBSTITUTE(SUBSTITUTE(발령대장_입력!$G88,"호봉","")," ","")&amp;")호봉을 급함")&amp;CHAR(10)&amp;"임용기간: "&amp;YEAR(발령대장_입력!$E88)&amp;"."&amp;MONTH(발령대장_입력!$E88)&amp;"."&amp;DAY(발령대장_입력!$E88)&amp;"."&amp;" ~ "&amp;YEAR(발령대장_입력!$F88)&amp;"."&amp;MONTH(발령대장_입력!$F88)&amp;"."&amp;DAY(발령대장_입력!$F88)&amp;".")</f>
        <v/>
      </c>
      <c r="F91" t="str">
        <f>IF($A91="","",IF(기본설정·안내!$B$5="","",기본설정·안내!$B$5))</f>
        <v/>
      </c>
      <c r="G91" t="str">
        <f>IF($A91="","",IF(기본설정·안내!$B$6="","",기본설정·안내!$B$6))</f>
        <v/>
      </c>
      <c r="H91" t="str">
        <f>IF($A91="","",IF(기본설정·안내!$B$7="","",기본설정·안내!$B$7))</f>
        <v/>
      </c>
      <c r="I91" t="str">
        <f>IF($A91="","",IF(기본설정·안내!$B$8="","",기본설정·안내!$B$8))</f>
        <v/>
      </c>
      <c r="J91" t="str">
        <f>IF($A91="","",IF(기본설정·안내!$B$9="","",기본설정·안내!$B$9))</f>
        <v/>
      </c>
    </row>
    <row r="92" spans="1:10">
      <c r="A92" s="42" t="str">
        <f>IF(발령대장_입력!$C89="","",발령대장_입력!$E89)</f>
        <v/>
      </c>
      <c r="B92" t="str">
        <f>IF($A92="","",IF(기본설정·안내!$B$4="","",기본설정·안내!$B$4))</f>
        <v/>
      </c>
      <c r="C92" t="str">
        <f>IF($A92="","",IF(발령대장_입력!$B89="",발령대장_입력!$A89,발령대장_입력!$A89&amp;CHAR(10)&amp;"("&amp;발령대장_입력!$B89&amp;")"))</f>
        <v/>
      </c>
      <c r="D92" t="str">
        <f>IF($A92="","",발령대장_입력!$C89)</f>
        <v/>
      </c>
      <c r="E92" t="str">
        <f>IF($A92="","",발령대장_입력!$A89&amp;"에 임함"&amp;IF(발령대장_입력!$B89="","",CHAR(10)&amp;"("&amp;발령대장_입력!$B89&amp;")")&amp;IF(발령대장_입력!$G89="","",CHAR(10)&amp;"("&amp;SUBSTITUTE(SUBSTITUTE(발령대장_입력!$G89,"호봉","")," ","")&amp;")호봉을 급함")&amp;CHAR(10)&amp;"임용기간: "&amp;YEAR(발령대장_입력!$E89)&amp;"."&amp;MONTH(발령대장_입력!$E89)&amp;"."&amp;DAY(발령대장_입력!$E89)&amp;"."&amp;" ~ "&amp;YEAR(발령대장_입력!$F89)&amp;"."&amp;MONTH(발령대장_입력!$F89)&amp;"."&amp;DAY(발령대장_입력!$F89)&amp;".")</f>
        <v/>
      </c>
      <c r="F92" t="str">
        <f>IF($A92="","",IF(기본설정·안내!$B$5="","",기본설정·안내!$B$5))</f>
        <v/>
      </c>
      <c r="G92" t="str">
        <f>IF($A92="","",IF(기본설정·안내!$B$6="","",기본설정·안내!$B$6))</f>
        <v/>
      </c>
      <c r="H92" t="str">
        <f>IF($A92="","",IF(기본설정·안내!$B$7="","",기본설정·안내!$B$7))</f>
        <v/>
      </c>
      <c r="I92" t="str">
        <f>IF($A92="","",IF(기본설정·안내!$B$8="","",기본설정·안내!$B$8))</f>
        <v/>
      </c>
      <c r="J92" t="str">
        <f>IF($A92="","",IF(기본설정·안내!$B$9="","",기본설정·안내!$B$9))</f>
        <v/>
      </c>
    </row>
    <row r="93" spans="1:10">
      <c r="A93" s="42" t="e">
        <f>IF(발령대장_입력!#REF!="","",발령대장_입력!#REF!)</f>
        <v>#REF!</v>
      </c>
      <c r="B93" t="e">
        <f>IF($A93="","",IF(기본설정·안내!$B$4="","",기본설정·안내!$B$4))</f>
        <v>#REF!</v>
      </c>
      <c r="C93" t="e">
        <f>IF($A93="","",IF(발령대장_입력!#REF!="",발령대장_입력!#REF!,발령대장_입력!#REF!&amp;CHAR(10)&amp;"("&amp;발령대장_입력!#REF!&amp;")"))</f>
        <v>#REF!</v>
      </c>
      <c r="D93" t="e">
        <f>IF($A93="","",발령대장_입력!#REF!)</f>
        <v>#REF!</v>
      </c>
      <c r="E93" t="e">
        <f>IF($A93="","",발령대장_입력!#REF!&amp;"에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93" t="e">
        <f>IF($A93="","",IF(기본설정·안내!$B$5="","",기본설정·안내!$B$5))</f>
        <v>#REF!</v>
      </c>
      <c r="G93" t="e">
        <f>IF($A93="","",IF(기본설정·안내!$B$6="","",기본설정·안내!$B$6))</f>
        <v>#REF!</v>
      </c>
      <c r="H93" t="e">
        <f>IF($A93="","",IF(기본설정·안내!$B$7="","",기본설정·안내!$B$7))</f>
        <v>#REF!</v>
      </c>
      <c r="I93" t="e">
        <f>IF($A93="","",IF(기본설정·안내!$B$8="","",기본설정·안내!$B$8))</f>
        <v>#REF!</v>
      </c>
      <c r="J93" t="e">
        <f>IF($A93="","",IF(기본설정·안내!$B$9="","",기본설정·안내!$B$9))</f>
        <v>#REF!</v>
      </c>
    </row>
    <row r="94" spans="1:10">
      <c r="A94" s="42" t="e">
        <f>IF(발령대장_입력!#REF!="","",발령대장_입력!#REF!)</f>
        <v>#REF!</v>
      </c>
      <c r="B94" t="e">
        <f>IF($A94="","",IF(기본설정·안내!$B$4="","",기본설정·안내!$B$4))</f>
        <v>#REF!</v>
      </c>
      <c r="C94" t="e">
        <f>IF($A94="","",IF(발령대장_입력!#REF!="",발령대장_입력!#REF!,발령대장_입력!#REF!&amp;CHAR(10)&amp;"("&amp;발령대장_입력!#REF!&amp;")"))</f>
        <v>#REF!</v>
      </c>
      <c r="D94" t="e">
        <f>IF($A94="","",발령대장_입력!#REF!)</f>
        <v>#REF!</v>
      </c>
      <c r="E94" t="e">
        <f>IF($A94="","",발령대장_입력!#REF!&amp;"에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94" t="e">
        <f>IF($A94="","",IF(기본설정·안내!$B$5="","",기본설정·안내!$B$5))</f>
        <v>#REF!</v>
      </c>
      <c r="G94" t="e">
        <f>IF($A94="","",IF(기본설정·안내!$B$6="","",기본설정·안내!$B$6))</f>
        <v>#REF!</v>
      </c>
      <c r="H94" t="e">
        <f>IF($A94="","",IF(기본설정·안내!$B$7="","",기본설정·안내!$B$7))</f>
        <v>#REF!</v>
      </c>
      <c r="I94" t="e">
        <f>IF($A94="","",IF(기본설정·안내!$B$8="","",기본설정·안내!$B$8))</f>
        <v>#REF!</v>
      </c>
      <c r="J94" t="e">
        <f>IF($A94="","",IF(기본설정·안내!$B$9="","",기본설정·안내!$B$9))</f>
        <v>#REF!</v>
      </c>
    </row>
    <row r="95" spans="1:10">
      <c r="A95" s="42" t="e">
        <f>IF(발령대장_입력!#REF!="","",발령대장_입력!#REF!)</f>
        <v>#REF!</v>
      </c>
      <c r="B95" t="e">
        <f>IF($A95="","",IF(기본설정·안내!$B$4="","",기본설정·안내!$B$4))</f>
        <v>#REF!</v>
      </c>
      <c r="C95" t="e">
        <f>IF($A95="","",IF(발령대장_입력!#REF!="",발령대장_입력!#REF!,발령대장_입력!#REF!&amp;CHAR(10)&amp;"("&amp;발령대장_입력!#REF!&amp;")"))</f>
        <v>#REF!</v>
      </c>
      <c r="D95" t="e">
        <f>IF($A95="","",발령대장_입력!#REF!)</f>
        <v>#REF!</v>
      </c>
      <c r="E95" t="e">
        <f>IF($A95="","",발령대장_입력!#REF!&amp;"에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95" t="e">
        <f>IF($A95="","",IF(기본설정·안내!$B$5="","",기본설정·안내!$B$5))</f>
        <v>#REF!</v>
      </c>
      <c r="G95" t="e">
        <f>IF($A95="","",IF(기본설정·안내!$B$6="","",기본설정·안내!$B$6))</f>
        <v>#REF!</v>
      </c>
      <c r="H95" t="e">
        <f>IF($A95="","",IF(기본설정·안내!$B$7="","",기본설정·안내!$B$7))</f>
        <v>#REF!</v>
      </c>
      <c r="I95" t="e">
        <f>IF($A95="","",IF(기본설정·안내!$B$8="","",기본설정·안내!$B$8))</f>
        <v>#REF!</v>
      </c>
      <c r="J95" t="e">
        <f>IF($A95="","",IF(기본설정·안내!$B$9="","",기본설정·안내!$B$9))</f>
        <v>#REF!</v>
      </c>
    </row>
    <row r="96" spans="1:10">
      <c r="A96" s="42" t="e">
        <f>IF(발령대장_입력!#REF!="","",발령대장_입력!#REF!)</f>
        <v>#REF!</v>
      </c>
      <c r="B96" t="e">
        <f>IF($A96="","",IF(기본설정·안내!$B$4="","",기본설정·안내!$B$4))</f>
        <v>#REF!</v>
      </c>
      <c r="C96" t="e">
        <f>IF($A96="","",IF(발령대장_입력!#REF!="",발령대장_입력!#REF!,발령대장_입력!#REF!&amp;CHAR(10)&amp;"("&amp;발령대장_입력!#REF!&amp;")"))</f>
        <v>#REF!</v>
      </c>
      <c r="D96" t="e">
        <f>IF($A96="","",발령대장_입력!#REF!)</f>
        <v>#REF!</v>
      </c>
      <c r="E96" t="e">
        <f>IF($A96="","",발령대장_입력!#REF!&amp;"에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96" t="e">
        <f>IF($A96="","",IF(기본설정·안내!$B$5="","",기본설정·안내!$B$5))</f>
        <v>#REF!</v>
      </c>
      <c r="G96" t="e">
        <f>IF($A96="","",IF(기본설정·안내!$B$6="","",기본설정·안내!$B$6))</f>
        <v>#REF!</v>
      </c>
      <c r="H96" t="e">
        <f>IF($A96="","",IF(기본설정·안내!$B$7="","",기본설정·안내!$B$7))</f>
        <v>#REF!</v>
      </c>
      <c r="I96" t="e">
        <f>IF($A96="","",IF(기본설정·안내!$B$8="","",기본설정·안내!$B$8))</f>
        <v>#REF!</v>
      </c>
      <c r="J96" t="e">
        <f>IF($A96="","",IF(기본설정·안내!$B$9="","",기본설정·안내!$B$9))</f>
        <v>#REF!</v>
      </c>
    </row>
    <row r="97" spans="1:10">
      <c r="A97" s="42" t="e">
        <f>IF(발령대장_입력!#REF!="","",발령대장_입력!#REF!)</f>
        <v>#REF!</v>
      </c>
      <c r="B97" t="e">
        <f>IF($A97="","",IF(기본설정·안내!$B$4="","",기본설정·안내!$B$4))</f>
        <v>#REF!</v>
      </c>
      <c r="C97" t="e">
        <f>IF($A97="","",IF(발령대장_입력!#REF!="",발령대장_입력!#REF!,발령대장_입력!#REF!&amp;CHAR(10)&amp;"("&amp;발령대장_입력!#REF!&amp;")"))</f>
        <v>#REF!</v>
      </c>
      <c r="D97" t="e">
        <f>IF($A97="","",발령대장_입력!#REF!)</f>
        <v>#REF!</v>
      </c>
      <c r="E97" t="e">
        <f>IF($A97="","",발령대장_입력!#REF!&amp;"에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97" t="e">
        <f>IF($A97="","",IF(기본설정·안내!$B$5="","",기본설정·안내!$B$5))</f>
        <v>#REF!</v>
      </c>
      <c r="G97" t="e">
        <f>IF($A97="","",IF(기본설정·안내!$B$6="","",기본설정·안내!$B$6))</f>
        <v>#REF!</v>
      </c>
      <c r="H97" t="e">
        <f>IF($A97="","",IF(기본설정·안내!$B$7="","",기본설정·안내!$B$7))</f>
        <v>#REF!</v>
      </c>
      <c r="I97" t="e">
        <f>IF($A97="","",IF(기본설정·안내!$B$8="","",기본설정·안내!$B$8))</f>
        <v>#REF!</v>
      </c>
      <c r="J97" t="e">
        <f>IF($A97="","",IF(기본설정·안내!$B$9="","",기본설정·안내!$B$9))</f>
        <v>#REF!</v>
      </c>
    </row>
    <row r="98" spans="1:10">
      <c r="A98" s="42" t="e">
        <f>IF(발령대장_입력!#REF!="","",발령대장_입력!#REF!)</f>
        <v>#REF!</v>
      </c>
      <c r="B98" t="e">
        <f>IF($A98="","",IF(기본설정·안내!$B$4="","",기본설정·안내!$B$4))</f>
        <v>#REF!</v>
      </c>
      <c r="C98" t="e">
        <f>IF($A98="","",IF(발령대장_입력!#REF!="",발령대장_입력!#REF!,발령대장_입력!#REF!&amp;CHAR(10)&amp;"("&amp;발령대장_입력!#REF!&amp;")"))</f>
        <v>#REF!</v>
      </c>
      <c r="D98" t="e">
        <f>IF($A98="","",발령대장_입력!#REF!)</f>
        <v>#REF!</v>
      </c>
      <c r="E98" t="e">
        <f>IF($A98="","",발령대장_입력!#REF!&amp;"에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98" t="e">
        <f>IF($A98="","",IF(기본설정·안내!$B$5="","",기본설정·안내!$B$5))</f>
        <v>#REF!</v>
      </c>
      <c r="G98" t="e">
        <f>IF($A98="","",IF(기본설정·안내!$B$6="","",기본설정·안내!$B$6))</f>
        <v>#REF!</v>
      </c>
      <c r="H98" t="e">
        <f>IF($A98="","",IF(기본설정·안내!$B$7="","",기본설정·안내!$B$7))</f>
        <v>#REF!</v>
      </c>
      <c r="I98" t="e">
        <f>IF($A98="","",IF(기본설정·안내!$B$8="","",기본설정·안내!$B$8))</f>
        <v>#REF!</v>
      </c>
      <c r="J98" t="e">
        <f>IF($A98="","",IF(기본설정·안내!$B$9="","",기본설정·안내!$B$9))</f>
        <v>#REF!</v>
      </c>
    </row>
    <row r="99" spans="1:10">
      <c r="A99" s="42" t="e">
        <f>IF(발령대장_입력!#REF!="","",발령대장_입력!#REF!)</f>
        <v>#REF!</v>
      </c>
      <c r="B99" t="e">
        <f>IF($A99="","",IF(기본설정·안내!$B$4="","",기본설정·안내!$B$4))</f>
        <v>#REF!</v>
      </c>
      <c r="C99" t="e">
        <f>IF($A99="","",IF(발령대장_입력!#REF!="",발령대장_입력!#REF!,발령대장_입력!#REF!&amp;CHAR(10)&amp;"("&amp;발령대장_입력!#REF!&amp;")"))</f>
        <v>#REF!</v>
      </c>
      <c r="D99" t="e">
        <f>IF($A99="","",발령대장_입력!#REF!)</f>
        <v>#REF!</v>
      </c>
      <c r="E99" t="e">
        <f>IF($A99="","",발령대장_입력!#REF!&amp;"에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99" t="e">
        <f>IF($A99="","",IF(기본설정·안내!$B$5="","",기본설정·안내!$B$5))</f>
        <v>#REF!</v>
      </c>
      <c r="G99" t="e">
        <f>IF($A99="","",IF(기본설정·안내!$B$6="","",기본설정·안내!$B$6))</f>
        <v>#REF!</v>
      </c>
      <c r="H99" t="e">
        <f>IF($A99="","",IF(기본설정·안내!$B$7="","",기본설정·안내!$B$7))</f>
        <v>#REF!</v>
      </c>
      <c r="I99" t="e">
        <f>IF($A99="","",IF(기본설정·안내!$B$8="","",기본설정·안내!$B$8))</f>
        <v>#REF!</v>
      </c>
      <c r="J99" t="e">
        <f>IF($A99="","",IF(기본설정·안내!$B$9="","",기본설정·안내!$B$9))</f>
        <v>#REF!</v>
      </c>
    </row>
    <row r="100" spans="1:10">
      <c r="A100" s="42" t="e">
        <f>IF(발령대장_입력!#REF!="","",발령대장_입력!#REF!)</f>
        <v>#REF!</v>
      </c>
      <c r="B100" t="e">
        <f>IF($A100="","",IF(기본설정·안내!$B$4="","",기본설정·안내!$B$4))</f>
        <v>#REF!</v>
      </c>
      <c r="C100" t="e">
        <f>IF($A100="","",IF(발령대장_입력!#REF!="",발령대장_입력!#REF!,발령대장_입력!#REF!&amp;CHAR(10)&amp;"("&amp;발령대장_입력!#REF!&amp;")"))</f>
        <v>#REF!</v>
      </c>
      <c r="D100" t="e">
        <f>IF($A100="","",발령대장_입력!#REF!)</f>
        <v>#REF!</v>
      </c>
      <c r="E100" t="e">
        <f>IF($A100="","",발령대장_입력!#REF!&amp;"에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00" t="e">
        <f>IF($A100="","",IF(기본설정·안내!$B$5="","",기본설정·안내!$B$5))</f>
        <v>#REF!</v>
      </c>
      <c r="G100" t="e">
        <f>IF($A100="","",IF(기본설정·안내!$B$6="","",기본설정·안내!$B$6))</f>
        <v>#REF!</v>
      </c>
      <c r="H100" t="e">
        <f>IF($A100="","",IF(기본설정·안내!$B$7="","",기본설정·안내!$B$7))</f>
        <v>#REF!</v>
      </c>
      <c r="I100" t="e">
        <f>IF($A100="","",IF(기본설정·안내!$B$8="","",기본설정·안내!$B$8))</f>
        <v>#REF!</v>
      </c>
      <c r="J100" t="e">
        <f>IF($A100="","",IF(기본설정·안내!$B$9="","",기본설정·안내!$B$9))</f>
        <v>#REF!</v>
      </c>
    </row>
    <row r="101" spans="1:10">
      <c r="A101" s="42" t="e">
        <f>IF(발령대장_입력!#REF!="","",발령대장_입력!#REF!)</f>
        <v>#REF!</v>
      </c>
      <c r="B101" t="e">
        <f>IF($A101="","",IF(기본설정·안내!$B$4="","",기본설정·안내!$B$4))</f>
        <v>#REF!</v>
      </c>
      <c r="C101" t="e">
        <f>IF($A101="","",IF(발령대장_입력!#REF!="",발령대장_입력!#REF!,발령대장_입력!#REF!&amp;CHAR(10)&amp;"("&amp;발령대장_입력!#REF!&amp;")"))</f>
        <v>#REF!</v>
      </c>
      <c r="D101" t="e">
        <f>IF($A101="","",발령대장_입력!#REF!)</f>
        <v>#REF!</v>
      </c>
      <c r="E101" t="e">
        <f>IF($A101="","",발령대장_입력!#REF!&amp;"에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01" t="e">
        <f>IF($A101="","",IF(기본설정·안내!$B$5="","",기본설정·안내!$B$5))</f>
        <v>#REF!</v>
      </c>
      <c r="G101" t="e">
        <f>IF($A101="","",IF(기본설정·안내!$B$6="","",기본설정·안내!$B$6))</f>
        <v>#REF!</v>
      </c>
      <c r="H101" t="e">
        <f>IF($A101="","",IF(기본설정·안내!$B$7="","",기본설정·안내!$B$7))</f>
        <v>#REF!</v>
      </c>
      <c r="I101" t="e">
        <f>IF($A101="","",IF(기본설정·안내!$B$8="","",기본설정·안내!$B$8))</f>
        <v>#REF!</v>
      </c>
      <c r="J101" t="e">
        <f>IF($A101="","",IF(기본설정·안내!$B$9="","",기본설정·안내!$B$9))</f>
        <v>#REF!</v>
      </c>
    </row>
    <row r="102" spans="1:10">
      <c r="A102" s="42" t="e">
        <f>IF(발령대장_입력!#REF!="","",발령대장_입력!#REF!)</f>
        <v>#REF!</v>
      </c>
      <c r="B102" t="e">
        <f>IF($A102="","",IF(기본설정·안내!$B$4="","",기본설정·안내!$B$4))</f>
        <v>#REF!</v>
      </c>
      <c r="C102" t="e">
        <f>IF($A102="","",IF(발령대장_입력!#REF!="",발령대장_입력!#REF!,발령대장_입력!#REF!&amp;CHAR(10)&amp;"("&amp;발령대장_입력!#REF!&amp;")"))</f>
        <v>#REF!</v>
      </c>
      <c r="D102" t="e">
        <f>IF($A102="","",발령대장_입력!#REF!)</f>
        <v>#REF!</v>
      </c>
      <c r="E102" t="e">
        <f>IF($A102="","",발령대장_입력!#REF!&amp;"에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02" t="e">
        <f>IF($A102="","",IF(기본설정·안내!$B$5="","",기본설정·안내!$B$5))</f>
        <v>#REF!</v>
      </c>
      <c r="G102" t="e">
        <f>IF($A102="","",IF(기본설정·안내!$B$6="","",기본설정·안내!$B$6))</f>
        <v>#REF!</v>
      </c>
      <c r="H102" t="e">
        <f>IF($A102="","",IF(기본설정·안내!$B$7="","",기본설정·안내!$B$7))</f>
        <v>#REF!</v>
      </c>
      <c r="I102" t="e">
        <f>IF($A102="","",IF(기본설정·안내!$B$8="","",기본설정·안내!$B$8))</f>
        <v>#REF!</v>
      </c>
      <c r="J102" t="e">
        <f>IF($A102="","",IF(기본설정·안내!$B$9="","",기본설정·안내!$B$9))</f>
        <v>#REF!</v>
      </c>
    </row>
    <row r="103" spans="1:10">
      <c r="A103" s="42" t="e">
        <f>IF(발령대장_입력!#REF!="","",발령대장_입력!#REF!)</f>
        <v>#REF!</v>
      </c>
      <c r="B103" t="e">
        <f>IF($A103="","",IF(기본설정·안내!$B$4="","",기본설정·안내!$B$4))</f>
        <v>#REF!</v>
      </c>
      <c r="C103" t="e">
        <f>IF($A103="","",IF(발령대장_입력!#REF!="",발령대장_입력!#REF!,발령대장_입력!#REF!&amp;CHAR(10)&amp;"("&amp;발령대장_입력!#REF!&amp;")"))</f>
        <v>#REF!</v>
      </c>
      <c r="D103" t="e">
        <f>IF($A103="","",발령대장_입력!#REF!)</f>
        <v>#REF!</v>
      </c>
      <c r="E103" t="e">
        <f>IF($A103="","",발령대장_입력!#REF!&amp;"에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03" t="e">
        <f>IF($A103="","",IF(기본설정·안내!$B$5="","",기본설정·안내!$B$5))</f>
        <v>#REF!</v>
      </c>
      <c r="G103" t="e">
        <f>IF($A103="","",IF(기본설정·안내!$B$6="","",기본설정·안내!$B$6))</f>
        <v>#REF!</v>
      </c>
      <c r="H103" t="e">
        <f>IF($A103="","",IF(기본설정·안내!$B$7="","",기본설정·안내!$B$7))</f>
        <v>#REF!</v>
      </c>
      <c r="I103" t="e">
        <f>IF($A103="","",IF(기본설정·안내!$B$8="","",기본설정·안내!$B$8))</f>
        <v>#REF!</v>
      </c>
      <c r="J103" t="e">
        <f>IF($A103="","",IF(기본설정·안내!$B$9="","",기본설정·안내!$B$9))</f>
        <v>#REF!</v>
      </c>
    </row>
    <row r="104" spans="1:10">
      <c r="A104" s="42" t="e">
        <f>IF(발령대장_입력!#REF!="","",발령대장_입력!#REF!)</f>
        <v>#REF!</v>
      </c>
      <c r="B104" t="e">
        <f>IF($A104="","",IF(기본설정·안내!$B$4="","",기본설정·안내!$B$4))</f>
        <v>#REF!</v>
      </c>
      <c r="C104" t="e">
        <f>IF($A104="","",IF(발령대장_입력!#REF!="",발령대장_입력!#REF!,발령대장_입력!#REF!&amp;CHAR(10)&amp;"("&amp;발령대장_입력!#REF!&amp;")"))</f>
        <v>#REF!</v>
      </c>
      <c r="D104" t="e">
        <f>IF($A104="","",발령대장_입력!#REF!)</f>
        <v>#REF!</v>
      </c>
      <c r="E104" t="e">
        <f>IF($A104="","",발령대장_입력!#REF!&amp;"에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04" t="e">
        <f>IF($A104="","",IF(기본설정·안내!$B$5="","",기본설정·안내!$B$5))</f>
        <v>#REF!</v>
      </c>
      <c r="G104" t="e">
        <f>IF($A104="","",IF(기본설정·안내!$B$6="","",기본설정·안내!$B$6))</f>
        <v>#REF!</v>
      </c>
      <c r="H104" t="e">
        <f>IF($A104="","",IF(기본설정·안내!$B$7="","",기본설정·안내!$B$7))</f>
        <v>#REF!</v>
      </c>
      <c r="I104" t="e">
        <f>IF($A104="","",IF(기본설정·안내!$B$8="","",기본설정·안내!$B$8))</f>
        <v>#REF!</v>
      </c>
      <c r="J104" t="e">
        <f>IF($A104="","",IF(기본설정·안내!$B$9="","",기본설정·안내!$B$9))</f>
        <v>#REF!</v>
      </c>
    </row>
    <row r="105" spans="1:10">
      <c r="A105" s="42" t="e">
        <f>IF(발령대장_입력!#REF!="","",발령대장_입력!#REF!)</f>
        <v>#REF!</v>
      </c>
      <c r="B105" t="e">
        <f>IF($A105="","",IF(기본설정·안내!$B$4="","",기본설정·안내!$B$4))</f>
        <v>#REF!</v>
      </c>
      <c r="C105" t="e">
        <f>IF($A105="","",IF(발령대장_입력!#REF!="",발령대장_입력!#REF!,발령대장_입력!#REF!&amp;CHAR(10)&amp;"("&amp;발령대장_입력!#REF!&amp;")"))</f>
        <v>#REF!</v>
      </c>
      <c r="D105" t="e">
        <f>IF($A105="","",발령대장_입력!#REF!)</f>
        <v>#REF!</v>
      </c>
      <c r="E105" t="e">
        <f>IF($A105="","",발령대장_입력!#REF!&amp;"에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05" t="e">
        <f>IF($A105="","",IF(기본설정·안내!$B$5="","",기본설정·안내!$B$5))</f>
        <v>#REF!</v>
      </c>
      <c r="G105" t="e">
        <f>IF($A105="","",IF(기본설정·안내!$B$6="","",기본설정·안내!$B$6))</f>
        <v>#REF!</v>
      </c>
      <c r="H105" t="e">
        <f>IF($A105="","",IF(기본설정·안내!$B$7="","",기본설정·안내!$B$7))</f>
        <v>#REF!</v>
      </c>
      <c r="I105" t="e">
        <f>IF($A105="","",IF(기본설정·안내!$B$8="","",기본설정·안내!$B$8))</f>
        <v>#REF!</v>
      </c>
      <c r="J105" t="e">
        <f>IF($A105="","",IF(기본설정·안내!$B$9="","",기본설정·안내!$B$9))</f>
        <v>#REF!</v>
      </c>
    </row>
    <row r="106" spans="1:10">
      <c r="A106" s="42" t="e">
        <f>IF(발령대장_입력!#REF!="","",발령대장_입력!#REF!)</f>
        <v>#REF!</v>
      </c>
      <c r="B106" t="e">
        <f>IF($A106="","",IF(기본설정·안내!$B$4="","",기본설정·안내!$B$4))</f>
        <v>#REF!</v>
      </c>
      <c r="C106" t="e">
        <f>IF($A106="","",IF(발령대장_입력!#REF!="",발령대장_입력!#REF!,발령대장_입력!#REF!&amp;CHAR(10)&amp;"("&amp;발령대장_입력!#REF!&amp;")"))</f>
        <v>#REF!</v>
      </c>
      <c r="D106" t="e">
        <f>IF($A106="","",발령대장_입력!#REF!)</f>
        <v>#REF!</v>
      </c>
      <c r="E106" t="e">
        <f>IF($A106="","",발령대장_입력!#REF!&amp;"에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06" t="e">
        <f>IF($A106="","",IF(기본설정·안내!$B$5="","",기본설정·안내!$B$5))</f>
        <v>#REF!</v>
      </c>
      <c r="G106" t="e">
        <f>IF($A106="","",IF(기본설정·안내!$B$6="","",기본설정·안내!$B$6))</f>
        <v>#REF!</v>
      </c>
      <c r="H106" t="e">
        <f>IF($A106="","",IF(기본설정·안내!$B$7="","",기본설정·안내!$B$7))</f>
        <v>#REF!</v>
      </c>
      <c r="I106" t="e">
        <f>IF($A106="","",IF(기본설정·안내!$B$8="","",기본설정·안내!$B$8))</f>
        <v>#REF!</v>
      </c>
      <c r="J106" t="e">
        <f>IF($A106="","",IF(기본설정·안내!$B$9="","",기본설정·안내!$B$9))</f>
        <v>#REF!</v>
      </c>
    </row>
    <row r="107" spans="1:10">
      <c r="A107" s="42" t="e">
        <f>IF(발령대장_입력!#REF!="","",발령대장_입력!#REF!)</f>
        <v>#REF!</v>
      </c>
      <c r="B107" t="e">
        <f>IF($A107="","",IF(기본설정·안내!$B$4="","",기본설정·안내!$B$4))</f>
        <v>#REF!</v>
      </c>
      <c r="C107" t="e">
        <f>IF($A107="","",IF(발령대장_입력!#REF!="",발령대장_입력!#REF!,발령대장_입력!#REF!&amp;CHAR(10)&amp;"("&amp;발령대장_입력!#REF!&amp;")"))</f>
        <v>#REF!</v>
      </c>
      <c r="D107" t="e">
        <f>IF($A107="","",발령대장_입력!#REF!)</f>
        <v>#REF!</v>
      </c>
      <c r="E107" t="e">
        <f>IF($A107="","",발령대장_입력!#REF!&amp;"에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07" t="e">
        <f>IF($A107="","",IF(기본설정·안내!$B$5="","",기본설정·안내!$B$5))</f>
        <v>#REF!</v>
      </c>
      <c r="G107" t="e">
        <f>IF($A107="","",IF(기본설정·안내!$B$6="","",기본설정·안내!$B$6))</f>
        <v>#REF!</v>
      </c>
      <c r="H107" t="e">
        <f>IF($A107="","",IF(기본설정·안내!$B$7="","",기본설정·안내!$B$7))</f>
        <v>#REF!</v>
      </c>
      <c r="I107" t="e">
        <f>IF($A107="","",IF(기본설정·안내!$B$8="","",기본설정·안내!$B$8))</f>
        <v>#REF!</v>
      </c>
      <c r="J107" t="e">
        <f>IF($A107="","",IF(기본설정·안내!$B$9="","",기본설정·안내!$B$9))</f>
        <v>#REF!</v>
      </c>
    </row>
    <row r="108" spans="1:10">
      <c r="A108" s="42" t="e">
        <f>IF(발령대장_입력!#REF!="","",발령대장_입력!#REF!)</f>
        <v>#REF!</v>
      </c>
      <c r="B108" t="e">
        <f>IF($A108="","",IF(기본설정·안내!$B$4="","",기본설정·안내!$B$4))</f>
        <v>#REF!</v>
      </c>
      <c r="C108" t="e">
        <f>IF($A108="","",IF(발령대장_입력!#REF!="",발령대장_입력!#REF!,발령대장_입력!#REF!&amp;CHAR(10)&amp;"("&amp;발령대장_입력!#REF!&amp;")"))</f>
        <v>#REF!</v>
      </c>
      <c r="D108" t="e">
        <f>IF($A108="","",발령대장_입력!#REF!)</f>
        <v>#REF!</v>
      </c>
      <c r="E108" t="e">
        <f>IF($A108="","",발령대장_입력!#REF!&amp;"에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08" t="e">
        <f>IF($A108="","",IF(기본설정·안내!$B$5="","",기본설정·안내!$B$5))</f>
        <v>#REF!</v>
      </c>
      <c r="G108" t="e">
        <f>IF($A108="","",IF(기본설정·안내!$B$6="","",기본설정·안내!$B$6))</f>
        <v>#REF!</v>
      </c>
      <c r="H108" t="e">
        <f>IF($A108="","",IF(기본설정·안내!$B$7="","",기본설정·안내!$B$7))</f>
        <v>#REF!</v>
      </c>
      <c r="I108" t="e">
        <f>IF($A108="","",IF(기본설정·안내!$B$8="","",기본설정·안내!$B$8))</f>
        <v>#REF!</v>
      </c>
      <c r="J108" t="e">
        <f>IF($A108="","",IF(기본설정·안내!$B$9="","",기본설정·안내!$B$9))</f>
        <v>#REF!</v>
      </c>
    </row>
    <row r="109" spans="1:10">
      <c r="A109" s="42" t="e">
        <f>IF(발령대장_입력!#REF!="","",발령대장_입력!#REF!)</f>
        <v>#REF!</v>
      </c>
      <c r="B109" t="e">
        <f>IF($A109="","",IF(기본설정·안내!$B$4="","",기본설정·안내!$B$4))</f>
        <v>#REF!</v>
      </c>
      <c r="C109" t="e">
        <f>IF($A109="","",IF(발령대장_입력!#REF!="",발령대장_입력!#REF!,발령대장_입력!#REF!&amp;CHAR(10)&amp;"("&amp;발령대장_입력!#REF!&amp;")"))</f>
        <v>#REF!</v>
      </c>
      <c r="D109" t="e">
        <f>IF($A109="","",발령대장_입력!#REF!)</f>
        <v>#REF!</v>
      </c>
      <c r="E109" t="e">
        <f>IF($A109="","",발령대장_입력!#REF!&amp;"에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09" t="e">
        <f>IF($A109="","",IF(기본설정·안내!$B$5="","",기본설정·안내!$B$5))</f>
        <v>#REF!</v>
      </c>
      <c r="G109" t="e">
        <f>IF($A109="","",IF(기본설정·안내!$B$6="","",기본설정·안내!$B$6))</f>
        <v>#REF!</v>
      </c>
      <c r="H109" t="e">
        <f>IF($A109="","",IF(기본설정·안내!$B$7="","",기본설정·안내!$B$7))</f>
        <v>#REF!</v>
      </c>
      <c r="I109" t="e">
        <f>IF($A109="","",IF(기본설정·안내!$B$8="","",기본설정·안내!$B$8))</f>
        <v>#REF!</v>
      </c>
      <c r="J109" t="e">
        <f>IF($A109="","",IF(기본설정·안내!$B$9="","",기본설정·안내!$B$9))</f>
        <v>#REF!</v>
      </c>
    </row>
    <row r="110" spans="1:10">
      <c r="A110" s="42" t="e">
        <f>IF(발령대장_입력!#REF!="","",발령대장_입력!#REF!)</f>
        <v>#REF!</v>
      </c>
      <c r="B110" t="e">
        <f>IF($A110="","",IF(기본설정·안내!$B$4="","",기본설정·안내!$B$4))</f>
        <v>#REF!</v>
      </c>
      <c r="C110" t="e">
        <f>IF($A110="","",IF(발령대장_입력!#REF!="",발령대장_입력!#REF!,발령대장_입력!#REF!&amp;CHAR(10)&amp;"("&amp;발령대장_입력!#REF!&amp;")"))</f>
        <v>#REF!</v>
      </c>
      <c r="D110" t="e">
        <f>IF($A110="","",발령대장_입력!#REF!)</f>
        <v>#REF!</v>
      </c>
      <c r="E110" t="e">
        <f>IF($A110="","",발령대장_입력!#REF!&amp;"에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10" t="e">
        <f>IF($A110="","",IF(기본설정·안내!$B$5="","",기본설정·안내!$B$5))</f>
        <v>#REF!</v>
      </c>
      <c r="G110" t="e">
        <f>IF($A110="","",IF(기본설정·안내!$B$6="","",기본설정·안내!$B$6))</f>
        <v>#REF!</v>
      </c>
      <c r="H110" t="e">
        <f>IF($A110="","",IF(기본설정·안내!$B$7="","",기본설정·안내!$B$7))</f>
        <v>#REF!</v>
      </c>
      <c r="I110" t="e">
        <f>IF($A110="","",IF(기본설정·안내!$B$8="","",기본설정·안내!$B$8))</f>
        <v>#REF!</v>
      </c>
      <c r="J110" t="e">
        <f>IF($A110="","",IF(기본설정·안내!$B$9="","",기본설정·안내!$B$9))</f>
        <v>#REF!</v>
      </c>
    </row>
    <row r="111" spans="1:10">
      <c r="A111" s="42" t="e">
        <f>IF(발령대장_입력!#REF!="","",발령대장_입력!#REF!)</f>
        <v>#REF!</v>
      </c>
      <c r="B111" t="e">
        <f>IF($A111="","",IF(기본설정·안내!$B$4="","",기본설정·안내!$B$4))</f>
        <v>#REF!</v>
      </c>
      <c r="C111" t="e">
        <f>IF($A111="","",IF(발령대장_입력!#REF!="",발령대장_입력!#REF!,발령대장_입력!#REF!&amp;CHAR(10)&amp;"("&amp;발령대장_입력!#REF!&amp;")"))</f>
        <v>#REF!</v>
      </c>
      <c r="D111" t="e">
        <f>IF($A111="","",발령대장_입력!#REF!)</f>
        <v>#REF!</v>
      </c>
      <c r="E111" t="e">
        <f>IF($A111="","",발령대장_입력!#REF!&amp;"에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11" t="e">
        <f>IF($A111="","",IF(기본설정·안내!$B$5="","",기본설정·안내!$B$5))</f>
        <v>#REF!</v>
      </c>
      <c r="G111" t="e">
        <f>IF($A111="","",IF(기본설정·안내!$B$6="","",기본설정·안내!$B$6))</f>
        <v>#REF!</v>
      </c>
      <c r="H111" t="e">
        <f>IF($A111="","",IF(기본설정·안내!$B$7="","",기본설정·안내!$B$7))</f>
        <v>#REF!</v>
      </c>
      <c r="I111" t="e">
        <f>IF($A111="","",IF(기본설정·안내!$B$8="","",기본설정·안내!$B$8))</f>
        <v>#REF!</v>
      </c>
      <c r="J111" t="e">
        <f>IF($A111="","",IF(기본설정·안내!$B$9="","",기본설정·안내!$B$9))</f>
        <v>#REF!</v>
      </c>
    </row>
    <row r="112" spans="1:10">
      <c r="A112" s="42" t="e">
        <f>IF(발령대장_입력!#REF!="","",발령대장_입력!#REF!)</f>
        <v>#REF!</v>
      </c>
      <c r="B112" t="e">
        <f>IF($A112="","",IF(기본설정·안내!$B$4="","",기본설정·안내!$B$4))</f>
        <v>#REF!</v>
      </c>
      <c r="C112" t="e">
        <f>IF($A112="","",IF(발령대장_입력!#REF!="",발령대장_입력!#REF!,발령대장_입력!#REF!&amp;CHAR(10)&amp;"("&amp;발령대장_입력!#REF!&amp;")"))</f>
        <v>#REF!</v>
      </c>
      <c r="D112" t="e">
        <f>IF($A112="","",발령대장_입력!#REF!)</f>
        <v>#REF!</v>
      </c>
      <c r="E112" t="e">
        <f>IF($A112="","",발령대장_입력!#REF!&amp;"에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12" t="e">
        <f>IF($A112="","",IF(기본설정·안내!$B$5="","",기본설정·안내!$B$5))</f>
        <v>#REF!</v>
      </c>
      <c r="G112" t="e">
        <f>IF($A112="","",IF(기본설정·안내!$B$6="","",기본설정·안내!$B$6))</f>
        <v>#REF!</v>
      </c>
      <c r="H112" t="e">
        <f>IF($A112="","",IF(기본설정·안내!$B$7="","",기본설정·안내!$B$7))</f>
        <v>#REF!</v>
      </c>
      <c r="I112" t="e">
        <f>IF($A112="","",IF(기본설정·안내!$B$8="","",기본설정·안내!$B$8))</f>
        <v>#REF!</v>
      </c>
      <c r="J112" t="e">
        <f>IF($A112="","",IF(기본설정·안내!$B$9="","",기본설정·안내!$B$9))</f>
        <v>#REF!</v>
      </c>
    </row>
    <row r="113" spans="1:10">
      <c r="A113" s="42" t="e">
        <f>IF(발령대장_입력!#REF!="","",발령대장_입력!#REF!)</f>
        <v>#REF!</v>
      </c>
      <c r="B113" t="e">
        <f>IF($A113="","",IF(기본설정·안내!$B$4="","",기본설정·안내!$B$4))</f>
        <v>#REF!</v>
      </c>
      <c r="C113" t="e">
        <f>IF($A113="","",IF(발령대장_입력!#REF!="",발령대장_입력!#REF!,발령대장_입력!#REF!&amp;CHAR(10)&amp;"("&amp;발령대장_입력!#REF!&amp;")"))</f>
        <v>#REF!</v>
      </c>
      <c r="D113" t="e">
        <f>IF($A113="","",발령대장_입력!#REF!)</f>
        <v>#REF!</v>
      </c>
      <c r="E113" t="e">
        <f>IF($A113="","",발령대장_입력!#REF!&amp;"에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13" t="e">
        <f>IF($A113="","",IF(기본설정·안내!$B$5="","",기본설정·안내!$B$5))</f>
        <v>#REF!</v>
      </c>
      <c r="G113" t="e">
        <f>IF($A113="","",IF(기본설정·안내!$B$6="","",기본설정·안내!$B$6))</f>
        <v>#REF!</v>
      </c>
      <c r="H113" t="e">
        <f>IF($A113="","",IF(기본설정·안내!$B$7="","",기본설정·안내!$B$7))</f>
        <v>#REF!</v>
      </c>
      <c r="I113" t="e">
        <f>IF($A113="","",IF(기본설정·안내!$B$8="","",기본설정·안내!$B$8))</f>
        <v>#REF!</v>
      </c>
      <c r="J113" t="e">
        <f>IF($A113="","",IF(기본설정·안내!$B$9="","",기본설정·안내!$B$9))</f>
        <v>#REF!</v>
      </c>
    </row>
    <row r="114" spans="1:10">
      <c r="A114" s="42" t="e">
        <f>IF(발령대장_입력!#REF!="","",발령대장_입력!#REF!)</f>
        <v>#REF!</v>
      </c>
      <c r="B114" t="e">
        <f>IF($A114="","",IF(기본설정·안내!$B$4="","",기본설정·안내!$B$4))</f>
        <v>#REF!</v>
      </c>
      <c r="C114" t="e">
        <f>IF($A114="","",IF(발령대장_입력!#REF!="",발령대장_입력!#REF!,발령대장_입력!#REF!&amp;CHAR(10)&amp;"("&amp;발령대장_입력!#REF!&amp;")"))</f>
        <v>#REF!</v>
      </c>
      <c r="D114" t="e">
        <f>IF($A114="","",발령대장_입력!#REF!)</f>
        <v>#REF!</v>
      </c>
      <c r="E114" t="e">
        <f>IF($A114="","",발령대장_입력!#REF!&amp;"에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14" t="e">
        <f>IF($A114="","",IF(기본설정·안내!$B$5="","",기본설정·안내!$B$5))</f>
        <v>#REF!</v>
      </c>
      <c r="G114" t="e">
        <f>IF($A114="","",IF(기본설정·안내!$B$6="","",기본설정·안내!$B$6))</f>
        <v>#REF!</v>
      </c>
      <c r="H114" t="e">
        <f>IF($A114="","",IF(기본설정·안내!$B$7="","",기본설정·안내!$B$7))</f>
        <v>#REF!</v>
      </c>
      <c r="I114" t="e">
        <f>IF($A114="","",IF(기본설정·안내!$B$8="","",기본설정·안내!$B$8))</f>
        <v>#REF!</v>
      </c>
      <c r="J114" t="e">
        <f>IF($A114="","",IF(기본설정·안내!$B$9="","",기본설정·안내!$B$9))</f>
        <v>#REF!</v>
      </c>
    </row>
    <row r="115" spans="1:10">
      <c r="A115" s="42" t="e">
        <f>IF(발령대장_입력!#REF!="","",발령대장_입력!#REF!)</f>
        <v>#REF!</v>
      </c>
      <c r="B115" t="e">
        <f>IF($A115="","",IF(기본설정·안내!$B$4="","",기본설정·안내!$B$4))</f>
        <v>#REF!</v>
      </c>
      <c r="C115" t="e">
        <f>IF($A115="","",IF(발령대장_입력!#REF!="",발령대장_입력!#REF!,발령대장_입력!#REF!&amp;CHAR(10)&amp;"("&amp;발령대장_입력!#REF!&amp;")"))</f>
        <v>#REF!</v>
      </c>
      <c r="D115" t="e">
        <f>IF($A115="","",발령대장_입력!#REF!)</f>
        <v>#REF!</v>
      </c>
      <c r="E115" t="e">
        <f>IF($A115="","",발령대장_입력!#REF!&amp;"에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15" t="e">
        <f>IF($A115="","",IF(기본설정·안내!$B$5="","",기본설정·안내!$B$5))</f>
        <v>#REF!</v>
      </c>
      <c r="G115" t="e">
        <f>IF($A115="","",IF(기본설정·안내!$B$6="","",기본설정·안내!$B$6))</f>
        <v>#REF!</v>
      </c>
      <c r="H115" t="e">
        <f>IF($A115="","",IF(기본설정·안내!$B$7="","",기본설정·안내!$B$7))</f>
        <v>#REF!</v>
      </c>
      <c r="I115" t="e">
        <f>IF($A115="","",IF(기본설정·안내!$B$8="","",기본설정·안내!$B$8))</f>
        <v>#REF!</v>
      </c>
      <c r="J115" t="e">
        <f>IF($A115="","",IF(기본설정·안내!$B$9="","",기본설정·안내!$B$9))</f>
        <v>#REF!</v>
      </c>
    </row>
    <row r="116" spans="1:10">
      <c r="A116" s="42" t="e">
        <f>IF(발령대장_입력!#REF!="","",발령대장_입력!#REF!)</f>
        <v>#REF!</v>
      </c>
      <c r="B116" t="e">
        <f>IF($A116="","",IF(기본설정·안내!$B$4="","",기본설정·안내!$B$4))</f>
        <v>#REF!</v>
      </c>
      <c r="C116" t="e">
        <f>IF($A116="","",IF(발령대장_입력!#REF!="",발령대장_입력!#REF!,발령대장_입력!#REF!&amp;CHAR(10)&amp;"("&amp;발령대장_입력!#REF!&amp;")"))</f>
        <v>#REF!</v>
      </c>
      <c r="D116" t="e">
        <f>IF($A116="","",발령대장_입력!#REF!)</f>
        <v>#REF!</v>
      </c>
      <c r="E116" t="e">
        <f>IF($A116="","",발령대장_입력!#REF!&amp;"에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16" t="e">
        <f>IF($A116="","",IF(기본설정·안내!$B$5="","",기본설정·안내!$B$5))</f>
        <v>#REF!</v>
      </c>
      <c r="G116" t="e">
        <f>IF($A116="","",IF(기본설정·안내!$B$6="","",기본설정·안내!$B$6))</f>
        <v>#REF!</v>
      </c>
      <c r="H116" t="e">
        <f>IF($A116="","",IF(기본설정·안내!$B$7="","",기본설정·안내!$B$7))</f>
        <v>#REF!</v>
      </c>
      <c r="I116" t="e">
        <f>IF($A116="","",IF(기본설정·안내!$B$8="","",기본설정·안내!$B$8))</f>
        <v>#REF!</v>
      </c>
      <c r="J116" t="e">
        <f>IF($A116="","",IF(기본설정·안내!$B$9="","",기본설정·안내!$B$9))</f>
        <v>#REF!</v>
      </c>
    </row>
    <row r="117" spans="1:10">
      <c r="A117" s="42" t="e">
        <f>IF(발령대장_입력!#REF!="","",발령대장_입력!#REF!)</f>
        <v>#REF!</v>
      </c>
      <c r="B117" t="e">
        <f>IF($A117="","",IF(기본설정·안내!$B$4="","",기본설정·안내!$B$4))</f>
        <v>#REF!</v>
      </c>
      <c r="C117" t="e">
        <f>IF($A117="","",IF(발령대장_입력!#REF!="",발령대장_입력!#REF!,발령대장_입력!#REF!&amp;CHAR(10)&amp;"("&amp;발령대장_입력!#REF!&amp;")"))</f>
        <v>#REF!</v>
      </c>
      <c r="D117" t="e">
        <f>IF($A117="","",발령대장_입력!#REF!)</f>
        <v>#REF!</v>
      </c>
      <c r="E117" t="e">
        <f>IF($A117="","",발령대장_입력!#REF!&amp;"에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17" t="e">
        <f>IF($A117="","",IF(기본설정·안내!$B$5="","",기본설정·안내!$B$5))</f>
        <v>#REF!</v>
      </c>
      <c r="G117" t="e">
        <f>IF($A117="","",IF(기본설정·안내!$B$6="","",기본설정·안내!$B$6))</f>
        <v>#REF!</v>
      </c>
      <c r="H117" t="e">
        <f>IF($A117="","",IF(기본설정·안내!$B$7="","",기본설정·안내!$B$7))</f>
        <v>#REF!</v>
      </c>
      <c r="I117" t="e">
        <f>IF($A117="","",IF(기본설정·안내!$B$8="","",기본설정·안내!$B$8))</f>
        <v>#REF!</v>
      </c>
      <c r="J117" t="e">
        <f>IF($A117="","",IF(기본설정·안내!$B$9="","",기본설정·안내!$B$9))</f>
        <v>#REF!</v>
      </c>
    </row>
    <row r="118" spans="1:10">
      <c r="A118" s="42" t="e">
        <f>IF(발령대장_입력!#REF!="","",발령대장_입력!#REF!)</f>
        <v>#REF!</v>
      </c>
      <c r="B118" t="e">
        <f>IF($A118="","",IF(기본설정·안내!$B$4="","",기본설정·안내!$B$4))</f>
        <v>#REF!</v>
      </c>
      <c r="C118" t="e">
        <f>IF($A118="","",IF(발령대장_입력!#REF!="",발령대장_입력!#REF!,발령대장_입력!#REF!&amp;CHAR(10)&amp;"("&amp;발령대장_입력!#REF!&amp;")"))</f>
        <v>#REF!</v>
      </c>
      <c r="D118" t="e">
        <f>IF($A118="","",발령대장_입력!#REF!)</f>
        <v>#REF!</v>
      </c>
      <c r="E118" t="e">
        <f>IF($A118="","",발령대장_입력!#REF!&amp;"에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18" t="e">
        <f>IF($A118="","",IF(기본설정·안내!$B$5="","",기본설정·안내!$B$5))</f>
        <v>#REF!</v>
      </c>
      <c r="G118" t="e">
        <f>IF($A118="","",IF(기본설정·안내!$B$6="","",기본설정·안내!$B$6))</f>
        <v>#REF!</v>
      </c>
      <c r="H118" t="e">
        <f>IF($A118="","",IF(기본설정·안내!$B$7="","",기본설정·안내!$B$7))</f>
        <v>#REF!</v>
      </c>
      <c r="I118" t="e">
        <f>IF($A118="","",IF(기본설정·안내!$B$8="","",기본설정·안내!$B$8))</f>
        <v>#REF!</v>
      </c>
      <c r="J118" t="e">
        <f>IF($A118="","",IF(기본설정·안내!$B$9="","",기본설정·안내!$B$9))</f>
        <v>#REF!</v>
      </c>
    </row>
    <row r="119" spans="1:10">
      <c r="A119" s="42" t="e">
        <f>IF(발령대장_입력!#REF!="","",발령대장_입력!#REF!)</f>
        <v>#REF!</v>
      </c>
      <c r="B119" t="e">
        <f>IF($A119="","",IF(기본설정·안내!$B$4="","",기본설정·안내!$B$4))</f>
        <v>#REF!</v>
      </c>
      <c r="C119" t="e">
        <f>IF($A119="","",IF(발령대장_입력!#REF!="",발령대장_입력!#REF!,발령대장_입력!#REF!&amp;CHAR(10)&amp;"("&amp;발령대장_입력!#REF!&amp;")"))</f>
        <v>#REF!</v>
      </c>
      <c r="D119" t="e">
        <f>IF($A119="","",발령대장_입력!#REF!)</f>
        <v>#REF!</v>
      </c>
      <c r="E119" t="e">
        <f>IF($A119="","",발령대장_입력!#REF!&amp;"에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19" t="e">
        <f>IF($A119="","",IF(기본설정·안내!$B$5="","",기본설정·안내!$B$5))</f>
        <v>#REF!</v>
      </c>
      <c r="G119" t="e">
        <f>IF($A119="","",IF(기본설정·안내!$B$6="","",기본설정·안내!$B$6))</f>
        <v>#REF!</v>
      </c>
      <c r="H119" t="e">
        <f>IF($A119="","",IF(기본설정·안내!$B$7="","",기본설정·안내!$B$7))</f>
        <v>#REF!</v>
      </c>
      <c r="I119" t="e">
        <f>IF($A119="","",IF(기본설정·안내!$B$8="","",기본설정·안내!$B$8))</f>
        <v>#REF!</v>
      </c>
      <c r="J119" t="e">
        <f>IF($A119="","",IF(기본설정·안내!$B$9="","",기본설정·안내!$B$9))</f>
        <v>#REF!</v>
      </c>
    </row>
    <row r="120" spans="1:10">
      <c r="A120" s="42" t="e">
        <f>IF(발령대장_입력!#REF!="","",발령대장_입력!#REF!)</f>
        <v>#REF!</v>
      </c>
      <c r="B120" t="e">
        <f>IF($A120="","",IF(기본설정·안내!$B$4="","",기본설정·안내!$B$4))</f>
        <v>#REF!</v>
      </c>
      <c r="C120" t="e">
        <f>IF($A120="","",IF(발령대장_입력!#REF!="",발령대장_입력!#REF!,발령대장_입력!#REF!&amp;CHAR(10)&amp;"("&amp;발령대장_입력!#REF!&amp;")"))</f>
        <v>#REF!</v>
      </c>
      <c r="D120" t="e">
        <f>IF($A120="","",발령대장_입력!#REF!)</f>
        <v>#REF!</v>
      </c>
      <c r="E120" t="e">
        <f>IF($A120="","",발령대장_입력!#REF!&amp;"에 임함"&amp;IF(발령대장_입력!#REF!="","",CHAR(10)&amp;"("&amp;발령대장_입력!#REF!&amp;")")&amp;IF(발령대장_입력!#REF!="","",CHAR(10)&amp;"("&amp;SUBSTITUTE(SUBSTITUTE(발령대장_입력!#REF!,"호봉","")," ","")&amp;")호봉을 급함")&amp;CHAR(10)&amp;"임용기간: "&amp;YEAR(발령대장_입력!#REF!)&amp;"."&amp;MONTH(발령대장_입력!#REF!)&amp;"."&amp;DAY(발령대장_입력!#REF!)&amp;"."&amp;" ~ "&amp;YEAR(발령대장_입력!#REF!)&amp;"."&amp;MONTH(발령대장_입력!#REF!)&amp;"."&amp;DAY(발령대장_입력!#REF!)&amp;".")</f>
        <v>#REF!</v>
      </c>
      <c r="F120" t="e">
        <f>IF($A120="","",IF(기본설정·안내!$B$5="","",기본설정·안내!$B$5))</f>
        <v>#REF!</v>
      </c>
      <c r="G120" t="e">
        <f>IF($A120="","",IF(기본설정·안내!$B$6="","",기본설정·안내!$B$6))</f>
        <v>#REF!</v>
      </c>
      <c r="H120" t="e">
        <f>IF($A120="","",IF(기본설정·안내!$B$7="","",기본설정·안내!$B$7))</f>
        <v>#REF!</v>
      </c>
      <c r="I120" t="e">
        <f>IF($A120="","",IF(기본설정·안내!$B$8="","",기본설정·안내!$B$8))</f>
        <v>#REF!</v>
      </c>
      <c r="J120" t="e">
        <f>IF($A120="","",IF(기본설정·안내!$B$9="","",기본설정·안내!$B$9))</f>
        <v>#REF!</v>
      </c>
    </row>
    <row r="121" spans="1:10">
      <c r="A121" s="42" t="str">
        <f>IF(발령대장_입력!$C90="","",발령대장_입력!$E90)</f>
        <v/>
      </c>
      <c r="B121" t="str">
        <f>IF($A121="","",IF(기본설정·안내!$B$4="","",기본설정·안내!$B$4))</f>
        <v/>
      </c>
      <c r="C121" t="str">
        <f>IF($A121="","",IF(발령대장_입력!$B90="",발령대장_입력!$A90,발령대장_입력!$A90&amp;CHAR(10)&amp;"("&amp;발령대장_입력!$B90&amp;")"))</f>
        <v/>
      </c>
      <c r="D121" t="str">
        <f>IF($A121="","",발령대장_입력!$C90)</f>
        <v/>
      </c>
      <c r="E121" t="str">
        <f>IF($A121="","",발령대장_입력!$A90&amp;"에 임함"&amp;IF(발령대장_입력!$B90="","",CHAR(10)&amp;"("&amp;발령대장_입력!$B90&amp;")")&amp;IF(발령대장_입력!$G90="","",CHAR(10)&amp;"("&amp;SUBSTITUTE(SUBSTITUTE(발령대장_입력!$G90,"호봉","")," ","")&amp;")호봉을 급함")&amp;CHAR(10)&amp;"임용기간: "&amp;YEAR(발령대장_입력!$E90)&amp;"."&amp;MONTH(발령대장_입력!$E90)&amp;"."&amp;DAY(발령대장_입력!$E90)&amp;"."&amp;" ~ "&amp;YEAR(발령대장_입력!$F90)&amp;"."&amp;MONTH(발령대장_입력!$F90)&amp;"."&amp;DAY(발령대장_입력!$F90)&amp;".")</f>
        <v/>
      </c>
      <c r="F121" t="str">
        <f>IF($A121="","",IF(기본설정·안내!$B$5="","",기본설정·안내!$B$5))</f>
        <v/>
      </c>
      <c r="G121" t="str">
        <f>IF($A121="","",IF(기본설정·안내!$B$6="","",기본설정·안내!$B$6))</f>
        <v/>
      </c>
      <c r="H121" t="str">
        <f>IF($A121="","",IF(기본설정·안내!$B$7="","",기본설정·안내!$B$7))</f>
        <v/>
      </c>
      <c r="I121" t="str">
        <f>IF($A121="","",IF(기본설정·안내!$B$8="","",기본설정·안내!$B$8))</f>
        <v/>
      </c>
      <c r="J121" t="str">
        <f>IF($A121="","",IF(기본설정·안내!$B$9="","",기본설정·안내!$B$9))</f>
        <v/>
      </c>
    </row>
    <row r="122" spans="1:10">
      <c r="A122" s="42" t="str">
        <f>IF(발령대장_입력!$C91="","",발령대장_입력!$E91)</f>
        <v/>
      </c>
      <c r="B122" t="str">
        <f>IF($A122="","",IF(기본설정·안내!$B$4="","",기본설정·안내!$B$4))</f>
        <v/>
      </c>
      <c r="C122" t="str">
        <f>IF($A122="","",IF(발령대장_입력!$B91="",발령대장_입력!$A91,발령대장_입력!$A91&amp;CHAR(10)&amp;"("&amp;발령대장_입력!$B91&amp;")"))</f>
        <v/>
      </c>
      <c r="D122" t="str">
        <f>IF($A122="","",발령대장_입력!$C91)</f>
        <v/>
      </c>
      <c r="E122" t="str">
        <f>IF($A122="","",발령대장_입력!$A91&amp;"에 임함"&amp;IF(발령대장_입력!$B91="","",CHAR(10)&amp;"("&amp;발령대장_입력!$B91&amp;")")&amp;IF(발령대장_입력!$G91="","",CHAR(10)&amp;"("&amp;SUBSTITUTE(SUBSTITUTE(발령대장_입력!$G91,"호봉","")," ","")&amp;")호봉을 급함")&amp;CHAR(10)&amp;"임용기간: "&amp;YEAR(발령대장_입력!$E91)&amp;"."&amp;MONTH(발령대장_입력!$E91)&amp;"."&amp;DAY(발령대장_입력!$E91)&amp;"."&amp;" ~ "&amp;YEAR(발령대장_입력!$F91)&amp;"."&amp;MONTH(발령대장_입력!$F91)&amp;"."&amp;DAY(발령대장_입력!$F91)&amp;".")</f>
        <v/>
      </c>
      <c r="F122" t="str">
        <f>IF($A122="","",IF(기본설정·안내!$B$5="","",기본설정·안내!$B$5))</f>
        <v/>
      </c>
      <c r="G122" t="str">
        <f>IF($A122="","",IF(기본설정·안내!$B$6="","",기본설정·안내!$B$6))</f>
        <v/>
      </c>
      <c r="H122" t="str">
        <f>IF($A122="","",IF(기본설정·안내!$B$7="","",기본설정·안내!$B$7))</f>
        <v/>
      </c>
      <c r="I122" t="str">
        <f>IF($A122="","",IF(기본설정·안내!$B$8="","",기본설정·안내!$B$8))</f>
        <v/>
      </c>
      <c r="J122" t="str">
        <f>IF($A122="","",IF(기본설정·안내!$B$9="","",기본설정·안내!$B$9))</f>
        <v/>
      </c>
    </row>
    <row r="123" spans="1:10">
      <c r="A123" s="42" t="str">
        <f>IF(발령대장_입력!$C92="","",발령대장_입력!$E92)</f>
        <v/>
      </c>
      <c r="B123" t="str">
        <f>IF($A123="","",IF(기본설정·안내!$B$4="","",기본설정·안내!$B$4))</f>
        <v/>
      </c>
      <c r="C123" t="str">
        <f>IF($A123="","",IF(발령대장_입력!$B92="",발령대장_입력!$A92,발령대장_입력!$A92&amp;CHAR(10)&amp;"("&amp;발령대장_입력!$B92&amp;")"))</f>
        <v/>
      </c>
      <c r="D123" t="str">
        <f>IF($A123="","",발령대장_입력!$C92)</f>
        <v/>
      </c>
      <c r="E123" t="str">
        <f>IF($A123="","",발령대장_입력!$A92&amp;"에 임함"&amp;IF(발령대장_입력!$B92="","",CHAR(10)&amp;"("&amp;발령대장_입력!$B92&amp;")")&amp;IF(발령대장_입력!$G92="","",CHAR(10)&amp;"("&amp;SUBSTITUTE(SUBSTITUTE(발령대장_입력!$G92,"호봉","")," ","")&amp;")호봉을 급함")&amp;CHAR(10)&amp;"임용기간: "&amp;YEAR(발령대장_입력!$E92)&amp;"."&amp;MONTH(발령대장_입력!$E92)&amp;"."&amp;DAY(발령대장_입력!$E92)&amp;"."&amp;" ~ "&amp;YEAR(발령대장_입력!$F92)&amp;"."&amp;MONTH(발령대장_입력!$F92)&amp;"."&amp;DAY(발령대장_입력!$F92)&amp;".")</f>
        <v/>
      </c>
      <c r="F123" t="str">
        <f>IF($A123="","",IF(기본설정·안내!$B$5="","",기본설정·안내!$B$5))</f>
        <v/>
      </c>
      <c r="G123" t="str">
        <f>IF($A123="","",IF(기본설정·안내!$B$6="","",기본설정·안내!$B$6))</f>
        <v/>
      </c>
      <c r="H123" t="str">
        <f>IF($A123="","",IF(기본설정·안내!$B$7="","",기본설정·안내!$B$7))</f>
        <v/>
      </c>
      <c r="I123" t="str">
        <f>IF($A123="","",IF(기본설정·안내!$B$8="","",기본설정·안내!$B$8))</f>
        <v/>
      </c>
      <c r="J123" t="str">
        <f>IF($A123="","",IF(기본설정·안내!$B$9="","",기본설정·안내!$B$9))</f>
        <v/>
      </c>
    </row>
    <row r="124" spans="1:10">
      <c r="A124" s="42" t="str">
        <f>IF(발령대장_입력!$C93="","",발령대장_입력!$E93)</f>
        <v/>
      </c>
      <c r="B124" t="str">
        <f>IF($A124="","",IF(기본설정·안내!$B$4="","",기본설정·안내!$B$4))</f>
        <v/>
      </c>
      <c r="C124" t="str">
        <f>IF($A124="","",IF(발령대장_입력!$B93="",발령대장_입력!$A93,발령대장_입력!$A93&amp;CHAR(10)&amp;"("&amp;발령대장_입력!$B93&amp;")"))</f>
        <v/>
      </c>
      <c r="D124" t="str">
        <f>IF($A124="","",발령대장_입력!$C93)</f>
        <v/>
      </c>
      <c r="E124" t="str">
        <f>IF($A124="","",발령대장_입력!$A93&amp;"에 임함"&amp;IF(발령대장_입력!$B93="","",CHAR(10)&amp;"("&amp;발령대장_입력!$B93&amp;")")&amp;IF(발령대장_입력!$G93="","",CHAR(10)&amp;"("&amp;SUBSTITUTE(SUBSTITUTE(발령대장_입력!$G93,"호봉","")," ","")&amp;")호봉을 급함")&amp;CHAR(10)&amp;"임용기간: "&amp;YEAR(발령대장_입력!$E93)&amp;"."&amp;MONTH(발령대장_입력!$E93)&amp;"."&amp;DAY(발령대장_입력!$E93)&amp;"."&amp;" ~ "&amp;YEAR(발령대장_입력!$F93)&amp;"."&amp;MONTH(발령대장_입력!$F93)&amp;"."&amp;DAY(발령대장_입력!$F93)&amp;".")</f>
        <v/>
      </c>
      <c r="F124" t="str">
        <f>IF($A124="","",IF(기본설정·안내!$B$5="","",기본설정·안내!$B$5))</f>
        <v/>
      </c>
      <c r="G124" t="str">
        <f>IF($A124="","",IF(기본설정·안내!$B$6="","",기본설정·안내!$B$6))</f>
        <v/>
      </c>
      <c r="H124" t="str">
        <f>IF($A124="","",IF(기본설정·안내!$B$7="","",기본설정·안내!$B$7))</f>
        <v/>
      </c>
      <c r="I124" t="str">
        <f>IF($A124="","",IF(기본설정·안내!$B$8="","",기본설정·안내!$B$8))</f>
        <v/>
      </c>
      <c r="J124" t="str">
        <f>IF($A124="","",IF(기본설정·안내!$B$9="","",기본설정·안내!$B$9))</f>
        <v/>
      </c>
    </row>
    <row r="125" spans="1:10">
      <c r="A125" s="42" t="str">
        <f>IF(발령대장_입력!$C94="","",발령대장_입력!$E94)</f>
        <v/>
      </c>
      <c r="B125" t="str">
        <f>IF($A125="","",IF(기본설정·안내!$B$4="","",기본설정·안내!$B$4))</f>
        <v/>
      </c>
      <c r="C125" t="str">
        <f>IF($A125="","",IF(발령대장_입력!$B94="",발령대장_입력!$A94,발령대장_입력!$A94&amp;CHAR(10)&amp;"("&amp;발령대장_입력!$B94&amp;")"))</f>
        <v/>
      </c>
      <c r="D125" t="str">
        <f>IF($A125="","",발령대장_입력!$C94)</f>
        <v/>
      </c>
      <c r="E125" t="str">
        <f>IF($A125="","",발령대장_입력!$A94&amp;"에 임함"&amp;IF(발령대장_입력!$B94="","",CHAR(10)&amp;"("&amp;발령대장_입력!$B94&amp;")")&amp;IF(발령대장_입력!$G94="","",CHAR(10)&amp;"("&amp;SUBSTITUTE(SUBSTITUTE(발령대장_입력!$G94,"호봉","")," ","")&amp;")호봉을 급함")&amp;CHAR(10)&amp;"임용기간: "&amp;YEAR(발령대장_입력!$E94)&amp;"."&amp;MONTH(발령대장_입력!$E94)&amp;"."&amp;DAY(발령대장_입력!$E94)&amp;"."&amp;" ~ "&amp;YEAR(발령대장_입력!$F94)&amp;"."&amp;MONTH(발령대장_입력!$F94)&amp;"."&amp;DAY(발령대장_입력!$F94)&amp;".")</f>
        <v/>
      </c>
      <c r="F125" t="str">
        <f>IF($A125="","",IF(기본설정·안내!$B$5="","",기본설정·안내!$B$5))</f>
        <v/>
      </c>
      <c r="G125" t="str">
        <f>IF($A125="","",IF(기본설정·안내!$B$6="","",기본설정·안내!$B$6))</f>
        <v/>
      </c>
      <c r="H125" t="str">
        <f>IF($A125="","",IF(기본설정·안내!$B$7="","",기본설정·안내!$B$7))</f>
        <v/>
      </c>
      <c r="I125" t="str">
        <f>IF($A125="","",IF(기본설정·안내!$B$8="","",기본설정·안내!$B$8))</f>
        <v/>
      </c>
      <c r="J125" t="str">
        <f>IF($A125="","",IF(기본설정·안내!$B$9="","",기본설정·안내!$B$9))</f>
        <v/>
      </c>
    </row>
    <row r="126" spans="1:10">
      <c r="A126" s="42" t="str">
        <f>IF(발령대장_입력!$C95="","",발령대장_입력!$E95)</f>
        <v/>
      </c>
      <c r="B126" t="str">
        <f>IF($A126="","",IF(기본설정·안내!$B$4="","",기본설정·안내!$B$4))</f>
        <v/>
      </c>
      <c r="C126" t="str">
        <f>IF($A126="","",IF(발령대장_입력!$B95="",발령대장_입력!$A95,발령대장_입력!$A95&amp;CHAR(10)&amp;"("&amp;발령대장_입력!$B95&amp;")"))</f>
        <v/>
      </c>
      <c r="D126" t="str">
        <f>IF($A126="","",발령대장_입력!$C95)</f>
        <v/>
      </c>
      <c r="E126" t="str">
        <f>IF($A126="","",발령대장_입력!$A95&amp;"에 임함"&amp;IF(발령대장_입력!$B95="","",CHAR(10)&amp;"("&amp;발령대장_입력!$B95&amp;")")&amp;IF(발령대장_입력!$G95="","",CHAR(10)&amp;"("&amp;SUBSTITUTE(SUBSTITUTE(발령대장_입력!$G95,"호봉","")," ","")&amp;")호봉을 급함")&amp;CHAR(10)&amp;"임용기간: "&amp;YEAR(발령대장_입력!$E95)&amp;"."&amp;MONTH(발령대장_입력!$E95)&amp;"."&amp;DAY(발령대장_입력!$E95)&amp;"."&amp;" ~ "&amp;YEAR(발령대장_입력!$F95)&amp;"."&amp;MONTH(발령대장_입력!$F95)&amp;"."&amp;DAY(발령대장_입력!$F95)&amp;".")</f>
        <v/>
      </c>
      <c r="F126" t="str">
        <f>IF($A126="","",IF(기본설정·안내!$B$5="","",기본설정·안내!$B$5))</f>
        <v/>
      </c>
      <c r="G126" t="str">
        <f>IF($A126="","",IF(기본설정·안내!$B$6="","",기본설정·안내!$B$6))</f>
        <v/>
      </c>
      <c r="H126" t="str">
        <f>IF($A126="","",IF(기본설정·안내!$B$7="","",기본설정·안내!$B$7))</f>
        <v/>
      </c>
      <c r="I126" t="str">
        <f>IF($A126="","",IF(기본설정·안내!$B$8="","",기본설정·안내!$B$8))</f>
        <v/>
      </c>
      <c r="J126" t="str">
        <f>IF($A126="","",IF(기본설정·안내!$B$9="","",기본설정·안내!$B$9))</f>
        <v/>
      </c>
    </row>
    <row r="127" spans="1:10">
      <c r="A127" s="42" t="str">
        <f>IF(발령대장_입력!$C96="","",발령대장_입력!$E96)</f>
        <v/>
      </c>
      <c r="B127" t="str">
        <f>IF($A127="","",IF(기본설정·안내!$B$4="","",기본설정·안내!$B$4))</f>
        <v/>
      </c>
      <c r="C127" t="str">
        <f>IF($A127="","",IF(발령대장_입력!$B96="",발령대장_입력!$A96,발령대장_입력!$A96&amp;CHAR(10)&amp;"("&amp;발령대장_입력!$B96&amp;")"))</f>
        <v/>
      </c>
      <c r="D127" t="str">
        <f>IF($A127="","",발령대장_입력!$C96)</f>
        <v/>
      </c>
      <c r="E127" t="str">
        <f>IF($A127="","",발령대장_입력!$A96&amp;"에 임함"&amp;IF(발령대장_입력!$B96="","",CHAR(10)&amp;"("&amp;발령대장_입력!$B96&amp;")")&amp;IF(발령대장_입력!$G96="","",CHAR(10)&amp;"("&amp;SUBSTITUTE(SUBSTITUTE(발령대장_입력!$G96,"호봉","")," ","")&amp;")호봉을 급함")&amp;CHAR(10)&amp;"임용기간: "&amp;YEAR(발령대장_입력!$E96)&amp;"."&amp;MONTH(발령대장_입력!$E96)&amp;"."&amp;DAY(발령대장_입력!$E96)&amp;"."&amp;" ~ "&amp;YEAR(발령대장_입력!$F96)&amp;"."&amp;MONTH(발령대장_입력!$F96)&amp;"."&amp;DAY(발령대장_입력!$F96)&amp;".")</f>
        <v/>
      </c>
      <c r="F127" t="str">
        <f>IF($A127="","",IF(기본설정·안내!$B$5="","",기본설정·안내!$B$5))</f>
        <v/>
      </c>
      <c r="G127" t="str">
        <f>IF($A127="","",IF(기본설정·안내!$B$6="","",기본설정·안내!$B$6))</f>
        <v/>
      </c>
      <c r="H127" t="str">
        <f>IF($A127="","",IF(기본설정·안내!$B$7="","",기본설정·안내!$B$7))</f>
        <v/>
      </c>
      <c r="I127" t="str">
        <f>IF($A127="","",IF(기본설정·안내!$B$8="","",기본설정·안내!$B$8))</f>
        <v/>
      </c>
      <c r="J127" t="str">
        <f>IF($A127="","",IF(기본설정·안내!$B$9="","",기본설정·안내!$B$9))</f>
        <v/>
      </c>
    </row>
    <row r="128" spans="1:10">
      <c r="A128" s="42" t="str">
        <f>IF(발령대장_입력!$C97="","",발령대장_입력!$E97)</f>
        <v/>
      </c>
      <c r="B128" t="str">
        <f>IF($A128="","",IF(기본설정·안내!$B$4="","",기본설정·안내!$B$4))</f>
        <v/>
      </c>
      <c r="C128" t="str">
        <f>IF($A128="","",IF(발령대장_입력!$B97="",발령대장_입력!$A97,발령대장_입력!$A97&amp;CHAR(10)&amp;"("&amp;발령대장_입력!$B97&amp;")"))</f>
        <v/>
      </c>
      <c r="D128" t="str">
        <f>IF($A128="","",발령대장_입력!$C97)</f>
        <v/>
      </c>
      <c r="E128" t="str">
        <f>IF($A128="","",발령대장_입력!$A97&amp;"에 임함"&amp;IF(발령대장_입력!$B97="","",CHAR(10)&amp;"("&amp;발령대장_입력!$B97&amp;")")&amp;IF(발령대장_입력!$G97="","",CHAR(10)&amp;"("&amp;SUBSTITUTE(SUBSTITUTE(발령대장_입력!$G97,"호봉","")," ","")&amp;")호봉을 급함")&amp;CHAR(10)&amp;"임용기간: "&amp;YEAR(발령대장_입력!$E97)&amp;"."&amp;MONTH(발령대장_입력!$E97)&amp;"."&amp;DAY(발령대장_입력!$E97)&amp;"."&amp;" ~ "&amp;YEAR(발령대장_입력!$F97)&amp;"."&amp;MONTH(발령대장_입력!$F97)&amp;"."&amp;DAY(발령대장_입력!$F97)&amp;".")</f>
        <v/>
      </c>
      <c r="F128" t="str">
        <f>IF($A128="","",IF(기본설정·안내!$B$5="","",기본설정·안내!$B$5))</f>
        <v/>
      </c>
      <c r="G128" t="str">
        <f>IF($A128="","",IF(기본설정·안내!$B$6="","",기본설정·안내!$B$6))</f>
        <v/>
      </c>
      <c r="H128" t="str">
        <f>IF($A128="","",IF(기본설정·안내!$B$7="","",기본설정·안내!$B$7))</f>
        <v/>
      </c>
      <c r="I128" t="str">
        <f>IF($A128="","",IF(기본설정·안내!$B$8="","",기본설정·안내!$B$8))</f>
        <v/>
      </c>
      <c r="J128" t="str">
        <f>IF($A128="","",IF(기본설정·안내!$B$9="","",기본설정·안내!$B$9))</f>
        <v/>
      </c>
    </row>
    <row r="129" spans="1:10">
      <c r="A129" s="42" t="str">
        <f>IF(발령대장_입력!$C98="","",발령대장_입력!$E98)</f>
        <v/>
      </c>
      <c r="B129" t="str">
        <f>IF($A129="","",IF(기본설정·안내!$B$4="","",기본설정·안내!$B$4))</f>
        <v/>
      </c>
      <c r="C129" t="str">
        <f>IF($A129="","",IF(발령대장_입력!$B98="",발령대장_입력!$A98,발령대장_입력!$A98&amp;CHAR(10)&amp;"("&amp;발령대장_입력!$B98&amp;")"))</f>
        <v/>
      </c>
      <c r="D129" t="str">
        <f>IF($A129="","",발령대장_입력!$C98)</f>
        <v/>
      </c>
      <c r="E129" t="str">
        <f>IF($A129="","",발령대장_입력!$A98&amp;"에 임함"&amp;IF(발령대장_입력!$B98="","",CHAR(10)&amp;"("&amp;발령대장_입력!$B98&amp;")")&amp;IF(발령대장_입력!$G98="","",CHAR(10)&amp;"("&amp;SUBSTITUTE(SUBSTITUTE(발령대장_입력!$G98,"호봉","")," ","")&amp;")호봉을 급함")&amp;CHAR(10)&amp;"임용기간: "&amp;YEAR(발령대장_입력!$E98)&amp;"."&amp;MONTH(발령대장_입력!$E98)&amp;"."&amp;DAY(발령대장_입력!$E98)&amp;"."&amp;" ~ "&amp;YEAR(발령대장_입력!$F98)&amp;"."&amp;MONTH(발령대장_입력!$F98)&amp;"."&amp;DAY(발령대장_입력!$F98)&amp;".")</f>
        <v/>
      </c>
      <c r="F129" t="str">
        <f>IF($A129="","",IF(기본설정·안내!$B$5="","",기본설정·안내!$B$5))</f>
        <v/>
      </c>
      <c r="G129" t="str">
        <f>IF($A129="","",IF(기본설정·안내!$B$6="","",기본설정·안내!$B$6))</f>
        <v/>
      </c>
      <c r="H129" t="str">
        <f>IF($A129="","",IF(기본설정·안내!$B$7="","",기본설정·안내!$B$7))</f>
        <v/>
      </c>
      <c r="I129" t="str">
        <f>IF($A129="","",IF(기본설정·안내!$B$8="","",기본설정·안내!$B$8))</f>
        <v/>
      </c>
      <c r="J129" t="str">
        <f>IF($A129="","",IF(기본설정·안내!$B$9="","",기본설정·안내!$B$9))</f>
        <v/>
      </c>
    </row>
    <row r="130" spans="1:10">
      <c r="A130" s="42" t="str">
        <f>IF(발령대장_입력!$C99="","",발령대장_입력!$E99)</f>
        <v/>
      </c>
      <c r="B130" t="str">
        <f>IF($A130="","",IF(기본설정·안내!$B$4="","",기본설정·안내!$B$4))</f>
        <v/>
      </c>
      <c r="C130" t="str">
        <f>IF($A130="","",IF(발령대장_입력!$B99="",발령대장_입력!$A99,발령대장_입력!$A99&amp;CHAR(10)&amp;"("&amp;발령대장_입력!$B99&amp;")"))</f>
        <v/>
      </c>
      <c r="D130" t="str">
        <f>IF($A130="","",발령대장_입력!$C99)</f>
        <v/>
      </c>
      <c r="E130" t="str">
        <f>IF($A130="","",발령대장_입력!$A99&amp;"에 임함"&amp;IF(발령대장_입력!$B99="","",CHAR(10)&amp;"("&amp;발령대장_입력!$B99&amp;")")&amp;IF(발령대장_입력!$G99="","",CHAR(10)&amp;"("&amp;SUBSTITUTE(SUBSTITUTE(발령대장_입력!$G99,"호봉","")," ","")&amp;")호봉을 급함")&amp;CHAR(10)&amp;"임용기간: "&amp;YEAR(발령대장_입력!$E99)&amp;"."&amp;MONTH(발령대장_입력!$E99)&amp;"."&amp;DAY(발령대장_입력!$E99)&amp;"."&amp;" ~ "&amp;YEAR(발령대장_입력!$F99)&amp;"."&amp;MONTH(발령대장_입력!$F99)&amp;"."&amp;DAY(발령대장_입력!$F99)&amp;".")</f>
        <v/>
      </c>
      <c r="F130" t="str">
        <f>IF($A130="","",IF(기본설정·안내!$B$5="","",기본설정·안내!$B$5))</f>
        <v/>
      </c>
      <c r="G130" t="str">
        <f>IF($A130="","",IF(기본설정·안내!$B$6="","",기본설정·안내!$B$6))</f>
        <v/>
      </c>
      <c r="H130" t="str">
        <f>IF($A130="","",IF(기본설정·안내!$B$7="","",기본설정·안내!$B$7))</f>
        <v/>
      </c>
      <c r="I130" t="str">
        <f>IF($A130="","",IF(기본설정·안내!$B$8="","",기본설정·안내!$B$8))</f>
        <v/>
      </c>
      <c r="J130" t="str">
        <f>IF($A130="","",IF(기본설정·안내!$B$9="","",기본설정·안내!$B$9))</f>
        <v/>
      </c>
    </row>
    <row r="131" spans="1:10">
      <c r="A131" s="42" t="str">
        <f>IF(발령대장_입력!$C100="","",발령대장_입력!$E100)</f>
        <v/>
      </c>
      <c r="B131" t="str">
        <f>IF($A131="","",IF(기본설정·안내!$B$4="","",기본설정·안내!$B$4))</f>
        <v/>
      </c>
      <c r="C131" t="str">
        <f>IF($A131="","",IF(발령대장_입력!$B100="",발령대장_입력!$A100,발령대장_입력!$A100&amp;CHAR(10)&amp;"("&amp;발령대장_입력!$B100&amp;")"))</f>
        <v/>
      </c>
      <c r="D131" t="str">
        <f>IF($A131="","",발령대장_입력!$C100)</f>
        <v/>
      </c>
      <c r="E131" t="str">
        <f>IF($A131="","",발령대장_입력!$A100&amp;"에 임함"&amp;IF(발령대장_입력!$B100="","",CHAR(10)&amp;"("&amp;발령대장_입력!$B100&amp;")")&amp;IF(발령대장_입력!$G100="","",CHAR(10)&amp;"("&amp;SUBSTITUTE(SUBSTITUTE(발령대장_입력!$G100,"호봉","")," ","")&amp;")호봉을 급함")&amp;CHAR(10)&amp;"임용기간: "&amp;YEAR(발령대장_입력!$E100)&amp;"."&amp;MONTH(발령대장_입력!$E100)&amp;"."&amp;DAY(발령대장_입력!$E100)&amp;"."&amp;" ~ "&amp;YEAR(발령대장_입력!$F100)&amp;"."&amp;MONTH(발령대장_입력!$F100)&amp;"."&amp;DAY(발령대장_입력!$F100)&amp;".")</f>
        <v/>
      </c>
      <c r="F131" t="str">
        <f>IF($A131="","",IF(기본설정·안내!$B$5="","",기본설정·안내!$B$5))</f>
        <v/>
      </c>
      <c r="G131" t="str">
        <f>IF($A131="","",IF(기본설정·안내!$B$6="","",기본설정·안내!$B$6))</f>
        <v/>
      </c>
      <c r="H131" t="str">
        <f>IF($A131="","",IF(기본설정·안내!$B$7="","",기본설정·안내!$B$7))</f>
        <v/>
      </c>
      <c r="I131" t="str">
        <f>IF($A131="","",IF(기본설정·안내!$B$8="","",기본설정·안내!$B$8))</f>
        <v/>
      </c>
      <c r="J131" t="str">
        <f>IF($A131="","",IF(기본설정·안내!$B$9="","",기본설정·안내!$B$9))</f>
        <v/>
      </c>
    </row>
    <row r="132" spans="1:10">
      <c r="A132" s="42" t="str">
        <f>IF(발령대장_입력!$C101="","",발령대장_입력!$E101)</f>
        <v/>
      </c>
      <c r="B132" t="str">
        <f>IF($A132="","",IF(기본설정·안내!$B$4="","",기본설정·안내!$B$4))</f>
        <v/>
      </c>
      <c r="C132" t="str">
        <f>IF($A132="","",IF(발령대장_입력!$B101="",발령대장_입력!$A101,발령대장_입력!$A101&amp;CHAR(10)&amp;"("&amp;발령대장_입력!$B101&amp;")"))</f>
        <v/>
      </c>
      <c r="D132" t="str">
        <f>IF($A132="","",발령대장_입력!$C101)</f>
        <v/>
      </c>
      <c r="E132" t="str">
        <f>IF($A132="","",발령대장_입력!$A101&amp;"에 임함"&amp;IF(발령대장_입력!$B101="","",CHAR(10)&amp;"("&amp;발령대장_입력!$B101&amp;")")&amp;IF(발령대장_입력!$G101="","",CHAR(10)&amp;"("&amp;SUBSTITUTE(SUBSTITUTE(발령대장_입력!$G101,"호봉","")," ","")&amp;")호봉을 급함")&amp;CHAR(10)&amp;"임용기간: "&amp;YEAR(발령대장_입력!$E101)&amp;"."&amp;MONTH(발령대장_입력!$E101)&amp;"."&amp;DAY(발령대장_입력!$E101)&amp;"."&amp;" ~ "&amp;YEAR(발령대장_입력!$F101)&amp;"."&amp;MONTH(발령대장_입력!$F101)&amp;"."&amp;DAY(발령대장_입력!$F101)&amp;".")</f>
        <v/>
      </c>
      <c r="F132" t="str">
        <f>IF($A132="","",IF(기본설정·안내!$B$5="","",기본설정·안내!$B$5))</f>
        <v/>
      </c>
      <c r="G132" t="str">
        <f>IF($A132="","",IF(기본설정·안내!$B$6="","",기본설정·안내!$B$6))</f>
        <v/>
      </c>
      <c r="H132" t="str">
        <f>IF($A132="","",IF(기본설정·안내!$B$7="","",기본설정·안내!$B$7))</f>
        <v/>
      </c>
      <c r="I132" t="str">
        <f>IF($A132="","",IF(기본설정·안내!$B$8="","",기본설정·안내!$B$8))</f>
        <v/>
      </c>
      <c r="J132" t="str">
        <f>IF($A132="","",IF(기본설정·안내!$B$9="","",기본설정·안내!$B$9))</f>
        <v/>
      </c>
    </row>
    <row r="133" spans="1:10">
      <c r="A133" s="42" t="str">
        <f>IF(발령대장_입력!$C102="","",발령대장_입력!$E102)</f>
        <v/>
      </c>
      <c r="B133" t="str">
        <f>IF($A133="","",IF(기본설정·안내!$B$4="","",기본설정·안내!$B$4))</f>
        <v/>
      </c>
      <c r="C133" t="str">
        <f>IF($A133="","",IF(발령대장_입력!$B102="",발령대장_입력!$A102,발령대장_입력!$A102&amp;CHAR(10)&amp;"("&amp;발령대장_입력!$B102&amp;")"))</f>
        <v/>
      </c>
      <c r="D133" t="str">
        <f>IF($A133="","",발령대장_입력!$C102)</f>
        <v/>
      </c>
      <c r="E133" t="str">
        <f>IF($A133="","",발령대장_입력!$A102&amp;"에 임함"&amp;IF(발령대장_입력!$B102="","",CHAR(10)&amp;"("&amp;발령대장_입력!$B102&amp;")")&amp;IF(발령대장_입력!$G102="","",CHAR(10)&amp;"("&amp;SUBSTITUTE(SUBSTITUTE(발령대장_입력!$G102,"호봉","")," ","")&amp;")호봉을 급함")&amp;CHAR(10)&amp;"임용기간: "&amp;YEAR(발령대장_입력!$E102)&amp;"."&amp;MONTH(발령대장_입력!$E102)&amp;"."&amp;DAY(발령대장_입력!$E102)&amp;"."&amp;" ~ "&amp;YEAR(발령대장_입력!$F102)&amp;"."&amp;MONTH(발령대장_입력!$F102)&amp;"."&amp;DAY(발령대장_입력!$F102)&amp;".")</f>
        <v/>
      </c>
      <c r="F133" t="str">
        <f>IF($A133="","",IF(기본설정·안내!$B$5="","",기본설정·안내!$B$5))</f>
        <v/>
      </c>
      <c r="G133" t="str">
        <f>IF($A133="","",IF(기본설정·안내!$B$6="","",기본설정·안내!$B$6))</f>
        <v/>
      </c>
      <c r="H133" t="str">
        <f>IF($A133="","",IF(기본설정·안내!$B$7="","",기본설정·안내!$B$7))</f>
        <v/>
      </c>
      <c r="I133" t="str">
        <f>IF($A133="","",IF(기본설정·안내!$B$8="","",기본설정·안내!$B$8))</f>
        <v/>
      </c>
      <c r="J133" t="str">
        <f>IF($A133="","",IF(기본설정·안내!$B$9="","",기본설정·안내!$B$9))</f>
        <v/>
      </c>
    </row>
    <row r="134" spans="1:10">
      <c r="A134" s="42" t="str">
        <f>IF(발령대장_입력!$C103="","",발령대장_입력!$E103)</f>
        <v/>
      </c>
      <c r="B134" t="str">
        <f>IF($A134="","",IF(기본설정·안내!$B$4="","",기본설정·안내!$B$4))</f>
        <v/>
      </c>
      <c r="C134" t="str">
        <f>IF($A134="","",IF(발령대장_입력!$B103="",발령대장_입력!$A103,발령대장_입력!$A103&amp;CHAR(10)&amp;"("&amp;발령대장_입력!$B103&amp;")"))</f>
        <v/>
      </c>
      <c r="D134" t="str">
        <f>IF($A134="","",발령대장_입력!$C103)</f>
        <v/>
      </c>
      <c r="E134" t="str">
        <f>IF($A134="","",발령대장_입력!$A103&amp;"에 임함"&amp;IF(발령대장_입력!$B103="","",CHAR(10)&amp;"("&amp;발령대장_입력!$B103&amp;")")&amp;IF(발령대장_입력!$G103="","",CHAR(10)&amp;"("&amp;SUBSTITUTE(SUBSTITUTE(발령대장_입력!$G103,"호봉","")," ","")&amp;")호봉을 급함")&amp;CHAR(10)&amp;"임용기간: "&amp;YEAR(발령대장_입력!$E103)&amp;"."&amp;MONTH(발령대장_입력!$E103)&amp;"."&amp;DAY(발령대장_입력!$E103)&amp;"."&amp;" ~ "&amp;YEAR(발령대장_입력!$F103)&amp;"."&amp;MONTH(발령대장_입력!$F103)&amp;"."&amp;DAY(발령대장_입력!$F103)&amp;".")</f>
        <v/>
      </c>
      <c r="F134" t="str">
        <f>IF($A134="","",IF(기본설정·안내!$B$5="","",기본설정·안내!$B$5))</f>
        <v/>
      </c>
      <c r="G134" t="str">
        <f>IF($A134="","",IF(기본설정·안내!$B$6="","",기본설정·안내!$B$6))</f>
        <v/>
      </c>
      <c r="H134" t="str">
        <f>IF($A134="","",IF(기본설정·안내!$B$7="","",기본설정·안내!$B$7))</f>
        <v/>
      </c>
      <c r="I134" t="str">
        <f>IF($A134="","",IF(기본설정·안내!$B$8="","",기본설정·안내!$B$8))</f>
        <v/>
      </c>
      <c r="J134" t="str">
        <f>IF($A134="","",IF(기본설정·안내!$B$9="","",기본설정·안내!$B$9))</f>
        <v/>
      </c>
    </row>
    <row r="135" spans="1:10">
      <c r="A135" s="42" t="str">
        <f>IF(발령대장_입력!$C104="","",발령대장_입력!$E104)</f>
        <v/>
      </c>
      <c r="B135" t="str">
        <f>IF($A135="","",IF(기본설정·안내!$B$4="","",기본설정·안내!$B$4))</f>
        <v/>
      </c>
      <c r="C135" t="str">
        <f>IF($A135="","",IF(발령대장_입력!$B104="",발령대장_입력!$A104,발령대장_입력!$A104&amp;CHAR(10)&amp;"("&amp;발령대장_입력!$B104&amp;")"))</f>
        <v/>
      </c>
      <c r="D135" t="str">
        <f>IF($A135="","",발령대장_입력!$C104)</f>
        <v/>
      </c>
      <c r="E135" t="str">
        <f>IF($A135="","",발령대장_입력!$A104&amp;"에 임함"&amp;IF(발령대장_입력!$B104="","",CHAR(10)&amp;"("&amp;발령대장_입력!$B104&amp;")")&amp;IF(발령대장_입력!$G104="","",CHAR(10)&amp;"("&amp;SUBSTITUTE(SUBSTITUTE(발령대장_입력!$G104,"호봉","")," ","")&amp;")호봉을 급함")&amp;CHAR(10)&amp;"임용기간: "&amp;YEAR(발령대장_입력!$E104)&amp;"."&amp;MONTH(발령대장_입력!$E104)&amp;"."&amp;DAY(발령대장_입력!$E104)&amp;"."&amp;" ~ "&amp;YEAR(발령대장_입력!$F104)&amp;"."&amp;MONTH(발령대장_입력!$F104)&amp;"."&amp;DAY(발령대장_입력!$F104)&amp;".")</f>
        <v/>
      </c>
      <c r="F135" t="str">
        <f>IF($A135="","",IF(기본설정·안내!$B$5="","",기본설정·안내!$B$5))</f>
        <v/>
      </c>
      <c r="G135" t="str">
        <f>IF($A135="","",IF(기본설정·안내!$B$6="","",기본설정·안내!$B$6))</f>
        <v/>
      </c>
      <c r="H135" t="str">
        <f>IF($A135="","",IF(기본설정·안내!$B$7="","",기본설정·안내!$B$7))</f>
        <v/>
      </c>
      <c r="I135" t="str">
        <f>IF($A135="","",IF(기본설정·안내!$B$8="","",기본설정·안내!$B$8))</f>
        <v/>
      </c>
      <c r="J135" t="str">
        <f>IF($A135="","",IF(기본설정·안내!$B$9="","",기본설정·안내!$B$9))</f>
        <v/>
      </c>
    </row>
    <row r="136" spans="1:10">
      <c r="A136" s="42" t="str">
        <f>IF(발령대장_입력!$C105="","",발령대장_입력!$E105)</f>
        <v/>
      </c>
      <c r="B136" t="str">
        <f>IF($A136="","",IF(기본설정·안내!$B$4="","",기본설정·안내!$B$4))</f>
        <v/>
      </c>
      <c r="C136" t="str">
        <f>IF($A136="","",IF(발령대장_입력!$B105="",발령대장_입력!$A105,발령대장_입력!$A105&amp;CHAR(10)&amp;"("&amp;발령대장_입력!$B105&amp;")"))</f>
        <v/>
      </c>
      <c r="D136" t="str">
        <f>IF($A136="","",발령대장_입력!$C105)</f>
        <v/>
      </c>
      <c r="E136" t="str">
        <f>IF($A136="","",발령대장_입력!$A105&amp;"에 임함"&amp;IF(발령대장_입력!$B105="","",CHAR(10)&amp;"("&amp;발령대장_입력!$B105&amp;")")&amp;IF(발령대장_입력!$G105="","",CHAR(10)&amp;"("&amp;SUBSTITUTE(SUBSTITUTE(발령대장_입력!$G105,"호봉","")," ","")&amp;")호봉을 급함")&amp;CHAR(10)&amp;"임용기간: "&amp;YEAR(발령대장_입력!$E105)&amp;"."&amp;MONTH(발령대장_입력!$E105)&amp;"."&amp;DAY(발령대장_입력!$E105)&amp;"."&amp;" ~ "&amp;YEAR(발령대장_입력!$F105)&amp;"."&amp;MONTH(발령대장_입력!$F105)&amp;"."&amp;DAY(발령대장_입력!$F105)&amp;".")</f>
        <v/>
      </c>
      <c r="F136" t="str">
        <f>IF($A136="","",IF(기본설정·안내!$B$5="","",기본설정·안내!$B$5))</f>
        <v/>
      </c>
      <c r="G136" t="str">
        <f>IF($A136="","",IF(기본설정·안내!$B$6="","",기본설정·안내!$B$6))</f>
        <v/>
      </c>
      <c r="H136" t="str">
        <f>IF($A136="","",IF(기본설정·안내!$B$7="","",기본설정·안내!$B$7))</f>
        <v/>
      </c>
      <c r="I136" t="str">
        <f>IF($A136="","",IF(기본설정·안내!$B$8="","",기본설정·안내!$B$8))</f>
        <v/>
      </c>
      <c r="J136" t="str">
        <f>IF($A136="","",IF(기본설정·안내!$B$9="","",기본설정·안내!$B$9))</f>
        <v/>
      </c>
    </row>
    <row r="137" spans="1:10">
      <c r="A137" s="42" t="str">
        <f>IF(발령대장_입력!$C106="","",발령대장_입력!$E106)</f>
        <v/>
      </c>
      <c r="B137" t="str">
        <f>IF($A137="","",IF(기본설정·안내!$B$4="","",기본설정·안내!$B$4))</f>
        <v/>
      </c>
      <c r="C137" t="str">
        <f>IF($A137="","",IF(발령대장_입력!$B106="",발령대장_입력!$A106,발령대장_입력!$A106&amp;CHAR(10)&amp;"("&amp;발령대장_입력!$B106&amp;")"))</f>
        <v/>
      </c>
      <c r="D137" t="str">
        <f>IF($A137="","",발령대장_입력!$C106)</f>
        <v/>
      </c>
      <c r="E137" t="str">
        <f>IF($A137="","",발령대장_입력!$A106&amp;"에 임함"&amp;IF(발령대장_입력!$B106="","",CHAR(10)&amp;"("&amp;발령대장_입력!$B106&amp;")")&amp;IF(발령대장_입력!$G106="","",CHAR(10)&amp;"("&amp;SUBSTITUTE(SUBSTITUTE(발령대장_입력!$G106,"호봉","")," ","")&amp;")호봉을 급함")&amp;CHAR(10)&amp;"임용기간: "&amp;YEAR(발령대장_입력!$E106)&amp;"."&amp;MONTH(발령대장_입력!$E106)&amp;"."&amp;DAY(발령대장_입력!$E106)&amp;"."&amp;" ~ "&amp;YEAR(발령대장_입력!$F106)&amp;"."&amp;MONTH(발령대장_입력!$F106)&amp;"."&amp;DAY(발령대장_입력!$F106)&amp;".")</f>
        <v/>
      </c>
      <c r="F137" t="str">
        <f>IF($A137="","",IF(기본설정·안내!$B$5="","",기본설정·안내!$B$5))</f>
        <v/>
      </c>
      <c r="G137" t="str">
        <f>IF($A137="","",IF(기본설정·안내!$B$6="","",기본설정·안내!$B$6))</f>
        <v/>
      </c>
      <c r="H137" t="str">
        <f>IF($A137="","",IF(기본설정·안내!$B$7="","",기본설정·안내!$B$7))</f>
        <v/>
      </c>
      <c r="I137" t="str">
        <f>IF($A137="","",IF(기본설정·안내!$B$8="","",기본설정·안내!$B$8))</f>
        <v/>
      </c>
      <c r="J137" t="str">
        <f>IF($A137="","",IF(기본설정·안내!$B$9="","",기본설정·안내!$B$9))</f>
        <v/>
      </c>
    </row>
    <row r="138" spans="1:10">
      <c r="A138" s="42" t="str">
        <f>IF(발령대장_입력!$C107="","",발령대장_입력!$E107)</f>
        <v/>
      </c>
      <c r="B138" t="str">
        <f>IF($A138="","",IF(기본설정·안내!$B$4="","",기본설정·안내!$B$4))</f>
        <v/>
      </c>
      <c r="C138" t="str">
        <f>IF($A138="","",IF(발령대장_입력!$B107="",발령대장_입력!$A107,발령대장_입력!$A107&amp;CHAR(10)&amp;"("&amp;발령대장_입력!$B107&amp;")"))</f>
        <v/>
      </c>
      <c r="D138" t="str">
        <f>IF($A138="","",발령대장_입력!$C107)</f>
        <v/>
      </c>
      <c r="E138" t="str">
        <f>IF($A138="","",발령대장_입력!$A107&amp;"에 임함"&amp;IF(발령대장_입력!$B107="","",CHAR(10)&amp;"("&amp;발령대장_입력!$B107&amp;")")&amp;IF(발령대장_입력!$G107="","",CHAR(10)&amp;"("&amp;SUBSTITUTE(SUBSTITUTE(발령대장_입력!$G107,"호봉","")," ","")&amp;")호봉을 급함")&amp;CHAR(10)&amp;"임용기간: "&amp;YEAR(발령대장_입력!$E107)&amp;"."&amp;MONTH(발령대장_입력!$E107)&amp;"."&amp;DAY(발령대장_입력!$E107)&amp;"."&amp;" ~ "&amp;YEAR(발령대장_입력!$F107)&amp;"."&amp;MONTH(발령대장_입력!$F107)&amp;"."&amp;DAY(발령대장_입력!$F107)&amp;".")</f>
        <v/>
      </c>
      <c r="F138" t="str">
        <f>IF($A138="","",IF(기본설정·안내!$B$5="","",기본설정·안내!$B$5))</f>
        <v/>
      </c>
      <c r="G138" t="str">
        <f>IF($A138="","",IF(기본설정·안내!$B$6="","",기본설정·안내!$B$6))</f>
        <v/>
      </c>
      <c r="H138" t="str">
        <f>IF($A138="","",IF(기본설정·안내!$B$7="","",기본설정·안내!$B$7))</f>
        <v/>
      </c>
      <c r="I138" t="str">
        <f>IF($A138="","",IF(기본설정·안내!$B$8="","",기본설정·안내!$B$8))</f>
        <v/>
      </c>
      <c r="J138" t="str">
        <f>IF($A138="","",IF(기본설정·안내!$B$9="","",기본설정·안내!$B$9))</f>
        <v/>
      </c>
    </row>
    <row r="139" spans="1:10">
      <c r="A139" s="42" t="str">
        <f>IF(발령대장_입력!$C108="","",발령대장_입력!$E108)</f>
        <v/>
      </c>
      <c r="B139" t="str">
        <f>IF($A139="","",IF(기본설정·안내!$B$4="","",기본설정·안내!$B$4))</f>
        <v/>
      </c>
      <c r="C139" t="str">
        <f>IF($A139="","",IF(발령대장_입력!$B108="",발령대장_입력!$A108,발령대장_입력!$A108&amp;CHAR(10)&amp;"("&amp;발령대장_입력!$B108&amp;")"))</f>
        <v/>
      </c>
      <c r="D139" t="str">
        <f>IF($A139="","",발령대장_입력!$C108)</f>
        <v/>
      </c>
      <c r="E139" t="str">
        <f>IF($A139="","",발령대장_입력!$A108&amp;"에 임함"&amp;IF(발령대장_입력!$B108="","",CHAR(10)&amp;"("&amp;발령대장_입력!$B108&amp;")")&amp;IF(발령대장_입력!$G108="","",CHAR(10)&amp;"("&amp;SUBSTITUTE(SUBSTITUTE(발령대장_입력!$G108,"호봉","")," ","")&amp;")호봉을 급함")&amp;CHAR(10)&amp;"임용기간: "&amp;YEAR(발령대장_입력!$E108)&amp;"."&amp;MONTH(발령대장_입력!$E108)&amp;"."&amp;DAY(발령대장_입력!$E108)&amp;"."&amp;" ~ "&amp;YEAR(발령대장_입력!$F108)&amp;"."&amp;MONTH(발령대장_입력!$F108)&amp;"."&amp;DAY(발령대장_입력!$F108)&amp;".")</f>
        <v/>
      </c>
      <c r="F139" t="str">
        <f>IF($A139="","",IF(기본설정·안내!$B$5="","",기본설정·안내!$B$5))</f>
        <v/>
      </c>
      <c r="G139" t="str">
        <f>IF($A139="","",IF(기본설정·안내!$B$6="","",기본설정·안내!$B$6))</f>
        <v/>
      </c>
      <c r="H139" t="str">
        <f>IF($A139="","",IF(기본설정·안내!$B$7="","",기본설정·안내!$B$7))</f>
        <v/>
      </c>
      <c r="I139" t="str">
        <f>IF($A139="","",IF(기본설정·안내!$B$8="","",기본설정·안내!$B$8))</f>
        <v/>
      </c>
      <c r="J139" t="str">
        <f>IF($A139="","",IF(기본설정·안내!$B$9="","",기본설정·안내!$B$9))</f>
        <v/>
      </c>
    </row>
    <row r="140" spans="1:10">
      <c r="A140" s="42" t="str">
        <f>IF(발령대장_입력!$C109="","",발령대장_입력!$E109)</f>
        <v/>
      </c>
      <c r="B140" t="str">
        <f>IF($A140="","",IF(기본설정·안내!$B$4="","",기본설정·안내!$B$4))</f>
        <v/>
      </c>
      <c r="C140" t="str">
        <f>IF($A140="","",IF(발령대장_입력!$B109="",발령대장_입력!$A109,발령대장_입력!$A109&amp;CHAR(10)&amp;"("&amp;발령대장_입력!$B109&amp;")"))</f>
        <v/>
      </c>
      <c r="D140" t="str">
        <f>IF($A140="","",발령대장_입력!$C109)</f>
        <v/>
      </c>
      <c r="E140" t="str">
        <f>IF($A140="","",발령대장_입력!$A109&amp;"에 임함"&amp;IF(발령대장_입력!$B109="","",CHAR(10)&amp;"("&amp;발령대장_입력!$B109&amp;")")&amp;IF(발령대장_입력!$G109="","",CHAR(10)&amp;"("&amp;SUBSTITUTE(SUBSTITUTE(발령대장_입력!$G109,"호봉","")," ","")&amp;")호봉을 급함")&amp;CHAR(10)&amp;"임용기간: "&amp;YEAR(발령대장_입력!$E109)&amp;"."&amp;MONTH(발령대장_입력!$E109)&amp;"."&amp;DAY(발령대장_입력!$E109)&amp;"."&amp;" ~ "&amp;YEAR(발령대장_입력!$F109)&amp;"."&amp;MONTH(발령대장_입력!$F109)&amp;"."&amp;DAY(발령대장_입력!$F109)&amp;".")</f>
        <v/>
      </c>
      <c r="F140" t="str">
        <f>IF($A140="","",IF(기본설정·안내!$B$5="","",기본설정·안내!$B$5))</f>
        <v/>
      </c>
      <c r="G140" t="str">
        <f>IF($A140="","",IF(기본설정·안내!$B$6="","",기본설정·안내!$B$6))</f>
        <v/>
      </c>
      <c r="H140" t="str">
        <f>IF($A140="","",IF(기본설정·안내!$B$7="","",기본설정·안내!$B$7))</f>
        <v/>
      </c>
      <c r="I140" t="str">
        <f>IF($A140="","",IF(기본설정·안내!$B$8="","",기본설정·안내!$B$8))</f>
        <v/>
      </c>
      <c r="J140" t="str">
        <f>IF($A140="","",IF(기본설정·안내!$B$9="","",기본설정·안내!$B$9))</f>
        <v/>
      </c>
    </row>
    <row r="141" spans="1:10">
      <c r="A141" s="42" t="str">
        <f>IF(발령대장_입력!$C110="","",발령대장_입력!$E110)</f>
        <v/>
      </c>
      <c r="B141" t="str">
        <f>IF($A141="","",IF(기본설정·안내!$B$4="","",기본설정·안내!$B$4))</f>
        <v/>
      </c>
      <c r="C141" t="str">
        <f>IF($A141="","",IF(발령대장_입력!$B110="",발령대장_입력!$A110,발령대장_입력!$A110&amp;CHAR(10)&amp;"("&amp;발령대장_입력!$B110&amp;")"))</f>
        <v/>
      </c>
      <c r="D141" t="str">
        <f>IF($A141="","",발령대장_입력!$C110)</f>
        <v/>
      </c>
      <c r="E141" t="str">
        <f>IF($A141="","",발령대장_입력!$A110&amp;"에 임함"&amp;IF(발령대장_입력!$B110="","",CHAR(10)&amp;"("&amp;발령대장_입력!$B110&amp;")")&amp;IF(발령대장_입력!$G110="","",CHAR(10)&amp;"("&amp;SUBSTITUTE(SUBSTITUTE(발령대장_입력!$G110,"호봉","")," ","")&amp;")호봉을 급함")&amp;CHAR(10)&amp;"임용기간: "&amp;YEAR(발령대장_입력!$E110)&amp;"."&amp;MONTH(발령대장_입력!$E110)&amp;"."&amp;DAY(발령대장_입력!$E110)&amp;"."&amp;" ~ "&amp;YEAR(발령대장_입력!$F110)&amp;"."&amp;MONTH(발령대장_입력!$F110)&amp;"."&amp;DAY(발령대장_입력!$F110)&amp;".")</f>
        <v/>
      </c>
      <c r="F141" t="str">
        <f>IF($A141="","",IF(기본설정·안내!$B$5="","",기본설정·안내!$B$5))</f>
        <v/>
      </c>
      <c r="G141" t="str">
        <f>IF($A141="","",IF(기본설정·안내!$B$6="","",기본설정·안내!$B$6))</f>
        <v/>
      </c>
      <c r="H141" t="str">
        <f>IF($A141="","",IF(기본설정·안내!$B$7="","",기본설정·안내!$B$7))</f>
        <v/>
      </c>
      <c r="I141" t="str">
        <f>IF($A141="","",IF(기본설정·안내!$B$8="","",기본설정·안내!$B$8))</f>
        <v/>
      </c>
      <c r="J141" t="str">
        <f>IF($A141="","",IF(기본설정·안내!$B$9="","",기본설정·안내!$B$9))</f>
        <v/>
      </c>
    </row>
    <row r="142" spans="1:10">
      <c r="A142" s="42" t="str">
        <f>IF(발령대장_입력!$C111="","",발령대장_입력!$E111)</f>
        <v/>
      </c>
      <c r="B142" t="str">
        <f>IF($A142="","",IF(기본설정·안내!$B$4="","",기본설정·안내!$B$4))</f>
        <v/>
      </c>
      <c r="C142" t="str">
        <f>IF($A142="","",IF(발령대장_입력!$B111="",발령대장_입력!$A111,발령대장_입력!$A111&amp;CHAR(10)&amp;"("&amp;발령대장_입력!$B111&amp;")"))</f>
        <v/>
      </c>
      <c r="D142" t="str">
        <f>IF($A142="","",발령대장_입력!$C111)</f>
        <v/>
      </c>
      <c r="E142" t="str">
        <f>IF($A142="","",발령대장_입력!$A111&amp;"에 임함"&amp;IF(발령대장_입력!$B111="","",CHAR(10)&amp;"("&amp;발령대장_입력!$B111&amp;")")&amp;IF(발령대장_입력!$G111="","",CHAR(10)&amp;"("&amp;SUBSTITUTE(SUBSTITUTE(발령대장_입력!$G111,"호봉","")," ","")&amp;")호봉을 급함")&amp;CHAR(10)&amp;"임용기간: "&amp;YEAR(발령대장_입력!$E111)&amp;"."&amp;MONTH(발령대장_입력!$E111)&amp;"."&amp;DAY(발령대장_입력!$E111)&amp;"."&amp;" ~ "&amp;YEAR(발령대장_입력!$F111)&amp;"."&amp;MONTH(발령대장_입력!$F111)&amp;"."&amp;DAY(발령대장_입력!$F111)&amp;".")</f>
        <v/>
      </c>
      <c r="F142" t="str">
        <f>IF($A142="","",IF(기본설정·안내!$B$5="","",기본설정·안내!$B$5))</f>
        <v/>
      </c>
      <c r="G142" t="str">
        <f>IF($A142="","",IF(기본설정·안내!$B$6="","",기본설정·안내!$B$6))</f>
        <v/>
      </c>
      <c r="H142" t="str">
        <f>IF($A142="","",IF(기본설정·안내!$B$7="","",기본설정·안내!$B$7))</f>
        <v/>
      </c>
      <c r="I142" t="str">
        <f>IF($A142="","",IF(기본설정·안내!$B$8="","",기본설정·안내!$B$8))</f>
        <v/>
      </c>
      <c r="J142" t="str">
        <f>IF($A142="","",IF(기본설정·안내!$B$9="","",기본설정·안내!$B$9))</f>
        <v/>
      </c>
    </row>
    <row r="143" spans="1:10">
      <c r="A143" s="42" t="str">
        <f>IF(발령대장_입력!$C112="","",발령대장_입력!$E112)</f>
        <v/>
      </c>
      <c r="B143" t="str">
        <f>IF($A143="","",IF(기본설정·안내!$B$4="","",기본설정·안내!$B$4))</f>
        <v/>
      </c>
      <c r="C143" t="str">
        <f>IF($A143="","",IF(발령대장_입력!$B112="",발령대장_입력!$A112,발령대장_입력!$A112&amp;CHAR(10)&amp;"("&amp;발령대장_입력!$B112&amp;")"))</f>
        <v/>
      </c>
      <c r="D143" t="str">
        <f>IF($A143="","",발령대장_입력!$C112)</f>
        <v/>
      </c>
      <c r="E143" t="str">
        <f>IF($A143="","",발령대장_입력!$A112&amp;"에 임함"&amp;IF(발령대장_입력!$B112="","",CHAR(10)&amp;"("&amp;발령대장_입력!$B112&amp;")")&amp;IF(발령대장_입력!$G112="","",CHAR(10)&amp;"("&amp;SUBSTITUTE(SUBSTITUTE(발령대장_입력!$G112,"호봉","")," ","")&amp;")호봉을 급함")&amp;CHAR(10)&amp;"임용기간: "&amp;YEAR(발령대장_입력!$E112)&amp;"."&amp;MONTH(발령대장_입력!$E112)&amp;"."&amp;DAY(발령대장_입력!$E112)&amp;"."&amp;" ~ "&amp;YEAR(발령대장_입력!$F112)&amp;"."&amp;MONTH(발령대장_입력!$F112)&amp;"."&amp;DAY(발령대장_입력!$F112)&amp;".")</f>
        <v/>
      </c>
      <c r="F143" t="str">
        <f>IF($A143="","",IF(기본설정·안내!$B$5="","",기본설정·안내!$B$5))</f>
        <v/>
      </c>
      <c r="G143" t="str">
        <f>IF($A143="","",IF(기본설정·안내!$B$6="","",기본설정·안내!$B$6))</f>
        <v/>
      </c>
      <c r="H143" t="str">
        <f>IF($A143="","",IF(기본설정·안내!$B$7="","",기본설정·안내!$B$7))</f>
        <v/>
      </c>
      <c r="I143" t="str">
        <f>IF($A143="","",IF(기본설정·안내!$B$8="","",기본설정·안내!$B$8))</f>
        <v/>
      </c>
      <c r="J143" t="str">
        <f>IF($A143="","",IF(기본설정·안내!$B$9="","",기본설정·안내!$B$9))</f>
        <v/>
      </c>
    </row>
    <row r="144" spans="1:10">
      <c r="A144" s="42" t="str">
        <f>IF(발령대장_입력!$C113="","",발령대장_입력!$E113)</f>
        <v/>
      </c>
      <c r="B144" t="str">
        <f>IF($A144="","",IF(기본설정·안내!$B$4="","",기본설정·안내!$B$4))</f>
        <v/>
      </c>
      <c r="C144" t="str">
        <f>IF($A144="","",IF(발령대장_입력!$B113="",발령대장_입력!$A113,발령대장_입력!$A113&amp;CHAR(10)&amp;"("&amp;발령대장_입력!$B113&amp;")"))</f>
        <v/>
      </c>
      <c r="D144" t="str">
        <f>IF($A144="","",발령대장_입력!$C113)</f>
        <v/>
      </c>
      <c r="E144" t="str">
        <f>IF($A144="","",발령대장_입력!$A113&amp;"에 임함"&amp;IF(발령대장_입력!$B113="","",CHAR(10)&amp;"("&amp;발령대장_입력!$B113&amp;")")&amp;IF(발령대장_입력!$G113="","",CHAR(10)&amp;"("&amp;SUBSTITUTE(SUBSTITUTE(발령대장_입력!$G113,"호봉","")," ","")&amp;")호봉을 급함")&amp;CHAR(10)&amp;"임용기간: "&amp;YEAR(발령대장_입력!$E113)&amp;"."&amp;MONTH(발령대장_입력!$E113)&amp;"."&amp;DAY(발령대장_입력!$E113)&amp;"."&amp;" ~ "&amp;YEAR(발령대장_입력!$F113)&amp;"."&amp;MONTH(발령대장_입력!$F113)&amp;"."&amp;DAY(발령대장_입력!$F113)&amp;".")</f>
        <v/>
      </c>
      <c r="F144" t="str">
        <f>IF($A144="","",IF(기본설정·안내!$B$5="","",기본설정·안내!$B$5))</f>
        <v/>
      </c>
      <c r="G144" t="str">
        <f>IF($A144="","",IF(기본설정·안내!$B$6="","",기본설정·안내!$B$6))</f>
        <v/>
      </c>
      <c r="H144" t="str">
        <f>IF($A144="","",IF(기본설정·안내!$B$7="","",기본설정·안내!$B$7))</f>
        <v/>
      </c>
      <c r="I144" t="str">
        <f>IF($A144="","",IF(기본설정·안내!$B$8="","",기본설정·안내!$B$8))</f>
        <v/>
      </c>
      <c r="J144" t="str">
        <f>IF($A144="","",IF(기본설정·안내!$B$9="","",기본설정·안내!$B$9))</f>
        <v/>
      </c>
    </row>
    <row r="145" spans="1:10">
      <c r="A145" s="42" t="str">
        <f>IF(발령대장_입력!$C114="","",발령대장_입력!$E114)</f>
        <v/>
      </c>
      <c r="B145" t="str">
        <f>IF($A145="","",IF(기본설정·안내!$B$4="","",기본설정·안내!$B$4))</f>
        <v/>
      </c>
      <c r="C145" t="str">
        <f>IF($A145="","",IF(발령대장_입력!$B114="",발령대장_입력!$A114,발령대장_입력!$A114&amp;CHAR(10)&amp;"("&amp;발령대장_입력!$B114&amp;")"))</f>
        <v/>
      </c>
      <c r="D145" t="str">
        <f>IF($A145="","",발령대장_입력!$C114)</f>
        <v/>
      </c>
      <c r="E145" t="str">
        <f>IF($A145="","",발령대장_입력!$A114&amp;"에 임함"&amp;IF(발령대장_입력!$B114="","",CHAR(10)&amp;"("&amp;발령대장_입력!$B114&amp;")")&amp;IF(발령대장_입력!$G114="","",CHAR(10)&amp;"("&amp;SUBSTITUTE(SUBSTITUTE(발령대장_입력!$G114,"호봉","")," ","")&amp;")호봉을 급함")&amp;CHAR(10)&amp;"임용기간: "&amp;YEAR(발령대장_입력!$E114)&amp;"."&amp;MONTH(발령대장_입력!$E114)&amp;"."&amp;DAY(발령대장_입력!$E114)&amp;"."&amp;" ~ "&amp;YEAR(발령대장_입력!$F114)&amp;"."&amp;MONTH(발령대장_입력!$F114)&amp;"."&amp;DAY(발령대장_입력!$F114)&amp;".")</f>
        <v/>
      </c>
      <c r="F145" t="str">
        <f>IF($A145="","",IF(기본설정·안내!$B$5="","",기본설정·안내!$B$5))</f>
        <v/>
      </c>
      <c r="G145" t="str">
        <f>IF($A145="","",IF(기본설정·안내!$B$6="","",기본설정·안내!$B$6))</f>
        <v/>
      </c>
      <c r="H145" t="str">
        <f>IF($A145="","",IF(기본설정·안내!$B$7="","",기본설정·안내!$B$7))</f>
        <v/>
      </c>
      <c r="I145" t="str">
        <f>IF($A145="","",IF(기본설정·안내!$B$8="","",기본설정·안내!$B$8))</f>
        <v/>
      </c>
      <c r="J145" t="str">
        <f>IF($A145="","",IF(기본설정·안내!$B$9="","",기본설정·안내!$B$9))</f>
        <v/>
      </c>
    </row>
    <row r="146" spans="1:10">
      <c r="A146" s="42" t="str">
        <f>IF(발령대장_입력!$C115="","",발령대장_입력!$E115)</f>
        <v/>
      </c>
      <c r="B146" t="str">
        <f>IF($A146="","",IF(기본설정·안내!$B$4="","",기본설정·안내!$B$4))</f>
        <v/>
      </c>
      <c r="C146" t="str">
        <f>IF($A146="","",IF(발령대장_입력!$B115="",발령대장_입력!$A115,발령대장_입력!$A115&amp;CHAR(10)&amp;"("&amp;발령대장_입력!$B115&amp;")"))</f>
        <v/>
      </c>
      <c r="D146" t="str">
        <f>IF($A146="","",발령대장_입력!$C115)</f>
        <v/>
      </c>
      <c r="E146" t="str">
        <f>IF($A146="","",발령대장_입력!$A115&amp;"에 임함"&amp;IF(발령대장_입력!$B115="","",CHAR(10)&amp;"("&amp;발령대장_입력!$B115&amp;")")&amp;IF(발령대장_입력!$G115="","",CHAR(10)&amp;"("&amp;SUBSTITUTE(SUBSTITUTE(발령대장_입력!$G115,"호봉","")," ","")&amp;")호봉을 급함")&amp;CHAR(10)&amp;"임용기간: "&amp;YEAR(발령대장_입력!$E115)&amp;"."&amp;MONTH(발령대장_입력!$E115)&amp;"."&amp;DAY(발령대장_입력!$E115)&amp;"."&amp;" ~ "&amp;YEAR(발령대장_입력!$F115)&amp;"."&amp;MONTH(발령대장_입력!$F115)&amp;"."&amp;DAY(발령대장_입력!$F115)&amp;".")</f>
        <v/>
      </c>
      <c r="F146" t="str">
        <f>IF($A146="","",IF(기본설정·안내!$B$5="","",기본설정·안내!$B$5))</f>
        <v/>
      </c>
      <c r="G146" t="str">
        <f>IF($A146="","",IF(기본설정·안내!$B$6="","",기본설정·안내!$B$6))</f>
        <v/>
      </c>
      <c r="H146" t="str">
        <f>IF($A146="","",IF(기본설정·안내!$B$7="","",기본설정·안내!$B$7))</f>
        <v/>
      </c>
      <c r="I146" t="str">
        <f>IF($A146="","",IF(기본설정·안내!$B$8="","",기본설정·안내!$B$8))</f>
        <v/>
      </c>
      <c r="J146" t="str">
        <f>IF($A146="","",IF(기본설정·안내!$B$9="","",기본설정·안내!$B$9))</f>
        <v/>
      </c>
    </row>
    <row r="147" spans="1:10">
      <c r="A147" s="42" t="str">
        <f>IF(발령대장_입력!$C116="","",발령대장_입력!$E116)</f>
        <v/>
      </c>
      <c r="B147" t="str">
        <f>IF($A147="","",IF(기본설정·안내!$B$4="","",기본설정·안내!$B$4))</f>
        <v/>
      </c>
      <c r="C147" t="str">
        <f>IF($A147="","",IF(발령대장_입력!$B116="",발령대장_입력!$A116,발령대장_입력!$A116&amp;CHAR(10)&amp;"("&amp;발령대장_입력!$B116&amp;")"))</f>
        <v/>
      </c>
      <c r="D147" t="str">
        <f>IF($A147="","",발령대장_입력!$C116)</f>
        <v/>
      </c>
      <c r="E147" t="str">
        <f>IF($A147="","",발령대장_입력!$A116&amp;"에 임함"&amp;IF(발령대장_입력!$B116="","",CHAR(10)&amp;"("&amp;발령대장_입력!$B116&amp;")")&amp;IF(발령대장_입력!$G116="","",CHAR(10)&amp;"("&amp;SUBSTITUTE(SUBSTITUTE(발령대장_입력!$G116,"호봉","")," ","")&amp;")호봉을 급함")&amp;CHAR(10)&amp;"임용기간: "&amp;YEAR(발령대장_입력!$E116)&amp;"."&amp;MONTH(발령대장_입력!$E116)&amp;"."&amp;DAY(발령대장_입력!$E116)&amp;"."&amp;" ~ "&amp;YEAR(발령대장_입력!$F116)&amp;"."&amp;MONTH(발령대장_입력!$F116)&amp;"."&amp;DAY(발령대장_입력!$F116)&amp;".")</f>
        <v/>
      </c>
      <c r="F147" t="str">
        <f>IF($A147="","",IF(기본설정·안내!$B$5="","",기본설정·안내!$B$5))</f>
        <v/>
      </c>
      <c r="G147" t="str">
        <f>IF($A147="","",IF(기본설정·안내!$B$6="","",기본설정·안내!$B$6))</f>
        <v/>
      </c>
      <c r="H147" t="str">
        <f>IF($A147="","",IF(기본설정·안내!$B$7="","",기본설정·안내!$B$7))</f>
        <v/>
      </c>
      <c r="I147" t="str">
        <f>IF($A147="","",IF(기본설정·안내!$B$8="","",기본설정·안내!$B$8))</f>
        <v/>
      </c>
      <c r="J147" t="str">
        <f>IF($A147="","",IF(기본설정·안내!$B$9="","",기본설정·안내!$B$9))</f>
        <v/>
      </c>
    </row>
    <row r="148" spans="1:10">
      <c r="A148" s="42" t="str">
        <f>IF(발령대장_입력!$C117="","",발령대장_입력!$E117)</f>
        <v/>
      </c>
      <c r="B148" t="str">
        <f>IF($A148="","",IF(기본설정·안내!$B$4="","",기본설정·안내!$B$4))</f>
        <v/>
      </c>
      <c r="C148" t="str">
        <f>IF($A148="","",IF(발령대장_입력!$B117="",발령대장_입력!$A117,발령대장_입력!$A117&amp;CHAR(10)&amp;"("&amp;발령대장_입력!$B117&amp;")"))</f>
        <v/>
      </c>
      <c r="D148" t="str">
        <f>IF($A148="","",발령대장_입력!$C117)</f>
        <v/>
      </c>
      <c r="E148" t="str">
        <f>IF($A148="","",발령대장_입력!$A117&amp;"에 임함"&amp;IF(발령대장_입력!$B117="","",CHAR(10)&amp;"("&amp;발령대장_입력!$B117&amp;")")&amp;IF(발령대장_입력!$G117="","",CHAR(10)&amp;"("&amp;SUBSTITUTE(SUBSTITUTE(발령대장_입력!$G117,"호봉","")," ","")&amp;")호봉을 급함")&amp;CHAR(10)&amp;"임용기간: "&amp;YEAR(발령대장_입력!$E117)&amp;"."&amp;MONTH(발령대장_입력!$E117)&amp;"."&amp;DAY(발령대장_입력!$E117)&amp;"."&amp;" ~ "&amp;YEAR(발령대장_입력!$F117)&amp;"."&amp;MONTH(발령대장_입력!$F117)&amp;"."&amp;DAY(발령대장_입력!$F117)&amp;".")</f>
        <v/>
      </c>
      <c r="F148" t="str">
        <f>IF($A148="","",IF(기본설정·안내!$B$5="","",기본설정·안내!$B$5))</f>
        <v/>
      </c>
      <c r="G148" t="str">
        <f>IF($A148="","",IF(기본설정·안내!$B$6="","",기본설정·안내!$B$6))</f>
        <v/>
      </c>
      <c r="H148" t="str">
        <f>IF($A148="","",IF(기본설정·안내!$B$7="","",기본설정·안내!$B$7))</f>
        <v/>
      </c>
      <c r="I148" t="str">
        <f>IF($A148="","",IF(기본설정·안내!$B$8="","",기본설정·안내!$B$8))</f>
        <v/>
      </c>
      <c r="J148" t="str">
        <f>IF($A148="","",IF(기본설정·안내!$B$9="","",기본설정·안내!$B$9))</f>
        <v/>
      </c>
    </row>
    <row r="149" spans="1:10">
      <c r="A149" s="42" t="str">
        <f>IF(발령대장_입력!$C118="","",발령대장_입력!$E118)</f>
        <v/>
      </c>
      <c r="B149" t="str">
        <f>IF($A149="","",IF(기본설정·안내!$B$4="","",기본설정·안내!$B$4))</f>
        <v/>
      </c>
      <c r="C149" t="str">
        <f>IF($A149="","",IF(발령대장_입력!$B118="",발령대장_입력!$A118,발령대장_입력!$A118&amp;CHAR(10)&amp;"("&amp;발령대장_입력!$B118&amp;")"))</f>
        <v/>
      </c>
      <c r="D149" t="str">
        <f>IF($A149="","",발령대장_입력!$C118)</f>
        <v/>
      </c>
      <c r="E149" t="str">
        <f>IF($A149="","",발령대장_입력!$A118&amp;"에 임함"&amp;IF(발령대장_입력!$B118="","",CHAR(10)&amp;"("&amp;발령대장_입력!$B118&amp;")")&amp;IF(발령대장_입력!$G118="","",CHAR(10)&amp;"("&amp;SUBSTITUTE(SUBSTITUTE(발령대장_입력!$G118,"호봉","")," ","")&amp;")호봉을 급함")&amp;CHAR(10)&amp;"임용기간: "&amp;YEAR(발령대장_입력!$E118)&amp;"."&amp;MONTH(발령대장_입력!$E118)&amp;"."&amp;DAY(발령대장_입력!$E118)&amp;"."&amp;" ~ "&amp;YEAR(발령대장_입력!$F118)&amp;"."&amp;MONTH(발령대장_입력!$F118)&amp;"."&amp;DAY(발령대장_입력!$F118)&amp;".")</f>
        <v/>
      </c>
      <c r="F149" t="str">
        <f>IF($A149="","",IF(기본설정·안내!$B$5="","",기본설정·안내!$B$5))</f>
        <v/>
      </c>
      <c r="G149" t="str">
        <f>IF($A149="","",IF(기본설정·안내!$B$6="","",기본설정·안내!$B$6))</f>
        <v/>
      </c>
      <c r="H149" t="str">
        <f>IF($A149="","",IF(기본설정·안내!$B$7="","",기본설정·안내!$B$7))</f>
        <v/>
      </c>
      <c r="I149" t="str">
        <f>IF($A149="","",IF(기본설정·안내!$B$8="","",기본설정·안내!$B$8))</f>
        <v/>
      </c>
      <c r="J149" t="str">
        <f>IF($A149="","",IF(기본설정·안내!$B$9="","",기본설정·안내!$B$9))</f>
        <v/>
      </c>
    </row>
    <row r="150" spans="1:10">
      <c r="A150" s="42" t="str">
        <f>IF(발령대장_입력!$C119="","",발령대장_입력!$E119)</f>
        <v/>
      </c>
      <c r="B150" t="str">
        <f>IF($A150="","",IF(기본설정·안내!$B$4="","",기본설정·안내!$B$4))</f>
        <v/>
      </c>
      <c r="C150" t="str">
        <f>IF($A150="","",IF(발령대장_입력!$B119="",발령대장_입력!$A119,발령대장_입력!$A119&amp;CHAR(10)&amp;"("&amp;발령대장_입력!$B119&amp;")"))</f>
        <v/>
      </c>
      <c r="D150" t="str">
        <f>IF($A150="","",발령대장_입력!$C119)</f>
        <v/>
      </c>
      <c r="E150" t="str">
        <f>IF($A150="","",발령대장_입력!$A119&amp;"에 임함"&amp;IF(발령대장_입력!$B119="","",CHAR(10)&amp;"("&amp;발령대장_입력!$B119&amp;")")&amp;IF(발령대장_입력!$G119="","",CHAR(10)&amp;"("&amp;SUBSTITUTE(SUBSTITUTE(발령대장_입력!$G119,"호봉","")," ","")&amp;")호봉을 급함")&amp;CHAR(10)&amp;"임용기간: "&amp;YEAR(발령대장_입력!$E119)&amp;"."&amp;MONTH(발령대장_입력!$E119)&amp;"."&amp;DAY(발령대장_입력!$E119)&amp;"."&amp;" ~ "&amp;YEAR(발령대장_입력!$F119)&amp;"."&amp;MONTH(발령대장_입력!$F119)&amp;"."&amp;DAY(발령대장_입력!$F119)&amp;".")</f>
        <v/>
      </c>
      <c r="F150" t="str">
        <f>IF($A150="","",IF(기본설정·안내!$B$5="","",기본설정·안내!$B$5))</f>
        <v/>
      </c>
      <c r="G150" t="str">
        <f>IF($A150="","",IF(기본설정·안내!$B$6="","",기본설정·안내!$B$6))</f>
        <v/>
      </c>
      <c r="H150" t="str">
        <f>IF($A150="","",IF(기본설정·안내!$B$7="","",기본설정·안내!$B$7))</f>
        <v/>
      </c>
      <c r="I150" t="str">
        <f>IF($A150="","",IF(기본설정·안내!$B$8="","",기본설정·안내!$B$8))</f>
        <v/>
      </c>
      <c r="J150" t="str">
        <f>IF($A150="","",IF(기본설정·안내!$B$9="","",기본설정·안내!$B$9))</f>
        <v/>
      </c>
    </row>
    <row r="151" spans="1:10">
      <c r="A151" s="42" t="str">
        <f>IF(발령대장_입력!$C120="","",발령대장_입력!$E120)</f>
        <v/>
      </c>
      <c r="B151" t="str">
        <f>IF($A151="","",IF(기본설정·안내!$B$4="","",기본설정·안내!$B$4))</f>
        <v/>
      </c>
      <c r="C151" t="str">
        <f>IF($A151="","",IF(발령대장_입력!$B120="",발령대장_입력!$A120,발령대장_입력!$A120&amp;CHAR(10)&amp;"("&amp;발령대장_입력!$B120&amp;")"))</f>
        <v/>
      </c>
      <c r="D151" t="str">
        <f>IF($A151="","",발령대장_입력!$C120)</f>
        <v/>
      </c>
      <c r="E151" t="str">
        <f>IF($A151="","",발령대장_입력!$A120&amp;"에 임함"&amp;IF(발령대장_입력!$B120="","",CHAR(10)&amp;"("&amp;발령대장_입력!$B120&amp;")")&amp;IF(발령대장_입력!$G120="","",CHAR(10)&amp;"("&amp;SUBSTITUTE(SUBSTITUTE(발령대장_입력!$G120,"호봉","")," ","")&amp;")호봉을 급함")&amp;CHAR(10)&amp;"임용기간: "&amp;YEAR(발령대장_입력!$E120)&amp;"."&amp;MONTH(발령대장_입력!$E120)&amp;"."&amp;DAY(발령대장_입력!$E120)&amp;"."&amp;" ~ "&amp;YEAR(발령대장_입력!$F120)&amp;"."&amp;MONTH(발령대장_입력!$F120)&amp;"."&amp;DAY(발령대장_입력!$F120)&amp;".")</f>
        <v/>
      </c>
      <c r="F151" t="str">
        <f>IF($A151="","",IF(기본설정·안내!$B$5="","",기본설정·안내!$B$5))</f>
        <v/>
      </c>
      <c r="G151" t="str">
        <f>IF($A151="","",IF(기본설정·안내!$B$6="","",기본설정·안내!$B$6))</f>
        <v/>
      </c>
      <c r="H151" t="str">
        <f>IF($A151="","",IF(기본설정·안내!$B$7="","",기본설정·안내!$B$7))</f>
        <v/>
      </c>
      <c r="I151" t="str">
        <f>IF($A151="","",IF(기본설정·안내!$B$8="","",기본설정·안내!$B$8))</f>
        <v/>
      </c>
      <c r="J151" t="str">
        <f>IF($A151="","",IF(기본설정·안내!$B$9="","",기본설정·안내!$B$9))</f>
        <v/>
      </c>
    </row>
    <row r="152" spans="1:10">
      <c r="A152" s="42" t="str">
        <f>IF(발령대장_입력!$C121="","",발령대장_입력!$E121)</f>
        <v/>
      </c>
      <c r="B152" t="str">
        <f>IF($A152="","",IF(기본설정·안내!$B$4="","",기본설정·안내!$B$4))</f>
        <v/>
      </c>
      <c r="C152" t="str">
        <f>IF($A152="","",IF(발령대장_입력!$B121="",발령대장_입력!$A121,발령대장_입력!$A121&amp;CHAR(10)&amp;"("&amp;발령대장_입력!$B121&amp;")"))</f>
        <v/>
      </c>
      <c r="D152" t="str">
        <f>IF($A152="","",발령대장_입력!$C121)</f>
        <v/>
      </c>
      <c r="E152" t="str">
        <f>IF($A152="","",발령대장_입력!$A121&amp;"에 임함"&amp;IF(발령대장_입력!$B121="","",CHAR(10)&amp;"("&amp;발령대장_입력!$B121&amp;")")&amp;IF(발령대장_입력!$G121="","",CHAR(10)&amp;"("&amp;SUBSTITUTE(SUBSTITUTE(발령대장_입력!$G121,"호봉","")," ","")&amp;")호봉을 급함")&amp;CHAR(10)&amp;"임용기간: "&amp;YEAR(발령대장_입력!$E121)&amp;"."&amp;MONTH(발령대장_입력!$E121)&amp;"."&amp;DAY(발령대장_입력!$E121)&amp;"."&amp;" ~ "&amp;YEAR(발령대장_입력!$F121)&amp;"."&amp;MONTH(발령대장_입력!$F121)&amp;"."&amp;DAY(발령대장_입력!$F121)&amp;".")</f>
        <v/>
      </c>
      <c r="F152" t="str">
        <f>IF($A152="","",IF(기본설정·안내!$B$5="","",기본설정·안내!$B$5))</f>
        <v/>
      </c>
      <c r="G152" t="str">
        <f>IF($A152="","",IF(기본설정·안내!$B$6="","",기본설정·안내!$B$6))</f>
        <v/>
      </c>
      <c r="H152" t="str">
        <f>IF($A152="","",IF(기본설정·안내!$B$7="","",기본설정·안내!$B$7))</f>
        <v/>
      </c>
      <c r="I152" t="str">
        <f>IF($A152="","",IF(기본설정·안내!$B$8="","",기본설정·안내!$B$8))</f>
        <v/>
      </c>
      <c r="J152" t="str">
        <f>IF($A152="","",IF(기본설정·안내!$B$9="","",기본설정·안내!$B$9))</f>
        <v/>
      </c>
    </row>
    <row r="153" spans="1:10">
      <c r="A153" s="42" t="str">
        <f>IF(발령대장_입력!$C122="","",발령대장_입력!$E122)</f>
        <v/>
      </c>
      <c r="B153" t="str">
        <f>IF($A153="","",IF(기본설정·안내!$B$4="","",기본설정·안내!$B$4))</f>
        <v/>
      </c>
      <c r="C153" t="str">
        <f>IF($A153="","",IF(발령대장_입력!$B122="",발령대장_입력!$A122,발령대장_입력!$A122&amp;CHAR(10)&amp;"("&amp;발령대장_입력!$B122&amp;")"))</f>
        <v/>
      </c>
      <c r="D153" t="str">
        <f>IF($A153="","",발령대장_입력!$C122)</f>
        <v/>
      </c>
      <c r="E153" t="str">
        <f>IF($A153="","",발령대장_입력!$A122&amp;"에 임함"&amp;IF(발령대장_입력!$B122="","",CHAR(10)&amp;"("&amp;발령대장_입력!$B122&amp;")")&amp;IF(발령대장_입력!$G122="","",CHAR(10)&amp;"("&amp;SUBSTITUTE(SUBSTITUTE(발령대장_입력!$G122,"호봉","")," ","")&amp;")호봉을 급함")&amp;CHAR(10)&amp;"임용기간: "&amp;YEAR(발령대장_입력!$E122)&amp;"."&amp;MONTH(발령대장_입력!$E122)&amp;"."&amp;DAY(발령대장_입력!$E122)&amp;"."&amp;" ~ "&amp;YEAR(발령대장_입력!$F122)&amp;"."&amp;MONTH(발령대장_입력!$F122)&amp;"."&amp;DAY(발령대장_입력!$F122)&amp;".")</f>
        <v/>
      </c>
      <c r="F153" t="str">
        <f>IF($A153="","",IF(기본설정·안내!$B$5="","",기본설정·안내!$B$5))</f>
        <v/>
      </c>
      <c r="G153" t="str">
        <f>IF($A153="","",IF(기본설정·안내!$B$6="","",기본설정·안내!$B$6))</f>
        <v/>
      </c>
      <c r="H153" t="str">
        <f>IF($A153="","",IF(기본설정·안내!$B$7="","",기본설정·안내!$B$7))</f>
        <v/>
      </c>
      <c r="I153" t="str">
        <f>IF($A153="","",IF(기본설정·안내!$B$8="","",기본설정·안내!$B$8))</f>
        <v/>
      </c>
      <c r="J153" t="str">
        <f>IF($A153="","",IF(기본설정·안내!$B$9="","",기본설정·안내!$B$9))</f>
        <v/>
      </c>
    </row>
    <row r="154" spans="1:10">
      <c r="A154" s="42" t="str">
        <f>IF(발령대장_입력!$C123="","",발령대장_입력!$E123)</f>
        <v/>
      </c>
      <c r="B154" t="str">
        <f>IF($A154="","",IF(기본설정·안내!$B$4="","",기본설정·안내!$B$4))</f>
        <v/>
      </c>
      <c r="C154" t="str">
        <f>IF($A154="","",IF(발령대장_입력!$B123="",발령대장_입력!$A123,발령대장_입력!$A123&amp;CHAR(10)&amp;"("&amp;발령대장_입력!$B123&amp;")"))</f>
        <v/>
      </c>
      <c r="D154" t="str">
        <f>IF($A154="","",발령대장_입력!$C123)</f>
        <v/>
      </c>
      <c r="E154" t="str">
        <f>IF($A154="","",발령대장_입력!$A123&amp;"에 임함"&amp;IF(발령대장_입력!$B123="","",CHAR(10)&amp;"("&amp;발령대장_입력!$B123&amp;")")&amp;IF(발령대장_입력!$G123="","",CHAR(10)&amp;"("&amp;SUBSTITUTE(SUBSTITUTE(발령대장_입력!$G123,"호봉","")," ","")&amp;")호봉을 급함")&amp;CHAR(10)&amp;"임용기간: "&amp;YEAR(발령대장_입력!$E123)&amp;"."&amp;MONTH(발령대장_입력!$E123)&amp;"."&amp;DAY(발령대장_입력!$E123)&amp;"."&amp;" ~ "&amp;YEAR(발령대장_입력!$F123)&amp;"."&amp;MONTH(발령대장_입력!$F123)&amp;"."&amp;DAY(발령대장_입력!$F123)&amp;".")</f>
        <v/>
      </c>
      <c r="F154" t="str">
        <f>IF($A154="","",IF(기본설정·안내!$B$5="","",기본설정·안내!$B$5))</f>
        <v/>
      </c>
      <c r="G154" t="str">
        <f>IF($A154="","",IF(기본설정·안내!$B$6="","",기본설정·안내!$B$6))</f>
        <v/>
      </c>
      <c r="H154" t="str">
        <f>IF($A154="","",IF(기본설정·안내!$B$7="","",기본설정·안내!$B$7))</f>
        <v/>
      </c>
      <c r="I154" t="str">
        <f>IF($A154="","",IF(기본설정·안내!$B$8="","",기본설정·안내!$B$8))</f>
        <v/>
      </c>
      <c r="J154" t="str">
        <f>IF($A154="","",IF(기본설정·안내!$B$9="","",기본설정·안내!$B$9))</f>
        <v/>
      </c>
    </row>
    <row r="155" spans="1:10">
      <c r="A155" s="42" t="str">
        <f>IF(발령대장_입력!$C124="","",발령대장_입력!$E124)</f>
        <v/>
      </c>
      <c r="B155" t="str">
        <f>IF($A155="","",IF(기본설정·안내!$B$4="","",기본설정·안내!$B$4))</f>
        <v/>
      </c>
      <c r="C155" t="str">
        <f>IF($A155="","",IF(발령대장_입력!$B124="",발령대장_입력!$A124,발령대장_입력!$A124&amp;CHAR(10)&amp;"("&amp;발령대장_입력!$B124&amp;")"))</f>
        <v/>
      </c>
      <c r="D155" t="str">
        <f>IF($A155="","",발령대장_입력!$C124)</f>
        <v/>
      </c>
      <c r="E155" t="str">
        <f>IF($A155="","",발령대장_입력!$A124&amp;"에 임함"&amp;IF(발령대장_입력!$B124="","",CHAR(10)&amp;"("&amp;발령대장_입력!$B124&amp;")")&amp;IF(발령대장_입력!$G124="","",CHAR(10)&amp;"("&amp;SUBSTITUTE(SUBSTITUTE(발령대장_입력!$G124,"호봉","")," ","")&amp;")호봉을 급함")&amp;CHAR(10)&amp;"임용기간: "&amp;YEAR(발령대장_입력!$E124)&amp;"."&amp;MONTH(발령대장_입력!$E124)&amp;"."&amp;DAY(발령대장_입력!$E124)&amp;"."&amp;" ~ "&amp;YEAR(발령대장_입력!$F124)&amp;"."&amp;MONTH(발령대장_입력!$F124)&amp;"."&amp;DAY(발령대장_입력!$F124)&amp;".")</f>
        <v/>
      </c>
      <c r="F155" t="str">
        <f>IF($A155="","",IF(기본설정·안내!$B$5="","",기본설정·안내!$B$5))</f>
        <v/>
      </c>
      <c r="G155" t="str">
        <f>IF($A155="","",IF(기본설정·안내!$B$6="","",기본설정·안내!$B$6))</f>
        <v/>
      </c>
      <c r="H155" t="str">
        <f>IF($A155="","",IF(기본설정·안내!$B$7="","",기본설정·안내!$B$7))</f>
        <v/>
      </c>
      <c r="I155" t="str">
        <f>IF($A155="","",IF(기본설정·안내!$B$8="","",기본설정·안내!$B$8))</f>
        <v/>
      </c>
      <c r="J155" t="str">
        <f>IF($A155="","",IF(기본설정·안내!$B$9="","",기본설정·안내!$B$9))</f>
        <v/>
      </c>
    </row>
    <row r="156" spans="1:10">
      <c r="A156" s="42" t="str">
        <f>IF(발령대장_입력!$C125="","",발령대장_입력!$E125)</f>
        <v/>
      </c>
      <c r="B156" t="str">
        <f>IF($A156="","",IF(기본설정·안내!$B$4="","",기본설정·안내!$B$4))</f>
        <v/>
      </c>
      <c r="C156" t="str">
        <f>IF($A156="","",IF(발령대장_입력!$B125="",발령대장_입력!$A125,발령대장_입력!$A125&amp;CHAR(10)&amp;"("&amp;발령대장_입력!$B125&amp;")"))</f>
        <v/>
      </c>
      <c r="D156" t="str">
        <f>IF($A156="","",발령대장_입력!$C125)</f>
        <v/>
      </c>
      <c r="E156" t="str">
        <f>IF($A156="","",발령대장_입력!$A125&amp;"에 임함"&amp;IF(발령대장_입력!$B125="","",CHAR(10)&amp;"("&amp;발령대장_입력!$B125&amp;")")&amp;IF(발령대장_입력!$G125="","",CHAR(10)&amp;"("&amp;SUBSTITUTE(SUBSTITUTE(발령대장_입력!$G125,"호봉","")," ","")&amp;")호봉을 급함")&amp;CHAR(10)&amp;"임용기간: "&amp;YEAR(발령대장_입력!$E125)&amp;"."&amp;MONTH(발령대장_입력!$E125)&amp;"."&amp;DAY(발령대장_입력!$E125)&amp;"."&amp;" ~ "&amp;YEAR(발령대장_입력!$F125)&amp;"."&amp;MONTH(발령대장_입력!$F125)&amp;"."&amp;DAY(발령대장_입력!$F125)&amp;".")</f>
        <v/>
      </c>
      <c r="F156" t="str">
        <f>IF($A156="","",IF(기본설정·안내!$B$5="","",기본설정·안내!$B$5))</f>
        <v/>
      </c>
      <c r="G156" t="str">
        <f>IF($A156="","",IF(기본설정·안내!$B$6="","",기본설정·안내!$B$6))</f>
        <v/>
      </c>
      <c r="H156" t="str">
        <f>IF($A156="","",IF(기본설정·안내!$B$7="","",기본설정·안내!$B$7))</f>
        <v/>
      </c>
      <c r="I156" t="str">
        <f>IF($A156="","",IF(기본설정·안내!$B$8="","",기본설정·안내!$B$8))</f>
        <v/>
      </c>
      <c r="J156" t="str">
        <f>IF($A156="","",IF(기본설정·안내!$B$9="","",기본설정·안내!$B$9))</f>
        <v/>
      </c>
    </row>
    <row r="157" spans="1:10">
      <c r="A157" s="42" t="str">
        <f>IF(발령대장_입력!$C126="","",발령대장_입력!$E126)</f>
        <v/>
      </c>
      <c r="B157" t="str">
        <f>IF($A157="","",IF(기본설정·안내!$B$4="","",기본설정·안내!$B$4))</f>
        <v/>
      </c>
      <c r="C157" t="str">
        <f>IF($A157="","",IF(발령대장_입력!$B126="",발령대장_입력!$A126,발령대장_입력!$A126&amp;CHAR(10)&amp;"("&amp;발령대장_입력!$B126&amp;")"))</f>
        <v/>
      </c>
      <c r="D157" t="str">
        <f>IF($A157="","",발령대장_입력!$C126)</f>
        <v/>
      </c>
      <c r="E157" t="str">
        <f>IF($A157="","",발령대장_입력!$A126&amp;"에 임함"&amp;IF(발령대장_입력!$B126="","",CHAR(10)&amp;"("&amp;발령대장_입력!$B126&amp;")")&amp;IF(발령대장_입력!$G126="","",CHAR(10)&amp;"("&amp;SUBSTITUTE(SUBSTITUTE(발령대장_입력!$G126,"호봉","")," ","")&amp;")호봉을 급함")&amp;CHAR(10)&amp;"임용기간: "&amp;YEAR(발령대장_입력!$E126)&amp;"."&amp;MONTH(발령대장_입력!$E126)&amp;"."&amp;DAY(발령대장_입력!$E126)&amp;"."&amp;" ~ "&amp;YEAR(발령대장_입력!$F126)&amp;"."&amp;MONTH(발령대장_입력!$F126)&amp;"."&amp;DAY(발령대장_입력!$F126)&amp;".")</f>
        <v/>
      </c>
      <c r="F157" t="str">
        <f>IF($A157="","",IF(기본설정·안내!$B$5="","",기본설정·안내!$B$5))</f>
        <v/>
      </c>
      <c r="G157" t="str">
        <f>IF($A157="","",IF(기본설정·안내!$B$6="","",기본설정·안내!$B$6))</f>
        <v/>
      </c>
      <c r="H157" t="str">
        <f>IF($A157="","",IF(기본설정·안내!$B$7="","",기본설정·안내!$B$7))</f>
        <v/>
      </c>
      <c r="I157" t="str">
        <f>IF($A157="","",IF(기본설정·안내!$B$8="","",기본설정·안내!$B$8))</f>
        <v/>
      </c>
      <c r="J157" t="str">
        <f>IF($A157="","",IF(기본설정·안내!$B$9="","",기본설정·안내!$B$9))</f>
        <v/>
      </c>
    </row>
    <row r="158" spans="1:10">
      <c r="A158" s="42" t="str">
        <f>IF(발령대장_입력!$C127="","",발령대장_입력!$E127)</f>
        <v/>
      </c>
      <c r="B158" t="str">
        <f>IF($A158="","",IF(기본설정·안내!$B$4="","",기본설정·안내!$B$4))</f>
        <v/>
      </c>
      <c r="C158" t="str">
        <f>IF($A158="","",IF(발령대장_입력!$B127="",발령대장_입력!$A127,발령대장_입력!$A127&amp;CHAR(10)&amp;"("&amp;발령대장_입력!$B127&amp;")"))</f>
        <v/>
      </c>
      <c r="D158" t="str">
        <f>IF($A158="","",발령대장_입력!$C127)</f>
        <v/>
      </c>
      <c r="E158" t="str">
        <f>IF($A158="","",발령대장_입력!$A127&amp;"에 임함"&amp;IF(발령대장_입력!$B127="","",CHAR(10)&amp;"("&amp;발령대장_입력!$B127&amp;")")&amp;IF(발령대장_입력!$G127="","",CHAR(10)&amp;"("&amp;SUBSTITUTE(SUBSTITUTE(발령대장_입력!$G127,"호봉","")," ","")&amp;")호봉을 급함")&amp;CHAR(10)&amp;"임용기간: "&amp;YEAR(발령대장_입력!$E127)&amp;"."&amp;MONTH(발령대장_입력!$E127)&amp;"."&amp;DAY(발령대장_입력!$E127)&amp;"."&amp;" ~ "&amp;YEAR(발령대장_입력!$F127)&amp;"."&amp;MONTH(발령대장_입력!$F127)&amp;"."&amp;DAY(발령대장_입력!$F127)&amp;".")</f>
        <v/>
      </c>
      <c r="F158" t="str">
        <f>IF($A158="","",IF(기본설정·안내!$B$5="","",기본설정·안내!$B$5))</f>
        <v/>
      </c>
      <c r="G158" t="str">
        <f>IF($A158="","",IF(기본설정·안내!$B$6="","",기본설정·안내!$B$6))</f>
        <v/>
      </c>
      <c r="H158" t="str">
        <f>IF($A158="","",IF(기본설정·안내!$B$7="","",기본설정·안내!$B$7))</f>
        <v/>
      </c>
      <c r="I158" t="str">
        <f>IF($A158="","",IF(기본설정·안내!$B$8="","",기본설정·안내!$B$8))</f>
        <v/>
      </c>
      <c r="J158" t="str">
        <f>IF($A158="","",IF(기본설정·안내!$B$9="","",기본설정·안내!$B$9))</f>
        <v/>
      </c>
    </row>
    <row r="159" spans="1:10">
      <c r="A159" s="42" t="str">
        <f>IF(발령대장_입력!$C128="","",발령대장_입력!$E128)</f>
        <v/>
      </c>
      <c r="B159" t="str">
        <f>IF($A159="","",IF(기본설정·안내!$B$4="","",기본설정·안내!$B$4))</f>
        <v/>
      </c>
      <c r="C159" t="str">
        <f>IF($A159="","",IF(발령대장_입력!$B128="",발령대장_입력!$A128,발령대장_입력!$A128&amp;CHAR(10)&amp;"("&amp;발령대장_입력!$B128&amp;")"))</f>
        <v/>
      </c>
      <c r="D159" t="str">
        <f>IF($A159="","",발령대장_입력!$C128)</f>
        <v/>
      </c>
      <c r="E159" t="str">
        <f>IF($A159="","",발령대장_입력!$A128&amp;"에 임함"&amp;IF(발령대장_입력!$B128="","",CHAR(10)&amp;"("&amp;발령대장_입력!$B128&amp;")")&amp;IF(발령대장_입력!$G128="","",CHAR(10)&amp;"("&amp;SUBSTITUTE(SUBSTITUTE(발령대장_입력!$G128,"호봉","")," ","")&amp;")호봉을 급함")&amp;CHAR(10)&amp;"임용기간: "&amp;YEAR(발령대장_입력!$E128)&amp;"."&amp;MONTH(발령대장_입력!$E128)&amp;"."&amp;DAY(발령대장_입력!$E128)&amp;"."&amp;" ~ "&amp;YEAR(발령대장_입력!$F128)&amp;"."&amp;MONTH(발령대장_입력!$F128)&amp;"."&amp;DAY(발령대장_입력!$F128)&amp;".")</f>
        <v/>
      </c>
      <c r="F159" t="str">
        <f>IF($A159="","",IF(기본설정·안내!$B$5="","",기본설정·안내!$B$5))</f>
        <v/>
      </c>
      <c r="G159" t="str">
        <f>IF($A159="","",IF(기본설정·안내!$B$6="","",기본설정·안내!$B$6))</f>
        <v/>
      </c>
      <c r="H159" t="str">
        <f>IF($A159="","",IF(기본설정·안내!$B$7="","",기본설정·안내!$B$7))</f>
        <v/>
      </c>
      <c r="I159" t="str">
        <f>IF($A159="","",IF(기본설정·안내!$B$8="","",기본설정·안내!$B$8))</f>
        <v/>
      </c>
      <c r="J159" t="str">
        <f>IF($A159="","",IF(기본설정·안내!$B$9="","",기본설정·안내!$B$9))</f>
        <v/>
      </c>
    </row>
    <row r="160" spans="1:10">
      <c r="A160" s="42" t="str">
        <f>IF(발령대장_입력!$C129="","",발령대장_입력!$E129)</f>
        <v/>
      </c>
      <c r="B160" t="str">
        <f>IF($A160="","",IF(기본설정·안내!$B$4="","",기본설정·안내!$B$4))</f>
        <v/>
      </c>
      <c r="C160" t="str">
        <f>IF($A160="","",IF(발령대장_입력!$B129="",발령대장_입력!$A129,발령대장_입력!$A129&amp;CHAR(10)&amp;"("&amp;발령대장_입력!$B129&amp;")"))</f>
        <v/>
      </c>
      <c r="D160" t="str">
        <f>IF($A160="","",발령대장_입력!$C129)</f>
        <v/>
      </c>
      <c r="E160" t="str">
        <f>IF($A160="","",발령대장_입력!$A129&amp;"에 임함"&amp;IF(발령대장_입력!$B129="","",CHAR(10)&amp;"("&amp;발령대장_입력!$B129&amp;")")&amp;IF(발령대장_입력!$G129="","",CHAR(10)&amp;"("&amp;SUBSTITUTE(SUBSTITUTE(발령대장_입력!$G129,"호봉","")," ","")&amp;")호봉을 급함")&amp;CHAR(10)&amp;"임용기간: "&amp;YEAR(발령대장_입력!$E129)&amp;"."&amp;MONTH(발령대장_입력!$E129)&amp;"."&amp;DAY(발령대장_입력!$E129)&amp;"."&amp;" ~ "&amp;YEAR(발령대장_입력!$F129)&amp;"."&amp;MONTH(발령대장_입력!$F129)&amp;"."&amp;DAY(발령대장_입력!$F129)&amp;".")</f>
        <v/>
      </c>
      <c r="F160" t="str">
        <f>IF($A160="","",IF(기본설정·안내!$B$5="","",기본설정·안내!$B$5))</f>
        <v/>
      </c>
      <c r="G160" t="str">
        <f>IF($A160="","",IF(기본설정·안내!$B$6="","",기본설정·안내!$B$6))</f>
        <v/>
      </c>
      <c r="H160" t="str">
        <f>IF($A160="","",IF(기본설정·안내!$B$7="","",기본설정·안내!$B$7))</f>
        <v/>
      </c>
      <c r="I160" t="str">
        <f>IF($A160="","",IF(기본설정·안내!$B$8="","",기본설정·안내!$B$8))</f>
        <v/>
      </c>
      <c r="J160" t="str">
        <f>IF($A160="","",IF(기본설정·안내!$B$9="","",기본설정·안내!$B$9))</f>
        <v/>
      </c>
    </row>
    <row r="161" spans="1:10">
      <c r="A161" s="42" t="str">
        <f>IF(발령대장_입력!$C130="","",발령대장_입력!$E130)</f>
        <v/>
      </c>
      <c r="B161" t="str">
        <f>IF($A161="","",IF(기본설정·안내!$B$4="","",기본설정·안내!$B$4))</f>
        <v/>
      </c>
      <c r="C161" t="str">
        <f>IF($A161="","",IF(발령대장_입력!$B130="",발령대장_입력!$A130,발령대장_입력!$A130&amp;CHAR(10)&amp;"("&amp;발령대장_입력!$B130&amp;")"))</f>
        <v/>
      </c>
      <c r="D161" t="str">
        <f>IF($A161="","",발령대장_입력!$C130)</f>
        <v/>
      </c>
      <c r="E161" t="str">
        <f>IF($A161="","",발령대장_입력!$A130&amp;"에 임함"&amp;IF(발령대장_입력!$B130="","",CHAR(10)&amp;"("&amp;발령대장_입력!$B130&amp;")")&amp;IF(발령대장_입력!$G130="","",CHAR(10)&amp;"("&amp;SUBSTITUTE(SUBSTITUTE(발령대장_입력!$G130,"호봉","")," ","")&amp;")호봉을 급함")&amp;CHAR(10)&amp;"임용기간: "&amp;YEAR(발령대장_입력!$E130)&amp;"."&amp;MONTH(발령대장_입력!$E130)&amp;"."&amp;DAY(발령대장_입력!$E130)&amp;"."&amp;" ~ "&amp;YEAR(발령대장_입력!$F130)&amp;"."&amp;MONTH(발령대장_입력!$F130)&amp;"."&amp;DAY(발령대장_입력!$F130)&amp;".")</f>
        <v/>
      </c>
      <c r="F161" t="str">
        <f>IF($A161="","",IF(기본설정·안내!$B$5="","",기본설정·안내!$B$5))</f>
        <v/>
      </c>
      <c r="G161" t="str">
        <f>IF($A161="","",IF(기본설정·안내!$B$6="","",기본설정·안내!$B$6))</f>
        <v/>
      </c>
      <c r="H161" t="str">
        <f>IF($A161="","",IF(기본설정·안내!$B$7="","",기본설정·안내!$B$7))</f>
        <v/>
      </c>
      <c r="I161" t="str">
        <f>IF($A161="","",IF(기본설정·안내!$B$8="","",기본설정·안내!$B$8))</f>
        <v/>
      </c>
      <c r="J161" t="str">
        <f>IF($A161="","",IF(기본설정·안내!$B$9="","",기본설정·안내!$B$9))</f>
        <v/>
      </c>
    </row>
    <row r="162" spans="1:10">
      <c r="A162" s="42" t="str">
        <f>IF(발령대장_입력!$C131="","",발령대장_입력!$E131)</f>
        <v/>
      </c>
      <c r="B162" t="str">
        <f>IF($A162="","",IF(기본설정·안내!$B$4="","",기본설정·안내!$B$4))</f>
        <v/>
      </c>
      <c r="C162" t="str">
        <f>IF($A162="","",IF(발령대장_입력!$B131="",발령대장_입력!$A131,발령대장_입력!$A131&amp;CHAR(10)&amp;"("&amp;발령대장_입력!$B131&amp;")"))</f>
        <v/>
      </c>
      <c r="D162" t="str">
        <f>IF($A162="","",발령대장_입력!$C131)</f>
        <v/>
      </c>
      <c r="E162" t="str">
        <f>IF($A162="","",발령대장_입력!$A131&amp;"에 임함"&amp;IF(발령대장_입력!$B131="","",CHAR(10)&amp;"("&amp;발령대장_입력!$B131&amp;")")&amp;IF(발령대장_입력!$G131="","",CHAR(10)&amp;"("&amp;SUBSTITUTE(SUBSTITUTE(발령대장_입력!$G131,"호봉","")," ","")&amp;")호봉을 급함")&amp;CHAR(10)&amp;"임용기간: "&amp;YEAR(발령대장_입력!$E131)&amp;"."&amp;MONTH(발령대장_입력!$E131)&amp;"."&amp;DAY(발령대장_입력!$E131)&amp;"."&amp;" ~ "&amp;YEAR(발령대장_입력!$F131)&amp;"."&amp;MONTH(발령대장_입력!$F131)&amp;"."&amp;DAY(발령대장_입력!$F131)&amp;".")</f>
        <v/>
      </c>
      <c r="F162" t="str">
        <f>IF($A162="","",IF(기본설정·안내!$B$5="","",기본설정·안내!$B$5))</f>
        <v/>
      </c>
      <c r="G162" t="str">
        <f>IF($A162="","",IF(기본설정·안내!$B$6="","",기본설정·안내!$B$6))</f>
        <v/>
      </c>
      <c r="H162" t="str">
        <f>IF($A162="","",IF(기본설정·안내!$B$7="","",기본설정·안내!$B$7))</f>
        <v/>
      </c>
      <c r="I162" t="str">
        <f>IF($A162="","",IF(기본설정·안내!$B$8="","",기본설정·안내!$B$8))</f>
        <v/>
      </c>
      <c r="J162" t="str">
        <f>IF($A162="","",IF(기본설정·안내!$B$9="","",기본설정·안내!$B$9))</f>
        <v/>
      </c>
    </row>
    <row r="163" spans="1:10">
      <c r="A163" s="42" t="str">
        <f>IF(발령대장_입력!$C132="","",발령대장_입력!$E132)</f>
        <v/>
      </c>
      <c r="B163" t="str">
        <f>IF($A163="","",IF(기본설정·안내!$B$4="","",기본설정·안내!$B$4))</f>
        <v/>
      </c>
      <c r="C163" t="str">
        <f>IF($A163="","",IF(발령대장_입력!$B132="",발령대장_입력!$A132,발령대장_입력!$A132&amp;CHAR(10)&amp;"("&amp;발령대장_입력!$B132&amp;")"))</f>
        <v/>
      </c>
      <c r="D163" t="str">
        <f>IF($A163="","",발령대장_입력!$C132)</f>
        <v/>
      </c>
      <c r="E163" t="str">
        <f>IF($A163="","",발령대장_입력!$A132&amp;"에 임함"&amp;IF(발령대장_입력!$B132="","",CHAR(10)&amp;"("&amp;발령대장_입력!$B132&amp;")")&amp;IF(발령대장_입력!$G132="","",CHAR(10)&amp;"("&amp;SUBSTITUTE(SUBSTITUTE(발령대장_입력!$G132,"호봉","")," ","")&amp;")호봉을 급함")&amp;CHAR(10)&amp;"임용기간: "&amp;YEAR(발령대장_입력!$E132)&amp;"."&amp;MONTH(발령대장_입력!$E132)&amp;"."&amp;DAY(발령대장_입력!$E132)&amp;"."&amp;" ~ "&amp;YEAR(발령대장_입력!$F132)&amp;"."&amp;MONTH(발령대장_입력!$F132)&amp;"."&amp;DAY(발령대장_입력!$F132)&amp;".")</f>
        <v/>
      </c>
      <c r="F163" t="str">
        <f>IF($A163="","",IF(기본설정·안내!$B$5="","",기본설정·안내!$B$5))</f>
        <v/>
      </c>
      <c r="G163" t="str">
        <f>IF($A163="","",IF(기본설정·안내!$B$6="","",기본설정·안내!$B$6))</f>
        <v/>
      </c>
      <c r="H163" t="str">
        <f>IF($A163="","",IF(기본설정·안내!$B$7="","",기본설정·안내!$B$7))</f>
        <v/>
      </c>
      <c r="I163" t="str">
        <f>IF($A163="","",IF(기본설정·안내!$B$8="","",기본설정·안내!$B$8))</f>
        <v/>
      </c>
      <c r="J163" t="str">
        <f>IF($A163="","",IF(기본설정·안내!$B$9="","",기본설정·안내!$B$9))</f>
        <v/>
      </c>
    </row>
    <row r="164" spans="1:10">
      <c r="A164" s="42" t="str">
        <f>IF(발령대장_입력!$C133="","",발령대장_입력!$E133)</f>
        <v/>
      </c>
      <c r="B164" t="str">
        <f>IF($A164="","",IF(기본설정·안내!$B$4="","",기본설정·안내!$B$4))</f>
        <v/>
      </c>
      <c r="C164" t="str">
        <f>IF($A164="","",IF(발령대장_입력!$B133="",발령대장_입력!$A133,발령대장_입력!$A133&amp;CHAR(10)&amp;"("&amp;발령대장_입력!$B133&amp;")"))</f>
        <v/>
      </c>
      <c r="D164" t="str">
        <f>IF($A164="","",발령대장_입력!$C133)</f>
        <v/>
      </c>
      <c r="E164" t="str">
        <f>IF($A164="","",발령대장_입력!$A133&amp;"에 임함"&amp;IF(발령대장_입력!$B133="","",CHAR(10)&amp;"("&amp;발령대장_입력!$B133&amp;")")&amp;IF(발령대장_입력!$G133="","",CHAR(10)&amp;"("&amp;SUBSTITUTE(SUBSTITUTE(발령대장_입력!$G133,"호봉","")," ","")&amp;")호봉을 급함")&amp;CHAR(10)&amp;"임용기간: "&amp;YEAR(발령대장_입력!$E133)&amp;"."&amp;MONTH(발령대장_입력!$E133)&amp;"."&amp;DAY(발령대장_입력!$E133)&amp;"."&amp;" ~ "&amp;YEAR(발령대장_입력!$F133)&amp;"."&amp;MONTH(발령대장_입력!$F133)&amp;"."&amp;DAY(발령대장_입력!$F133)&amp;".")</f>
        <v/>
      </c>
      <c r="F164" t="str">
        <f>IF($A164="","",IF(기본설정·안내!$B$5="","",기본설정·안내!$B$5))</f>
        <v/>
      </c>
      <c r="G164" t="str">
        <f>IF($A164="","",IF(기본설정·안내!$B$6="","",기본설정·안내!$B$6))</f>
        <v/>
      </c>
      <c r="H164" t="str">
        <f>IF($A164="","",IF(기본설정·안내!$B$7="","",기본설정·안내!$B$7))</f>
        <v/>
      </c>
      <c r="I164" t="str">
        <f>IF($A164="","",IF(기본설정·안내!$B$8="","",기본설정·안내!$B$8))</f>
        <v/>
      </c>
      <c r="J164" t="str">
        <f>IF($A164="","",IF(기본설정·안내!$B$9="","",기본설정·안내!$B$9))</f>
        <v/>
      </c>
    </row>
    <row r="165" spans="1:10">
      <c r="A165" s="42" t="str">
        <f>IF(발령대장_입력!$C134="","",발령대장_입력!$E134)</f>
        <v/>
      </c>
      <c r="B165" t="str">
        <f>IF($A165="","",IF(기본설정·안내!$B$4="","",기본설정·안내!$B$4))</f>
        <v/>
      </c>
      <c r="C165" t="str">
        <f>IF($A165="","",IF(발령대장_입력!$B134="",발령대장_입력!$A134,발령대장_입력!$A134&amp;CHAR(10)&amp;"("&amp;발령대장_입력!$B134&amp;")"))</f>
        <v/>
      </c>
      <c r="D165" t="str">
        <f>IF($A165="","",발령대장_입력!$C134)</f>
        <v/>
      </c>
      <c r="E165" t="str">
        <f>IF($A165="","",발령대장_입력!$A134&amp;"에 임함"&amp;IF(발령대장_입력!$B134="","",CHAR(10)&amp;"("&amp;발령대장_입력!$B134&amp;")")&amp;IF(발령대장_입력!$G134="","",CHAR(10)&amp;"("&amp;SUBSTITUTE(SUBSTITUTE(발령대장_입력!$G134,"호봉","")," ","")&amp;")호봉을 급함")&amp;CHAR(10)&amp;"임용기간: "&amp;YEAR(발령대장_입력!$E134)&amp;"."&amp;MONTH(발령대장_입력!$E134)&amp;"."&amp;DAY(발령대장_입력!$E134)&amp;"."&amp;" ~ "&amp;YEAR(발령대장_입력!$F134)&amp;"."&amp;MONTH(발령대장_입력!$F134)&amp;"."&amp;DAY(발령대장_입력!$F134)&amp;".")</f>
        <v/>
      </c>
      <c r="F165" t="str">
        <f>IF($A165="","",IF(기본설정·안내!$B$5="","",기본설정·안내!$B$5))</f>
        <v/>
      </c>
      <c r="G165" t="str">
        <f>IF($A165="","",IF(기본설정·안내!$B$6="","",기본설정·안내!$B$6))</f>
        <v/>
      </c>
      <c r="H165" t="str">
        <f>IF($A165="","",IF(기본설정·안내!$B$7="","",기본설정·안내!$B$7))</f>
        <v/>
      </c>
      <c r="I165" t="str">
        <f>IF($A165="","",IF(기본설정·안내!$B$8="","",기본설정·안내!$B$8))</f>
        <v/>
      </c>
      <c r="J165" t="str">
        <f>IF($A165="","",IF(기본설정·안내!$B$9="","",기본설정·안내!$B$9))</f>
        <v/>
      </c>
    </row>
    <row r="166" spans="1:10">
      <c r="A166" s="42" t="str">
        <f>IF(발령대장_입력!$C135="","",발령대장_입력!$E135)</f>
        <v/>
      </c>
      <c r="B166" t="str">
        <f>IF($A166="","",IF(기본설정·안내!$B$4="","",기본설정·안내!$B$4))</f>
        <v/>
      </c>
      <c r="C166" t="str">
        <f>IF($A166="","",IF(발령대장_입력!$B135="",발령대장_입력!$A135,발령대장_입력!$A135&amp;CHAR(10)&amp;"("&amp;발령대장_입력!$B135&amp;")"))</f>
        <v/>
      </c>
      <c r="D166" t="str">
        <f>IF($A166="","",발령대장_입력!$C135)</f>
        <v/>
      </c>
      <c r="E166" t="str">
        <f>IF($A166="","",발령대장_입력!$A135&amp;"에 임함"&amp;IF(발령대장_입력!$B135="","",CHAR(10)&amp;"("&amp;발령대장_입력!$B135&amp;")")&amp;IF(발령대장_입력!$G135="","",CHAR(10)&amp;"("&amp;SUBSTITUTE(SUBSTITUTE(발령대장_입력!$G135,"호봉","")," ","")&amp;")호봉을 급함")&amp;CHAR(10)&amp;"임용기간: "&amp;YEAR(발령대장_입력!$E135)&amp;"."&amp;MONTH(발령대장_입력!$E135)&amp;"."&amp;DAY(발령대장_입력!$E135)&amp;"."&amp;" ~ "&amp;YEAR(발령대장_입력!$F135)&amp;"."&amp;MONTH(발령대장_입력!$F135)&amp;"."&amp;DAY(발령대장_입력!$F135)&amp;".")</f>
        <v/>
      </c>
      <c r="F166" t="str">
        <f>IF($A166="","",IF(기본설정·안내!$B$5="","",기본설정·안내!$B$5))</f>
        <v/>
      </c>
      <c r="G166" t="str">
        <f>IF($A166="","",IF(기본설정·안내!$B$6="","",기본설정·안내!$B$6))</f>
        <v/>
      </c>
      <c r="H166" t="str">
        <f>IF($A166="","",IF(기본설정·안내!$B$7="","",기본설정·안내!$B$7))</f>
        <v/>
      </c>
      <c r="I166" t="str">
        <f>IF($A166="","",IF(기본설정·안내!$B$8="","",기본설정·안내!$B$8))</f>
        <v/>
      </c>
      <c r="J166" t="str">
        <f>IF($A166="","",IF(기본설정·안내!$B$9="","",기본설정·안내!$B$9))</f>
        <v/>
      </c>
    </row>
    <row r="167" spans="1:10">
      <c r="A167" s="42" t="str">
        <f>IF(발령대장_입력!$C136="","",발령대장_입력!$E136)</f>
        <v/>
      </c>
      <c r="B167" t="str">
        <f>IF($A167="","",IF(기본설정·안내!$B$4="","",기본설정·안내!$B$4))</f>
        <v/>
      </c>
      <c r="C167" t="str">
        <f>IF($A167="","",IF(발령대장_입력!$B136="",발령대장_입력!$A136,발령대장_입력!$A136&amp;CHAR(10)&amp;"("&amp;발령대장_입력!$B136&amp;")"))</f>
        <v/>
      </c>
      <c r="D167" t="str">
        <f>IF($A167="","",발령대장_입력!$C136)</f>
        <v/>
      </c>
      <c r="E167" t="str">
        <f>IF($A167="","",발령대장_입력!$A136&amp;"에 임함"&amp;IF(발령대장_입력!$B136="","",CHAR(10)&amp;"("&amp;발령대장_입력!$B136&amp;")")&amp;IF(발령대장_입력!$G136="","",CHAR(10)&amp;"("&amp;SUBSTITUTE(SUBSTITUTE(발령대장_입력!$G136,"호봉","")," ","")&amp;")호봉을 급함")&amp;CHAR(10)&amp;"임용기간: "&amp;YEAR(발령대장_입력!$E136)&amp;"."&amp;MONTH(발령대장_입력!$E136)&amp;"."&amp;DAY(발령대장_입력!$E136)&amp;"."&amp;" ~ "&amp;YEAR(발령대장_입력!$F136)&amp;"."&amp;MONTH(발령대장_입력!$F136)&amp;"."&amp;DAY(발령대장_입력!$F136)&amp;".")</f>
        <v/>
      </c>
      <c r="F167" t="str">
        <f>IF($A167="","",IF(기본설정·안내!$B$5="","",기본설정·안내!$B$5))</f>
        <v/>
      </c>
      <c r="G167" t="str">
        <f>IF($A167="","",IF(기본설정·안내!$B$6="","",기본설정·안내!$B$6))</f>
        <v/>
      </c>
      <c r="H167" t="str">
        <f>IF($A167="","",IF(기본설정·안내!$B$7="","",기본설정·안내!$B$7))</f>
        <v/>
      </c>
      <c r="I167" t="str">
        <f>IF($A167="","",IF(기본설정·안내!$B$8="","",기본설정·안내!$B$8))</f>
        <v/>
      </c>
      <c r="J167" t="str">
        <f>IF($A167="","",IF(기본설정·안내!$B$9="","",기본설정·안내!$B$9))</f>
        <v/>
      </c>
    </row>
    <row r="168" spans="1:10">
      <c r="A168" s="42" t="str">
        <f>IF(발령대장_입력!$C137="","",발령대장_입력!$E137)</f>
        <v/>
      </c>
      <c r="B168" t="str">
        <f>IF($A168="","",IF(기본설정·안내!$B$4="","",기본설정·안내!$B$4))</f>
        <v/>
      </c>
      <c r="C168" t="str">
        <f>IF($A168="","",IF(발령대장_입력!$B137="",발령대장_입력!$A137,발령대장_입력!$A137&amp;CHAR(10)&amp;"("&amp;발령대장_입력!$B137&amp;")"))</f>
        <v/>
      </c>
      <c r="D168" t="str">
        <f>IF($A168="","",발령대장_입력!$C137)</f>
        <v/>
      </c>
      <c r="E168" t="str">
        <f>IF($A168="","",발령대장_입력!$A137&amp;"에 임함"&amp;IF(발령대장_입력!$B137="","",CHAR(10)&amp;"("&amp;발령대장_입력!$B137&amp;")")&amp;IF(발령대장_입력!$G137="","",CHAR(10)&amp;"("&amp;SUBSTITUTE(SUBSTITUTE(발령대장_입력!$G137,"호봉","")," ","")&amp;")호봉을 급함")&amp;CHAR(10)&amp;"임용기간: "&amp;YEAR(발령대장_입력!$E137)&amp;"."&amp;MONTH(발령대장_입력!$E137)&amp;"."&amp;DAY(발령대장_입력!$E137)&amp;"."&amp;" ~ "&amp;YEAR(발령대장_입력!$F137)&amp;"."&amp;MONTH(발령대장_입력!$F137)&amp;"."&amp;DAY(발령대장_입력!$F137)&amp;".")</f>
        <v/>
      </c>
      <c r="F168" t="str">
        <f>IF($A168="","",IF(기본설정·안내!$B$5="","",기본설정·안내!$B$5))</f>
        <v/>
      </c>
      <c r="G168" t="str">
        <f>IF($A168="","",IF(기본설정·안내!$B$6="","",기본설정·안내!$B$6))</f>
        <v/>
      </c>
      <c r="H168" t="str">
        <f>IF($A168="","",IF(기본설정·안내!$B$7="","",기본설정·안내!$B$7))</f>
        <v/>
      </c>
      <c r="I168" t="str">
        <f>IF($A168="","",IF(기본설정·안내!$B$8="","",기본설정·안내!$B$8))</f>
        <v/>
      </c>
      <c r="J168" t="str">
        <f>IF($A168="","",IF(기본설정·안내!$B$9="","",기본설정·안내!$B$9))</f>
        <v/>
      </c>
    </row>
    <row r="169" spans="1:10">
      <c r="A169" s="42" t="str">
        <f>IF(발령대장_입력!$C138="","",발령대장_입력!$E138)</f>
        <v/>
      </c>
      <c r="B169" t="str">
        <f>IF($A169="","",IF(기본설정·안내!$B$4="","",기본설정·안내!$B$4))</f>
        <v/>
      </c>
      <c r="C169" t="str">
        <f>IF($A169="","",IF(발령대장_입력!$B138="",발령대장_입력!$A138,발령대장_입력!$A138&amp;CHAR(10)&amp;"("&amp;발령대장_입력!$B138&amp;")"))</f>
        <v/>
      </c>
      <c r="D169" t="str">
        <f>IF($A169="","",발령대장_입력!$C138)</f>
        <v/>
      </c>
      <c r="E169" t="str">
        <f>IF($A169="","",발령대장_입력!$A138&amp;"에 임함"&amp;IF(발령대장_입력!$B138="","",CHAR(10)&amp;"("&amp;발령대장_입력!$B138&amp;")")&amp;IF(발령대장_입력!$G138="","",CHAR(10)&amp;"("&amp;SUBSTITUTE(SUBSTITUTE(발령대장_입력!$G138,"호봉","")," ","")&amp;")호봉을 급함")&amp;CHAR(10)&amp;"임용기간: "&amp;YEAR(발령대장_입력!$E138)&amp;"."&amp;MONTH(발령대장_입력!$E138)&amp;"."&amp;DAY(발령대장_입력!$E138)&amp;"."&amp;" ~ "&amp;YEAR(발령대장_입력!$F138)&amp;"."&amp;MONTH(발령대장_입력!$F138)&amp;"."&amp;DAY(발령대장_입력!$F138)&amp;".")</f>
        <v/>
      </c>
      <c r="F169" t="str">
        <f>IF($A169="","",IF(기본설정·안내!$B$5="","",기본설정·안내!$B$5))</f>
        <v/>
      </c>
      <c r="G169" t="str">
        <f>IF($A169="","",IF(기본설정·안내!$B$6="","",기본설정·안내!$B$6))</f>
        <v/>
      </c>
      <c r="H169" t="str">
        <f>IF($A169="","",IF(기본설정·안내!$B$7="","",기본설정·안내!$B$7))</f>
        <v/>
      </c>
      <c r="I169" t="str">
        <f>IF($A169="","",IF(기본설정·안내!$B$8="","",기본설정·안내!$B$8))</f>
        <v/>
      </c>
      <c r="J169" t="str">
        <f>IF($A169="","",IF(기본설정·안내!$B$9="","",기본설정·안내!$B$9))</f>
        <v/>
      </c>
    </row>
    <row r="170" spans="1:10">
      <c r="A170" s="42" t="str">
        <f>IF(발령대장_입력!$C139="","",발령대장_입력!$E139)</f>
        <v/>
      </c>
      <c r="B170" t="str">
        <f>IF($A170="","",IF(기본설정·안내!$B$4="","",기본설정·안내!$B$4))</f>
        <v/>
      </c>
      <c r="C170" t="str">
        <f>IF($A170="","",IF(발령대장_입력!$B139="",발령대장_입력!$A139,발령대장_입력!$A139&amp;CHAR(10)&amp;"("&amp;발령대장_입력!$B139&amp;")"))</f>
        <v/>
      </c>
      <c r="D170" t="str">
        <f>IF($A170="","",발령대장_입력!$C139)</f>
        <v/>
      </c>
      <c r="E170" t="str">
        <f>IF($A170="","",발령대장_입력!$A139&amp;"에 임함"&amp;IF(발령대장_입력!$B139="","",CHAR(10)&amp;"("&amp;발령대장_입력!$B139&amp;")")&amp;IF(발령대장_입력!$G139="","",CHAR(10)&amp;"("&amp;SUBSTITUTE(SUBSTITUTE(발령대장_입력!$G139,"호봉","")," ","")&amp;")호봉을 급함")&amp;CHAR(10)&amp;"임용기간: "&amp;YEAR(발령대장_입력!$E139)&amp;"."&amp;MONTH(발령대장_입력!$E139)&amp;"."&amp;DAY(발령대장_입력!$E139)&amp;"."&amp;" ~ "&amp;YEAR(발령대장_입력!$F139)&amp;"."&amp;MONTH(발령대장_입력!$F139)&amp;"."&amp;DAY(발령대장_입력!$F139)&amp;".")</f>
        <v/>
      </c>
      <c r="F170" t="str">
        <f>IF($A170="","",IF(기본설정·안내!$B$5="","",기본설정·안내!$B$5))</f>
        <v/>
      </c>
      <c r="G170" t="str">
        <f>IF($A170="","",IF(기본설정·안내!$B$6="","",기본설정·안내!$B$6))</f>
        <v/>
      </c>
      <c r="H170" t="str">
        <f>IF($A170="","",IF(기본설정·안내!$B$7="","",기본설정·안내!$B$7))</f>
        <v/>
      </c>
      <c r="I170" t="str">
        <f>IF($A170="","",IF(기본설정·안내!$B$8="","",기본설정·안내!$B$8))</f>
        <v/>
      </c>
      <c r="J170" t="str">
        <f>IF($A170="","",IF(기본설정·안내!$B$9="","",기본설정·안내!$B$9))</f>
        <v/>
      </c>
    </row>
    <row r="171" spans="1:10">
      <c r="A171" s="42" t="str">
        <f>IF(발령대장_입력!$C140="","",발령대장_입력!$E140)</f>
        <v/>
      </c>
      <c r="B171" t="str">
        <f>IF($A171="","",IF(기본설정·안내!$B$4="","",기본설정·안내!$B$4))</f>
        <v/>
      </c>
      <c r="C171" t="str">
        <f>IF($A171="","",IF(발령대장_입력!$B140="",발령대장_입력!$A140,발령대장_입력!$A140&amp;CHAR(10)&amp;"("&amp;발령대장_입력!$B140&amp;")"))</f>
        <v/>
      </c>
      <c r="D171" t="str">
        <f>IF($A171="","",발령대장_입력!$C140)</f>
        <v/>
      </c>
      <c r="E171" t="str">
        <f>IF($A171="","",발령대장_입력!$A140&amp;"에 임함"&amp;IF(발령대장_입력!$B140="","",CHAR(10)&amp;"("&amp;발령대장_입력!$B140&amp;")")&amp;IF(발령대장_입력!$G140="","",CHAR(10)&amp;"("&amp;SUBSTITUTE(SUBSTITUTE(발령대장_입력!$G140,"호봉","")," ","")&amp;")호봉을 급함")&amp;CHAR(10)&amp;"임용기간: "&amp;YEAR(발령대장_입력!$E140)&amp;"."&amp;MONTH(발령대장_입력!$E140)&amp;"."&amp;DAY(발령대장_입력!$E140)&amp;"."&amp;" ~ "&amp;YEAR(발령대장_입력!$F140)&amp;"."&amp;MONTH(발령대장_입력!$F140)&amp;"."&amp;DAY(발령대장_입력!$F140)&amp;".")</f>
        <v/>
      </c>
      <c r="F171" t="str">
        <f>IF($A171="","",IF(기본설정·안내!$B$5="","",기본설정·안내!$B$5))</f>
        <v/>
      </c>
      <c r="G171" t="str">
        <f>IF($A171="","",IF(기본설정·안내!$B$6="","",기본설정·안내!$B$6))</f>
        <v/>
      </c>
      <c r="H171" t="str">
        <f>IF($A171="","",IF(기본설정·안내!$B$7="","",기본설정·안내!$B$7))</f>
        <v/>
      </c>
      <c r="I171" t="str">
        <f>IF($A171="","",IF(기본설정·안내!$B$8="","",기본설정·안내!$B$8))</f>
        <v/>
      </c>
      <c r="J171" t="str">
        <f>IF($A171="","",IF(기본설정·안내!$B$9="","",기본설정·안내!$B$9))</f>
        <v/>
      </c>
    </row>
    <row r="172" spans="1:10">
      <c r="A172" s="42" t="str">
        <f>IF(발령대장_입력!$C141="","",발령대장_입력!$E141)</f>
        <v/>
      </c>
      <c r="B172" t="str">
        <f>IF($A172="","",IF(기본설정·안내!$B$4="","",기본설정·안내!$B$4))</f>
        <v/>
      </c>
      <c r="C172" t="str">
        <f>IF($A172="","",IF(발령대장_입력!$B141="",발령대장_입력!$A141,발령대장_입력!$A141&amp;CHAR(10)&amp;"("&amp;발령대장_입력!$B141&amp;")"))</f>
        <v/>
      </c>
      <c r="D172" t="str">
        <f>IF($A172="","",발령대장_입력!$C141)</f>
        <v/>
      </c>
      <c r="E172" t="str">
        <f>IF($A172="","",발령대장_입력!$A141&amp;"에 임함"&amp;IF(발령대장_입력!$B141="","",CHAR(10)&amp;"("&amp;발령대장_입력!$B141&amp;")")&amp;IF(발령대장_입력!$G141="","",CHAR(10)&amp;"("&amp;SUBSTITUTE(SUBSTITUTE(발령대장_입력!$G141,"호봉","")," ","")&amp;")호봉을 급함")&amp;CHAR(10)&amp;"임용기간: "&amp;YEAR(발령대장_입력!$E141)&amp;"."&amp;MONTH(발령대장_입력!$E141)&amp;"."&amp;DAY(발령대장_입력!$E141)&amp;"."&amp;" ~ "&amp;YEAR(발령대장_입력!$F141)&amp;"."&amp;MONTH(발령대장_입력!$F141)&amp;"."&amp;DAY(발령대장_입력!$F141)&amp;".")</f>
        <v/>
      </c>
      <c r="F172" t="str">
        <f>IF($A172="","",IF(기본설정·안내!$B$5="","",기본설정·안내!$B$5))</f>
        <v/>
      </c>
      <c r="G172" t="str">
        <f>IF($A172="","",IF(기본설정·안내!$B$6="","",기본설정·안내!$B$6))</f>
        <v/>
      </c>
      <c r="H172" t="str">
        <f>IF($A172="","",IF(기본설정·안내!$B$7="","",기본설정·안내!$B$7))</f>
        <v/>
      </c>
      <c r="I172" t="str">
        <f>IF($A172="","",IF(기본설정·안내!$B$8="","",기본설정·안내!$B$8))</f>
        <v/>
      </c>
      <c r="J172" t="str">
        <f>IF($A172="","",IF(기본설정·안내!$B$9="","",기본설정·안내!$B$9))</f>
        <v/>
      </c>
    </row>
    <row r="173" spans="1:10">
      <c r="A173" s="42" t="str">
        <f>IF(발령대장_입력!$C142="","",발령대장_입력!$E142)</f>
        <v/>
      </c>
      <c r="B173" t="str">
        <f>IF($A173="","",IF(기본설정·안내!$B$4="","",기본설정·안내!$B$4))</f>
        <v/>
      </c>
      <c r="C173" t="str">
        <f>IF($A173="","",IF(발령대장_입력!$B142="",발령대장_입력!$A142,발령대장_입력!$A142&amp;CHAR(10)&amp;"("&amp;발령대장_입력!$B142&amp;")"))</f>
        <v/>
      </c>
      <c r="D173" t="str">
        <f>IF($A173="","",발령대장_입력!$C142)</f>
        <v/>
      </c>
      <c r="E173" t="str">
        <f>IF($A173="","",발령대장_입력!$A142&amp;"에 임함"&amp;IF(발령대장_입력!$B142="","",CHAR(10)&amp;"("&amp;발령대장_입력!$B142&amp;")")&amp;IF(발령대장_입력!$G142="","",CHAR(10)&amp;"("&amp;SUBSTITUTE(SUBSTITUTE(발령대장_입력!$G142,"호봉","")," ","")&amp;")호봉을 급함")&amp;CHAR(10)&amp;"임용기간: "&amp;YEAR(발령대장_입력!$E142)&amp;"."&amp;MONTH(발령대장_입력!$E142)&amp;"."&amp;DAY(발령대장_입력!$E142)&amp;"."&amp;" ~ "&amp;YEAR(발령대장_입력!$F142)&amp;"."&amp;MONTH(발령대장_입력!$F142)&amp;"."&amp;DAY(발령대장_입력!$F142)&amp;".")</f>
        <v/>
      </c>
      <c r="F173" t="str">
        <f>IF($A173="","",IF(기본설정·안내!$B$5="","",기본설정·안내!$B$5))</f>
        <v/>
      </c>
      <c r="G173" t="str">
        <f>IF($A173="","",IF(기본설정·안내!$B$6="","",기본설정·안내!$B$6))</f>
        <v/>
      </c>
      <c r="H173" t="str">
        <f>IF($A173="","",IF(기본설정·안내!$B$7="","",기본설정·안내!$B$7))</f>
        <v/>
      </c>
      <c r="I173" t="str">
        <f>IF($A173="","",IF(기본설정·안내!$B$8="","",기본설정·안내!$B$8))</f>
        <v/>
      </c>
      <c r="J173" t="str">
        <f>IF($A173="","",IF(기본설정·안내!$B$9="","",기본설정·안내!$B$9))</f>
        <v/>
      </c>
    </row>
    <row r="174" spans="1:10">
      <c r="A174" s="42" t="str">
        <f>IF(발령대장_입력!$C143="","",발령대장_입력!$E143)</f>
        <v/>
      </c>
      <c r="B174" t="str">
        <f>IF($A174="","",IF(기본설정·안내!$B$4="","",기본설정·안내!$B$4))</f>
        <v/>
      </c>
      <c r="C174" t="str">
        <f>IF($A174="","",IF(발령대장_입력!$B143="",발령대장_입력!$A143,발령대장_입력!$A143&amp;CHAR(10)&amp;"("&amp;발령대장_입력!$B143&amp;")"))</f>
        <v/>
      </c>
      <c r="D174" t="str">
        <f>IF($A174="","",발령대장_입력!$C143)</f>
        <v/>
      </c>
      <c r="E174" t="str">
        <f>IF($A174="","",발령대장_입력!$A143&amp;"에 임함"&amp;IF(발령대장_입력!$B143="","",CHAR(10)&amp;"("&amp;발령대장_입력!$B143&amp;")")&amp;IF(발령대장_입력!$G143="","",CHAR(10)&amp;"("&amp;SUBSTITUTE(SUBSTITUTE(발령대장_입력!$G143,"호봉","")," ","")&amp;")호봉을 급함")&amp;CHAR(10)&amp;"임용기간: "&amp;YEAR(발령대장_입력!$E143)&amp;"."&amp;MONTH(발령대장_입력!$E143)&amp;"."&amp;DAY(발령대장_입력!$E143)&amp;"."&amp;" ~ "&amp;YEAR(발령대장_입력!$F143)&amp;"."&amp;MONTH(발령대장_입력!$F143)&amp;"."&amp;DAY(발령대장_입력!$F143)&amp;".")</f>
        <v/>
      </c>
      <c r="F174" t="str">
        <f>IF($A174="","",IF(기본설정·안내!$B$5="","",기본설정·안내!$B$5))</f>
        <v/>
      </c>
      <c r="G174" t="str">
        <f>IF($A174="","",IF(기본설정·안내!$B$6="","",기본설정·안내!$B$6))</f>
        <v/>
      </c>
      <c r="H174" t="str">
        <f>IF($A174="","",IF(기본설정·안내!$B$7="","",기본설정·안내!$B$7))</f>
        <v/>
      </c>
      <c r="I174" t="str">
        <f>IF($A174="","",IF(기본설정·안내!$B$8="","",기본설정·안내!$B$8))</f>
        <v/>
      </c>
      <c r="J174" t="str">
        <f>IF($A174="","",IF(기본설정·안내!$B$9="","",기본설정·안내!$B$9))</f>
        <v/>
      </c>
    </row>
    <row r="175" spans="1:10">
      <c r="A175" s="42" t="str">
        <f>IF(발령대장_입력!$C144="","",발령대장_입력!$E144)</f>
        <v/>
      </c>
      <c r="B175" t="str">
        <f>IF($A175="","",IF(기본설정·안내!$B$4="","",기본설정·안내!$B$4))</f>
        <v/>
      </c>
      <c r="C175" t="str">
        <f>IF($A175="","",IF(발령대장_입력!$B144="",발령대장_입력!$A144,발령대장_입력!$A144&amp;CHAR(10)&amp;"("&amp;발령대장_입력!$B144&amp;")"))</f>
        <v/>
      </c>
      <c r="D175" t="str">
        <f>IF($A175="","",발령대장_입력!$C144)</f>
        <v/>
      </c>
      <c r="E175" t="str">
        <f>IF($A175="","",발령대장_입력!$A144&amp;"에 임함"&amp;IF(발령대장_입력!$B144="","",CHAR(10)&amp;"("&amp;발령대장_입력!$B144&amp;")")&amp;IF(발령대장_입력!$G144="","",CHAR(10)&amp;"("&amp;SUBSTITUTE(SUBSTITUTE(발령대장_입력!$G144,"호봉","")," ","")&amp;")호봉을 급함")&amp;CHAR(10)&amp;"임용기간: "&amp;YEAR(발령대장_입력!$E144)&amp;"."&amp;MONTH(발령대장_입력!$E144)&amp;"."&amp;DAY(발령대장_입력!$E144)&amp;"."&amp;" ~ "&amp;YEAR(발령대장_입력!$F144)&amp;"."&amp;MONTH(발령대장_입력!$F144)&amp;"."&amp;DAY(발령대장_입력!$F144)&amp;".")</f>
        <v/>
      </c>
      <c r="F175" t="str">
        <f>IF($A175="","",IF(기본설정·안내!$B$5="","",기본설정·안내!$B$5))</f>
        <v/>
      </c>
      <c r="G175" t="str">
        <f>IF($A175="","",IF(기본설정·안내!$B$6="","",기본설정·안내!$B$6))</f>
        <v/>
      </c>
      <c r="H175" t="str">
        <f>IF($A175="","",IF(기본설정·안내!$B$7="","",기본설정·안내!$B$7))</f>
        <v/>
      </c>
      <c r="I175" t="str">
        <f>IF($A175="","",IF(기본설정·안내!$B$8="","",기본설정·안내!$B$8))</f>
        <v/>
      </c>
      <c r="J175" t="str">
        <f>IF($A175="","",IF(기본설정·안내!$B$9="","",기본설정·안내!$B$9))</f>
        <v/>
      </c>
    </row>
    <row r="176" spans="1:10">
      <c r="A176" s="42" t="str">
        <f>IF(발령대장_입력!$C145="","",발령대장_입력!$E145)</f>
        <v/>
      </c>
      <c r="B176" t="str">
        <f>IF($A176="","",IF(기본설정·안내!$B$4="","",기본설정·안내!$B$4))</f>
        <v/>
      </c>
      <c r="C176" t="str">
        <f>IF($A176="","",IF(발령대장_입력!$B145="",발령대장_입력!$A145,발령대장_입력!$A145&amp;CHAR(10)&amp;"("&amp;발령대장_입력!$B145&amp;")"))</f>
        <v/>
      </c>
      <c r="D176" t="str">
        <f>IF($A176="","",발령대장_입력!$C145)</f>
        <v/>
      </c>
      <c r="E176" t="str">
        <f>IF($A176="","",발령대장_입력!$A145&amp;"에 임함"&amp;IF(발령대장_입력!$B145="","",CHAR(10)&amp;"("&amp;발령대장_입력!$B145&amp;")")&amp;IF(발령대장_입력!$G145="","",CHAR(10)&amp;"("&amp;SUBSTITUTE(SUBSTITUTE(발령대장_입력!$G145,"호봉","")," ","")&amp;")호봉을 급함")&amp;CHAR(10)&amp;"임용기간: "&amp;YEAR(발령대장_입력!$E145)&amp;"."&amp;MONTH(발령대장_입력!$E145)&amp;"."&amp;DAY(발령대장_입력!$E145)&amp;"."&amp;" ~ "&amp;YEAR(발령대장_입력!$F145)&amp;"."&amp;MONTH(발령대장_입력!$F145)&amp;"."&amp;DAY(발령대장_입력!$F145)&amp;".")</f>
        <v/>
      </c>
      <c r="F176" t="str">
        <f>IF($A176="","",IF(기본설정·안내!$B$5="","",기본설정·안내!$B$5))</f>
        <v/>
      </c>
      <c r="G176" t="str">
        <f>IF($A176="","",IF(기본설정·안내!$B$6="","",기본설정·안내!$B$6))</f>
        <v/>
      </c>
      <c r="H176" t="str">
        <f>IF($A176="","",IF(기본설정·안내!$B$7="","",기본설정·안내!$B$7))</f>
        <v/>
      </c>
      <c r="I176" t="str">
        <f>IF($A176="","",IF(기본설정·안내!$B$8="","",기본설정·안내!$B$8))</f>
        <v/>
      </c>
      <c r="J176" t="str">
        <f>IF($A176="","",IF(기본설정·안내!$B$9="","",기본설정·안내!$B$9))</f>
        <v/>
      </c>
    </row>
    <row r="177" spans="1:10">
      <c r="A177" s="42" t="str">
        <f>IF(발령대장_입력!$C146="","",발령대장_입력!$E146)</f>
        <v/>
      </c>
      <c r="B177" t="str">
        <f>IF($A177="","",IF(기본설정·안내!$B$4="","",기본설정·안내!$B$4))</f>
        <v/>
      </c>
      <c r="C177" t="str">
        <f>IF($A177="","",IF(발령대장_입력!$B146="",발령대장_입력!$A146,발령대장_입력!$A146&amp;CHAR(10)&amp;"("&amp;발령대장_입력!$B146&amp;")"))</f>
        <v/>
      </c>
      <c r="D177" t="str">
        <f>IF($A177="","",발령대장_입력!$C146)</f>
        <v/>
      </c>
      <c r="E177" t="str">
        <f>IF($A177="","",발령대장_입력!$A146&amp;"에 임함"&amp;IF(발령대장_입력!$B146="","",CHAR(10)&amp;"("&amp;발령대장_입력!$B146&amp;")")&amp;IF(발령대장_입력!$G146="","",CHAR(10)&amp;"("&amp;SUBSTITUTE(SUBSTITUTE(발령대장_입력!$G146,"호봉","")," ","")&amp;")호봉을 급함")&amp;CHAR(10)&amp;"임용기간: "&amp;YEAR(발령대장_입력!$E146)&amp;"."&amp;MONTH(발령대장_입력!$E146)&amp;"."&amp;DAY(발령대장_입력!$E146)&amp;"."&amp;" ~ "&amp;YEAR(발령대장_입력!$F146)&amp;"."&amp;MONTH(발령대장_입력!$F146)&amp;"."&amp;DAY(발령대장_입력!$F146)&amp;".")</f>
        <v/>
      </c>
      <c r="F177" t="str">
        <f>IF($A177="","",IF(기본설정·안내!$B$5="","",기본설정·안내!$B$5))</f>
        <v/>
      </c>
      <c r="G177" t="str">
        <f>IF($A177="","",IF(기본설정·안내!$B$6="","",기본설정·안내!$B$6))</f>
        <v/>
      </c>
      <c r="H177" t="str">
        <f>IF($A177="","",IF(기본설정·안내!$B$7="","",기본설정·안내!$B$7))</f>
        <v/>
      </c>
      <c r="I177" t="str">
        <f>IF($A177="","",IF(기본설정·안내!$B$8="","",기본설정·안내!$B$8))</f>
        <v/>
      </c>
      <c r="J177" t="str">
        <f>IF($A177="","",IF(기본설정·안내!$B$9="","",기본설정·안내!$B$9))</f>
        <v/>
      </c>
    </row>
    <row r="178" spans="1:10">
      <c r="A178" s="42" t="str">
        <f>IF(발령대장_입력!$C147="","",발령대장_입력!$E147)</f>
        <v/>
      </c>
      <c r="B178" t="str">
        <f>IF($A178="","",IF(기본설정·안내!$B$4="","",기본설정·안내!$B$4))</f>
        <v/>
      </c>
      <c r="C178" t="str">
        <f>IF($A178="","",IF(발령대장_입력!$B147="",발령대장_입력!$A147,발령대장_입력!$A147&amp;CHAR(10)&amp;"("&amp;발령대장_입력!$B147&amp;")"))</f>
        <v/>
      </c>
      <c r="D178" t="str">
        <f>IF($A178="","",발령대장_입력!$C147)</f>
        <v/>
      </c>
      <c r="E178" t="str">
        <f>IF($A178="","",발령대장_입력!$A147&amp;"에 임함"&amp;IF(발령대장_입력!$B147="","",CHAR(10)&amp;"("&amp;발령대장_입력!$B147&amp;")")&amp;IF(발령대장_입력!$G147="","",CHAR(10)&amp;"("&amp;SUBSTITUTE(SUBSTITUTE(발령대장_입력!$G147,"호봉","")," ","")&amp;")호봉을 급함")&amp;CHAR(10)&amp;"임용기간: "&amp;YEAR(발령대장_입력!$E147)&amp;"."&amp;MONTH(발령대장_입력!$E147)&amp;"."&amp;DAY(발령대장_입력!$E147)&amp;"."&amp;" ~ "&amp;YEAR(발령대장_입력!$F147)&amp;"."&amp;MONTH(발령대장_입력!$F147)&amp;"."&amp;DAY(발령대장_입력!$F147)&amp;".")</f>
        <v/>
      </c>
      <c r="F178" t="str">
        <f>IF($A178="","",IF(기본설정·안내!$B$5="","",기본설정·안내!$B$5))</f>
        <v/>
      </c>
      <c r="G178" t="str">
        <f>IF($A178="","",IF(기본설정·안내!$B$6="","",기본설정·안내!$B$6))</f>
        <v/>
      </c>
      <c r="H178" t="str">
        <f>IF($A178="","",IF(기본설정·안내!$B$7="","",기본설정·안내!$B$7))</f>
        <v/>
      </c>
      <c r="I178" t="str">
        <f>IF($A178="","",IF(기본설정·안내!$B$8="","",기본설정·안내!$B$8))</f>
        <v/>
      </c>
      <c r="J178" t="str">
        <f>IF($A178="","",IF(기본설정·안내!$B$9="","",기본설정·안내!$B$9))</f>
        <v/>
      </c>
    </row>
    <row r="179" spans="1:10">
      <c r="A179" s="42" t="str">
        <f>IF(발령대장_입력!$C148="","",발령대장_입력!$E148)</f>
        <v/>
      </c>
      <c r="B179" t="str">
        <f>IF($A179="","",IF(기본설정·안내!$B$4="","",기본설정·안내!$B$4))</f>
        <v/>
      </c>
      <c r="C179" t="str">
        <f>IF($A179="","",IF(발령대장_입력!$B148="",발령대장_입력!$A148,발령대장_입력!$A148&amp;CHAR(10)&amp;"("&amp;발령대장_입력!$B148&amp;")"))</f>
        <v/>
      </c>
      <c r="D179" t="str">
        <f>IF($A179="","",발령대장_입력!$C148)</f>
        <v/>
      </c>
      <c r="E179" t="str">
        <f>IF($A179="","",발령대장_입력!$A148&amp;"에 임함"&amp;IF(발령대장_입력!$B148="","",CHAR(10)&amp;"("&amp;발령대장_입력!$B148&amp;")")&amp;IF(발령대장_입력!$G148="","",CHAR(10)&amp;"("&amp;SUBSTITUTE(SUBSTITUTE(발령대장_입력!$G148,"호봉","")," ","")&amp;")호봉을 급함")&amp;CHAR(10)&amp;"임용기간: "&amp;YEAR(발령대장_입력!$E148)&amp;"."&amp;MONTH(발령대장_입력!$E148)&amp;"."&amp;DAY(발령대장_입력!$E148)&amp;"."&amp;" ~ "&amp;YEAR(발령대장_입력!$F148)&amp;"."&amp;MONTH(발령대장_입력!$F148)&amp;"."&amp;DAY(발령대장_입력!$F148)&amp;".")</f>
        <v/>
      </c>
      <c r="F179" t="str">
        <f>IF($A179="","",IF(기본설정·안내!$B$5="","",기본설정·안내!$B$5))</f>
        <v/>
      </c>
      <c r="G179" t="str">
        <f>IF($A179="","",IF(기본설정·안내!$B$6="","",기본설정·안내!$B$6))</f>
        <v/>
      </c>
      <c r="H179" t="str">
        <f>IF($A179="","",IF(기본설정·안내!$B$7="","",기본설정·안내!$B$7))</f>
        <v/>
      </c>
      <c r="I179" t="str">
        <f>IF($A179="","",IF(기본설정·안내!$B$8="","",기본설정·안내!$B$8))</f>
        <v/>
      </c>
      <c r="J179" t="str">
        <f>IF($A179="","",IF(기본설정·안내!$B$9="","",기본설정·안내!$B$9))</f>
        <v/>
      </c>
    </row>
    <row r="180" spans="1:10">
      <c r="A180" s="42" t="str">
        <f>IF(발령대장_입력!$C149="","",발령대장_입력!$E149)</f>
        <v/>
      </c>
      <c r="B180" t="str">
        <f>IF($A180="","",IF(기본설정·안내!$B$4="","",기본설정·안내!$B$4))</f>
        <v/>
      </c>
      <c r="C180" t="str">
        <f>IF($A180="","",IF(발령대장_입력!$B149="",발령대장_입력!$A149,발령대장_입력!$A149&amp;CHAR(10)&amp;"("&amp;발령대장_입력!$B149&amp;")"))</f>
        <v/>
      </c>
      <c r="D180" t="str">
        <f>IF($A180="","",발령대장_입력!$C149)</f>
        <v/>
      </c>
      <c r="E180" t="str">
        <f>IF($A180="","",발령대장_입력!$A149&amp;"에 임함"&amp;IF(발령대장_입력!$B149="","",CHAR(10)&amp;"("&amp;발령대장_입력!$B149&amp;")")&amp;IF(발령대장_입력!$G149="","",CHAR(10)&amp;"("&amp;SUBSTITUTE(SUBSTITUTE(발령대장_입력!$G149,"호봉","")," ","")&amp;")호봉을 급함")&amp;CHAR(10)&amp;"임용기간: "&amp;YEAR(발령대장_입력!$E149)&amp;"."&amp;MONTH(발령대장_입력!$E149)&amp;"."&amp;DAY(발령대장_입력!$E149)&amp;"."&amp;" ~ "&amp;YEAR(발령대장_입력!$F149)&amp;"."&amp;MONTH(발령대장_입력!$F149)&amp;"."&amp;DAY(발령대장_입력!$F149)&amp;".")</f>
        <v/>
      </c>
      <c r="F180" t="str">
        <f>IF($A180="","",IF(기본설정·안내!$B$5="","",기본설정·안내!$B$5))</f>
        <v/>
      </c>
      <c r="G180" t="str">
        <f>IF($A180="","",IF(기본설정·안내!$B$6="","",기본설정·안내!$B$6))</f>
        <v/>
      </c>
      <c r="H180" t="str">
        <f>IF($A180="","",IF(기본설정·안내!$B$7="","",기본설정·안내!$B$7))</f>
        <v/>
      </c>
      <c r="I180" t="str">
        <f>IF($A180="","",IF(기본설정·안내!$B$8="","",기본설정·안내!$B$8))</f>
        <v/>
      </c>
      <c r="J180" t="str">
        <f>IF($A180="","",IF(기본설정·안내!$B$9="","",기본설정·안내!$B$9))</f>
        <v/>
      </c>
    </row>
    <row r="181" spans="1:10">
      <c r="A181" s="42" t="str">
        <f>IF(발령대장_입력!$C150="","",발령대장_입력!$E150)</f>
        <v/>
      </c>
      <c r="B181" t="str">
        <f>IF($A181="","",IF(기본설정·안내!$B$4="","",기본설정·안내!$B$4))</f>
        <v/>
      </c>
      <c r="C181" t="str">
        <f>IF($A181="","",IF(발령대장_입력!$B150="",발령대장_입력!$A150,발령대장_입력!$A150&amp;CHAR(10)&amp;"("&amp;발령대장_입력!$B150&amp;")"))</f>
        <v/>
      </c>
      <c r="D181" t="str">
        <f>IF($A181="","",발령대장_입력!$C150)</f>
        <v/>
      </c>
      <c r="E181" t="str">
        <f>IF($A181="","",발령대장_입력!$A150&amp;"에 임함"&amp;IF(발령대장_입력!$B150="","",CHAR(10)&amp;"("&amp;발령대장_입력!$B150&amp;")")&amp;IF(발령대장_입력!$G150="","",CHAR(10)&amp;"("&amp;SUBSTITUTE(SUBSTITUTE(발령대장_입력!$G150,"호봉","")," ","")&amp;")호봉을 급함")&amp;CHAR(10)&amp;"임용기간: "&amp;YEAR(발령대장_입력!$E150)&amp;"."&amp;MONTH(발령대장_입력!$E150)&amp;"."&amp;DAY(발령대장_입력!$E150)&amp;"."&amp;" ~ "&amp;YEAR(발령대장_입력!$F150)&amp;"."&amp;MONTH(발령대장_입력!$F150)&amp;"."&amp;DAY(발령대장_입력!$F150)&amp;".")</f>
        <v/>
      </c>
      <c r="F181" t="str">
        <f>IF($A181="","",IF(기본설정·안내!$B$5="","",기본설정·안내!$B$5))</f>
        <v/>
      </c>
      <c r="G181" t="str">
        <f>IF($A181="","",IF(기본설정·안내!$B$6="","",기본설정·안내!$B$6))</f>
        <v/>
      </c>
      <c r="H181" t="str">
        <f>IF($A181="","",IF(기본설정·안내!$B$7="","",기본설정·안내!$B$7))</f>
        <v/>
      </c>
      <c r="I181" t="str">
        <f>IF($A181="","",IF(기본설정·안내!$B$8="","",기본설정·안내!$B$8))</f>
        <v/>
      </c>
      <c r="J181" t="str">
        <f>IF($A181="","",IF(기본설정·안내!$B$9="","",기본설정·안내!$B$9))</f>
        <v/>
      </c>
    </row>
    <row r="182" spans="1:10">
      <c r="A182" s="42" t="str">
        <f>IF(발령대장_입력!$C151="","",발령대장_입력!$E151)</f>
        <v/>
      </c>
      <c r="B182" t="str">
        <f>IF($A182="","",IF(기본설정·안내!$B$4="","",기본설정·안내!$B$4))</f>
        <v/>
      </c>
      <c r="C182" t="str">
        <f>IF($A182="","",IF(발령대장_입력!$B151="",발령대장_입력!$A151,발령대장_입력!$A151&amp;CHAR(10)&amp;"("&amp;발령대장_입력!$B151&amp;")"))</f>
        <v/>
      </c>
      <c r="D182" t="str">
        <f>IF($A182="","",발령대장_입력!$C151)</f>
        <v/>
      </c>
      <c r="E182" t="str">
        <f>IF($A182="","",발령대장_입력!$A151&amp;"에 임함"&amp;IF(발령대장_입력!$B151="","",CHAR(10)&amp;"("&amp;발령대장_입력!$B151&amp;")")&amp;IF(발령대장_입력!$G151="","",CHAR(10)&amp;"("&amp;SUBSTITUTE(SUBSTITUTE(발령대장_입력!$G151,"호봉","")," ","")&amp;")호봉을 급함")&amp;CHAR(10)&amp;"임용기간: "&amp;YEAR(발령대장_입력!$E151)&amp;"."&amp;MONTH(발령대장_입력!$E151)&amp;"."&amp;DAY(발령대장_입력!$E151)&amp;"."&amp;" ~ "&amp;YEAR(발령대장_입력!$F151)&amp;"."&amp;MONTH(발령대장_입력!$F151)&amp;"."&amp;DAY(발령대장_입력!$F151)&amp;".")</f>
        <v/>
      </c>
      <c r="F182" t="str">
        <f>IF($A182="","",IF(기본설정·안내!$B$5="","",기본설정·안내!$B$5))</f>
        <v/>
      </c>
      <c r="G182" t="str">
        <f>IF($A182="","",IF(기본설정·안내!$B$6="","",기본설정·안내!$B$6))</f>
        <v/>
      </c>
      <c r="H182" t="str">
        <f>IF($A182="","",IF(기본설정·안내!$B$7="","",기본설정·안내!$B$7))</f>
        <v/>
      </c>
      <c r="I182" t="str">
        <f>IF($A182="","",IF(기본설정·안내!$B$8="","",기본설정·안내!$B$8))</f>
        <v/>
      </c>
      <c r="J182" t="str">
        <f>IF($A182="","",IF(기본설정·안내!$B$9="","",기본설정·안내!$B$9))</f>
        <v/>
      </c>
    </row>
    <row r="183" spans="1:10">
      <c r="A183" s="42" t="str">
        <f>IF(발령대장_입력!$C152="","",발령대장_입력!$E152)</f>
        <v/>
      </c>
      <c r="B183" t="str">
        <f>IF($A183="","",IF(기본설정·안내!$B$4="","",기본설정·안내!$B$4))</f>
        <v/>
      </c>
      <c r="C183" t="str">
        <f>IF($A183="","",IF(발령대장_입력!$B152="",발령대장_입력!$A152,발령대장_입력!$A152&amp;CHAR(10)&amp;"("&amp;발령대장_입력!$B152&amp;")"))</f>
        <v/>
      </c>
      <c r="D183" t="str">
        <f>IF($A183="","",발령대장_입력!$C152)</f>
        <v/>
      </c>
      <c r="E183" t="str">
        <f>IF($A183="","",발령대장_입력!$A152&amp;"에 임함"&amp;IF(발령대장_입력!$B152="","",CHAR(10)&amp;"("&amp;발령대장_입력!$B152&amp;")")&amp;IF(발령대장_입력!$G152="","",CHAR(10)&amp;"("&amp;SUBSTITUTE(SUBSTITUTE(발령대장_입력!$G152,"호봉","")," ","")&amp;")호봉을 급함")&amp;CHAR(10)&amp;"임용기간: "&amp;YEAR(발령대장_입력!$E152)&amp;"."&amp;MONTH(발령대장_입력!$E152)&amp;"."&amp;DAY(발령대장_입력!$E152)&amp;"."&amp;" ~ "&amp;YEAR(발령대장_입력!$F152)&amp;"."&amp;MONTH(발령대장_입력!$F152)&amp;"."&amp;DAY(발령대장_입력!$F152)&amp;".")</f>
        <v/>
      </c>
      <c r="F183" t="str">
        <f>IF($A183="","",IF(기본설정·안내!$B$5="","",기본설정·안내!$B$5))</f>
        <v/>
      </c>
      <c r="G183" t="str">
        <f>IF($A183="","",IF(기본설정·안내!$B$6="","",기본설정·안내!$B$6))</f>
        <v/>
      </c>
      <c r="H183" t="str">
        <f>IF($A183="","",IF(기본설정·안내!$B$7="","",기본설정·안내!$B$7))</f>
        <v/>
      </c>
      <c r="I183" t="str">
        <f>IF($A183="","",IF(기본설정·안내!$B$8="","",기본설정·안내!$B$8))</f>
        <v/>
      </c>
      <c r="J183" t="str">
        <f>IF($A183="","",IF(기본설정·안내!$B$9="","",기본설정·안내!$B$9))</f>
        <v/>
      </c>
    </row>
    <row r="184" spans="1:10">
      <c r="A184" s="42" t="str">
        <f>IF(발령대장_입력!$C153="","",발령대장_입력!$E153)</f>
        <v/>
      </c>
      <c r="B184" t="str">
        <f>IF($A184="","",IF(기본설정·안내!$B$4="","",기본설정·안내!$B$4))</f>
        <v/>
      </c>
      <c r="C184" t="str">
        <f>IF($A184="","",IF(발령대장_입력!$B153="",발령대장_입력!$A153,발령대장_입력!$A153&amp;CHAR(10)&amp;"("&amp;발령대장_입력!$B153&amp;")"))</f>
        <v/>
      </c>
      <c r="D184" t="str">
        <f>IF($A184="","",발령대장_입력!$C153)</f>
        <v/>
      </c>
      <c r="E184" t="str">
        <f>IF($A184="","",발령대장_입력!$A153&amp;"에 임함"&amp;IF(발령대장_입력!$B153="","",CHAR(10)&amp;"("&amp;발령대장_입력!$B153&amp;")")&amp;IF(발령대장_입력!$G153="","",CHAR(10)&amp;"("&amp;SUBSTITUTE(SUBSTITUTE(발령대장_입력!$G153,"호봉","")," ","")&amp;")호봉을 급함")&amp;CHAR(10)&amp;"임용기간: "&amp;YEAR(발령대장_입력!$E153)&amp;"."&amp;MONTH(발령대장_입력!$E153)&amp;"."&amp;DAY(발령대장_입력!$E153)&amp;"."&amp;" ~ "&amp;YEAR(발령대장_입력!$F153)&amp;"."&amp;MONTH(발령대장_입력!$F153)&amp;"."&amp;DAY(발령대장_입력!$F153)&amp;".")</f>
        <v/>
      </c>
      <c r="F184" t="str">
        <f>IF($A184="","",IF(기본설정·안내!$B$5="","",기본설정·안내!$B$5))</f>
        <v/>
      </c>
      <c r="G184" t="str">
        <f>IF($A184="","",IF(기본설정·안내!$B$6="","",기본설정·안내!$B$6))</f>
        <v/>
      </c>
      <c r="H184" t="str">
        <f>IF($A184="","",IF(기본설정·안내!$B$7="","",기본설정·안내!$B$7))</f>
        <v/>
      </c>
      <c r="I184" t="str">
        <f>IF($A184="","",IF(기본설정·안내!$B$8="","",기본설정·안내!$B$8))</f>
        <v/>
      </c>
      <c r="J184" t="str">
        <f>IF($A184="","",IF(기본설정·안내!$B$9="","",기본설정·안내!$B$9))</f>
        <v/>
      </c>
    </row>
    <row r="185" spans="1:10">
      <c r="A185" s="42" t="str">
        <f>IF(발령대장_입력!$C154="","",발령대장_입력!$E154)</f>
        <v/>
      </c>
      <c r="B185" t="str">
        <f>IF($A185="","",IF(기본설정·안내!$B$4="","",기본설정·안내!$B$4))</f>
        <v/>
      </c>
      <c r="C185" t="str">
        <f>IF($A185="","",IF(발령대장_입력!$B154="",발령대장_입력!$A154,발령대장_입력!$A154&amp;CHAR(10)&amp;"("&amp;발령대장_입력!$B154&amp;")"))</f>
        <v/>
      </c>
      <c r="D185" t="str">
        <f>IF($A185="","",발령대장_입력!$C154)</f>
        <v/>
      </c>
      <c r="E185" t="str">
        <f>IF($A185="","",발령대장_입력!$A154&amp;"에 임함"&amp;IF(발령대장_입력!$B154="","",CHAR(10)&amp;"("&amp;발령대장_입력!$B154&amp;")")&amp;IF(발령대장_입력!$G154="","",CHAR(10)&amp;"("&amp;SUBSTITUTE(SUBSTITUTE(발령대장_입력!$G154,"호봉","")," ","")&amp;")호봉을 급함")&amp;CHAR(10)&amp;"임용기간: "&amp;YEAR(발령대장_입력!$E154)&amp;"."&amp;MONTH(발령대장_입력!$E154)&amp;"."&amp;DAY(발령대장_입력!$E154)&amp;"."&amp;" ~ "&amp;YEAR(발령대장_입력!$F154)&amp;"."&amp;MONTH(발령대장_입력!$F154)&amp;"."&amp;DAY(발령대장_입력!$F154)&amp;".")</f>
        <v/>
      </c>
      <c r="F185" t="str">
        <f>IF($A185="","",IF(기본설정·안내!$B$5="","",기본설정·안내!$B$5))</f>
        <v/>
      </c>
      <c r="G185" t="str">
        <f>IF($A185="","",IF(기본설정·안내!$B$6="","",기본설정·안내!$B$6))</f>
        <v/>
      </c>
      <c r="H185" t="str">
        <f>IF($A185="","",IF(기본설정·안내!$B$7="","",기본설정·안내!$B$7))</f>
        <v/>
      </c>
      <c r="I185" t="str">
        <f>IF($A185="","",IF(기본설정·안내!$B$8="","",기본설정·안내!$B$8))</f>
        <v/>
      </c>
      <c r="J185" t="str">
        <f>IF($A185="","",IF(기본설정·안내!$B$9="","",기본설정·안내!$B$9))</f>
        <v/>
      </c>
    </row>
    <row r="186" spans="1:10">
      <c r="A186" s="42" t="str">
        <f>IF(발령대장_입력!$C155="","",발령대장_입력!$E155)</f>
        <v/>
      </c>
      <c r="B186" t="str">
        <f>IF($A186="","",IF(기본설정·안내!$B$4="","",기본설정·안내!$B$4))</f>
        <v/>
      </c>
      <c r="C186" t="str">
        <f>IF($A186="","",IF(발령대장_입력!$B155="",발령대장_입력!$A155,발령대장_입력!$A155&amp;CHAR(10)&amp;"("&amp;발령대장_입력!$B155&amp;")"))</f>
        <v/>
      </c>
      <c r="D186" t="str">
        <f>IF($A186="","",발령대장_입력!$C155)</f>
        <v/>
      </c>
      <c r="E186" t="str">
        <f>IF($A186="","",발령대장_입력!$A155&amp;"에 임함"&amp;IF(발령대장_입력!$B155="","",CHAR(10)&amp;"("&amp;발령대장_입력!$B155&amp;")")&amp;IF(발령대장_입력!$G155="","",CHAR(10)&amp;"("&amp;SUBSTITUTE(SUBSTITUTE(발령대장_입력!$G155,"호봉","")," ","")&amp;")호봉을 급함")&amp;CHAR(10)&amp;"임용기간: "&amp;YEAR(발령대장_입력!$E155)&amp;"."&amp;MONTH(발령대장_입력!$E155)&amp;"."&amp;DAY(발령대장_입력!$E155)&amp;"."&amp;" ~ "&amp;YEAR(발령대장_입력!$F155)&amp;"."&amp;MONTH(발령대장_입력!$F155)&amp;"."&amp;DAY(발령대장_입력!$F155)&amp;".")</f>
        <v/>
      </c>
      <c r="F186" t="str">
        <f>IF($A186="","",IF(기본설정·안내!$B$5="","",기본설정·안내!$B$5))</f>
        <v/>
      </c>
      <c r="G186" t="str">
        <f>IF($A186="","",IF(기본설정·안내!$B$6="","",기본설정·안내!$B$6))</f>
        <v/>
      </c>
      <c r="H186" t="str">
        <f>IF($A186="","",IF(기본설정·안내!$B$7="","",기본설정·안내!$B$7))</f>
        <v/>
      </c>
      <c r="I186" t="str">
        <f>IF($A186="","",IF(기본설정·안내!$B$8="","",기본설정·안내!$B$8))</f>
        <v/>
      </c>
      <c r="J186" t="str">
        <f>IF($A186="","",IF(기본설정·안내!$B$9="","",기본설정·안내!$B$9))</f>
        <v/>
      </c>
    </row>
    <row r="187" spans="1:10">
      <c r="A187" s="42" t="str">
        <f>IF(발령대장_입력!$C156="","",발령대장_입력!$E156)</f>
        <v/>
      </c>
      <c r="B187" t="str">
        <f>IF($A187="","",IF(기본설정·안내!$B$4="","",기본설정·안내!$B$4))</f>
        <v/>
      </c>
      <c r="C187" t="str">
        <f>IF($A187="","",IF(발령대장_입력!$B156="",발령대장_입력!$A156,발령대장_입력!$A156&amp;CHAR(10)&amp;"("&amp;발령대장_입력!$B156&amp;")"))</f>
        <v/>
      </c>
      <c r="D187" t="str">
        <f>IF($A187="","",발령대장_입력!$C156)</f>
        <v/>
      </c>
      <c r="E187" t="str">
        <f>IF($A187="","",발령대장_입력!$A156&amp;"에 임함"&amp;IF(발령대장_입력!$B156="","",CHAR(10)&amp;"("&amp;발령대장_입력!$B156&amp;")")&amp;IF(발령대장_입력!$G156="","",CHAR(10)&amp;"("&amp;SUBSTITUTE(SUBSTITUTE(발령대장_입력!$G156,"호봉","")," ","")&amp;")호봉을 급함")&amp;CHAR(10)&amp;"임용기간: "&amp;YEAR(발령대장_입력!$E156)&amp;"."&amp;MONTH(발령대장_입력!$E156)&amp;"."&amp;DAY(발령대장_입력!$E156)&amp;"."&amp;" ~ "&amp;YEAR(발령대장_입력!$F156)&amp;"."&amp;MONTH(발령대장_입력!$F156)&amp;"."&amp;DAY(발령대장_입력!$F156)&amp;".")</f>
        <v/>
      </c>
      <c r="F187" t="str">
        <f>IF($A187="","",IF(기본설정·안내!$B$5="","",기본설정·안내!$B$5))</f>
        <v/>
      </c>
      <c r="G187" t="str">
        <f>IF($A187="","",IF(기본설정·안내!$B$6="","",기본설정·안내!$B$6))</f>
        <v/>
      </c>
      <c r="H187" t="str">
        <f>IF($A187="","",IF(기본설정·안내!$B$7="","",기본설정·안내!$B$7))</f>
        <v/>
      </c>
      <c r="I187" t="str">
        <f>IF($A187="","",IF(기본설정·안내!$B$8="","",기본설정·안내!$B$8))</f>
        <v/>
      </c>
      <c r="J187" t="str">
        <f>IF($A187="","",IF(기본설정·안내!$B$9="","",기본설정·안내!$B$9))</f>
        <v/>
      </c>
    </row>
    <row r="188" spans="1:10">
      <c r="A188" s="42" t="str">
        <f>IF(발령대장_입력!$C157="","",발령대장_입력!$E157)</f>
        <v/>
      </c>
      <c r="B188" t="str">
        <f>IF($A188="","",IF(기본설정·안내!$B$4="","",기본설정·안내!$B$4))</f>
        <v/>
      </c>
      <c r="C188" t="str">
        <f>IF($A188="","",IF(발령대장_입력!$B157="",발령대장_입력!$A157,발령대장_입력!$A157&amp;CHAR(10)&amp;"("&amp;발령대장_입력!$B157&amp;")"))</f>
        <v/>
      </c>
      <c r="D188" t="str">
        <f>IF($A188="","",발령대장_입력!$C157)</f>
        <v/>
      </c>
      <c r="E188" t="str">
        <f>IF($A188="","",발령대장_입력!$A157&amp;"에 임함"&amp;IF(발령대장_입력!$B157="","",CHAR(10)&amp;"("&amp;발령대장_입력!$B157&amp;")")&amp;IF(발령대장_입력!$G157="","",CHAR(10)&amp;"("&amp;SUBSTITUTE(SUBSTITUTE(발령대장_입력!$G157,"호봉","")," ","")&amp;")호봉을 급함")&amp;CHAR(10)&amp;"임용기간: "&amp;YEAR(발령대장_입력!$E157)&amp;"."&amp;MONTH(발령대장_입력!$E157)&amp;"."&amp;DAY(발령대장_입력!$E157)&amp;"."&amp;" ~ "&amp;YEAR(발령대장_입력!$F157)&amp;"."&amp;MONTH(발령대장_입력!$F157)&amp;"."&amp;DAY(발령대장_입력!$F157)&amp;".")</f>
        <v/>
      </c>
      <c r="F188" t="str">
        <f>IF($A188="","",IF(기본설정·안내!$B$5="","",기본설정·안내!$B$5))</f>
        <v/>
      </c>
      <c r="G188" t="str">
        <f>IF($A188="","",IF(기본설정·안내!$B$6="","",기본설정·안내!$B$6))</f>
        <v/>
      </c>
      <c r="H188" t="str">
        <f>IF($A188="","",IF(기본설정·안내!$B$7="","",기본설정·안내!$B$7))</f>
        <v/>
      </c>
      <c r="I188" t="str">
        <f>IF($A188="","",IF(기본설정·안내!$B$8="","",기본설정·안내!$B$8))</f>
        <v/>
      </c>
      <c r="J188" t="str">
        <f>IF($A188="","",IF(기본설정·안내!$B$9="","",기본설정·안내!$B$9))</f>
        <v/>
      </c>
    </row>
    <row r="189" spans="1:10">
      <c r="A189" s="42" t="str">
        <f>IF(발령대장_입력!$C158="","",발령대장_입력!$E158)</f>
        <v/>
      </c>
      <c r="B189" t="str">
        <f>IF($A189="","",IF(기본설정·안내!$B$4="","",기본설정·안내!$B$4))</f>
        <v/>
      </c>
      <c r="C189" t="str">
        <f>IF($A189="","",IF(발령대장_입력!$B158="",발령대장_입력!$A158,발령대장_입력!$A158&amp;CHAR(10)&amp;"("&amp;발령대장_입력!$B158&amp;")"))</f>
        <v/>
      </c>
      <c r="D189" t="str">
        <f>IF($A189="","",발령대장_입력!$C158)</f>
        <v/>
      </c>
      <c r="E189" t="str">
        <f>IF($A189="","",발령대장_입력!$A158&amp;"에 임함"&amp;IF(발령대장_입력!$B158="","",CHAR(10)&amp;"("&amp;발령대장_입력!$B158&amp;")")&amp;IF(발령대장_입력!$G158="","",CHAR(10)&amp;"("&amp;SUBSTITUTE(SUBSTITUTE(발령대장_입력!$G158,"호봉","")," ","")&amp;")호봉을 급함")&amp;CHAR(10)&amp;"임용기간: "&amp;YEAR(발령대장_입력!$E158)&amp;"."&amp;MONTH(발령대장_입력!$E158)&amp;"."&amp;DAY(발령대장_입력!$E158)&amp;"."&amp;" ~ "&amp;YEAR(발령대장_입력!$F158)&amp;"."&amp;MONTH(발령대장_입력!$F158)&amp;"."&amp;DAY(발령대장_입력!$F158)&amp;".")</f>
        <v/>
      </c>
      <c r="F189" t="str">
        <f>IF($A189="","",IF(기본설정·안내!$B$5="","",기본설정·안내!$B$5))</f>
        <v/>
      </c>
      <c r="G189" t="str">
        <f>IF($A189="","",IF(기본설정·안내!$B$6="","",기본설정·안내!$B$6))</f>
        <v/>
      </c>
      <c r="H189" t="str">
        <f>IF($A189="","",IF(기본설정·안내!$B$7="","",기본설정·안내!$B$7))</f>
        <v/>
      </c>
      <c r="I189" t="str">
        <f>IF($A189="","",IF(기본설정·안내!$B$8="","",기본설정·안내!$B$8))</f>
        <v/>
      </c>
      <c r="J189" t="str">
        <f>IF($A189="","",IF(기본설정·안내!$B$9="","",기본설정·안내!$B$9))</f>
        <v/>
      </c>
    </row>
    <row r="190" spans="1:10">
      <c r="A190" s="42" t="str">
        <f>IF(발령대장_입력!$C159="","",발령대장_입력!$E159)</f>
        <v/>
      </c>
      <c r="B190" t="str">
        <f>IF($A190="","",IF(기본설정·안내!$B$4="","",기본설정·안내!$B$4))</f>
        <v/>
      </c>
      <c r="C190" t="str">
        <f>IF($A190="","",IF(발령대장_입력!$B159="",발령대장_입력!$A159,발령대장_입력!$A159&amp;CHAR(10)&amp;"("&amp;발령대장_입력!$B159&amp;")"))</f>
        <v/>
      </c>
      <c r="D190" t="str">
        <f>IF($A190="","",발령대장_입력!$C159)</f>
        <v/>
      </c>
      <c r="E190" t="str">
        <f>IF($A190="","",발령대장_입력!$A159&amp;"에 임함"&amp;IF(발령대장_입력!$B159="","",CHAR(10)&amp;"("&amp;발령대장_입력!$B159&amp;")")&amp;IF(발령대장_입력!$G159="","",CHAR(10)&amp;"("&amp;SUBSTITUTE(SUBSTITUTE(발령대장_입력!$G159,"호봉","")," ","")&amp;")호봉을 급함")&amp;CHAR(10)&amp;"임용기간: "&amp;YEAR(발령대장_입력!$E159)&amp;"."&amp;MONTH(발령대장_입력!$E159)&amp;"."&amp;DAY(발령대장_입력!$E159)&amp;"."&amp;" ~ "&amp;YEAR(발령대장_입력!$F159)&amp;"."&amp;MONTH(발령대장_입력!$F159)&amp;"."&amp;DAY(발령대장_입력!$F159)&amp;".")</f>
        <v/>
      </c>
      <c r="F190" t="str">
        <f>IF($A190="","",IF(기본설정·안내!$B$5="","",기본설정·안내!$B$5))</f>
        <v/>
      </c>
      <c r="G190" t="str">
        <f>IF($A190="","",IF(기본설정·안내!$B$6="","",기본설정·안내!$B$6))</f>
        <v/>
      </c>
      <c r="H190" t="str">
        <f>IF($A190="","",IF(기본설정·안내!$B$7="","",기본설정·안내!$B$7))</f>
        <v/>
      </c>
      <c r="I190" t="str">
        <f>IF($A190="","",IF(기본설정·안내!$B$8="","",기본설정·안내!$B$8))</f>
        <v/>
      </c>
      <c r="J190" t="str">
        <f>IF($A190="","",IF(기본설정·안내!$B$9="","",기본설정·안내!$B$9))</f>
        <v/>
      </c>
    </row>
    <row r="191" spans="1:10">
      <c r="A191" s="42" t="str">
        <f>IF(발령대장_입력!$C160="","",발령대장_입력!$E160)</f>
        <v/>
      </c>
      <c r="B191" t="str">
        <f>IF($A191="","",IF(기본설정·안내!$B$4="","",기본설정·안내!$B$4))</f>
        <v/>
      </c>
      <c r="C191" t="str">
        <f>IF($A191="","",IF(발령대장_입력!$B160="",발령대장_입력!$A160,발령대장_입력!$A160&amp;CHAR(10)&amp;"("&amp;발령대장_입력!$B160&amp;")"))</f>
        <v/>
      </c>
      <c r="D191" t="str">
        <f>IF($A191="","",발령대장_입력!$C160)</f>
        <v/>
      </c>
      <c r="E191" t="str">
        <f>IF($A191="","",발령대장_입력!$A160&amp;"에 임함"&amp;IF(발령대장_입력!$B160="","",CHAR(10)&amp;"("&amp;발령대장_입력!$B160&amp;")")&amp;IF(발령대장_입력!$G160="","",CHAR(10)&amp;"("&amp;SUBSTITUTE(SUBSTITUTE(발령대장_입력!$G160,"호봉","")," ","")&amp;")호봉을 급함")&amp;CHAR(10)&amp;"임용기간: "&amp;YEAR(발령대장_입력!$E160)&amp;"."&amp;MONTH(발령대장_입력!$E160)&amp;"."&amp;DAY(발령대장_입력!$E160)&amp;"."&amp;" ~ "&amp;YEAR(발령대장_입력!$F160)&amp;"."&amp;MONTH(발령대장_입력!$F160)&amp;"."&amp;DAY(발령대장_입력!$F160)&amp;".")</f>
        <v/>
      </c>
      <c r="F191" t="str">
        <f>IF($A191="","",IF(기본설정·안내!$B$5="","",기본설정·안내!$B$5))</f>
        <v/>
      </c>
      <c r="G191" t="str">
        <f>IF($A191="","",IF(기본설정·안내!$B$6="","",기본설정·안내!$B$6))</f>
        <v/>
      </c>
      <c r="H191" t="str">
        <f>IF($A191="","",IF(기본설정·안내!$B$7="","",기본설정·안내!$B$7))</f>
        <v/>
      </c>
      <c r="I191" t="str">
        <f>IF($A191="","",IF(기본설정·안내!$B$8="","",기본설정·안내!$B$8))</f>
        <v/>
      </c>
      <c r="J191" t="str">
        <f>IF($A191="","",IF(기본설정·안내!$B$9="","",기본설정·안내!$B$9))</f>
        <v/>
      </c>
    </row>
    <row r="192" spans="1:10">
      <c r="A192" s="42" t="str">
        <f>IF(발령대장_입력!$C161="","",발령대장_입력!$E161)</f>
        <v/>
      </c>
      <c r="B192" t="str">
        <f>IF($A192="","",IF(기본설정·안내!$B$4="","",기본설정·안내!$B$4))</f>
        <v/>
      </c>
      <c r="C192" t="str">
        <f>IF($A192="","",IF(발령대장_입력!$B161="",발령대장_입력!$A161,발령대장_입력!$A161&amp;CHAR(10)&amp;"("&amp;발령대장_입력!$B161&amp;")"))</f>
        <v/>
      </c>
      <c r="D192" t="str">
        <f>IF($A192="","",발령대장_입력!$C161)</f>
        <v/>
      </c>
      <c r="E192" t="str">
        <f>IF($A192="","",발령대장_입력!$A161&amp;"에 임함"&amp;IF(발령대장_입력!$B161="","",CHAR(10)&amp;"("&amp;발령대장_입력!$B161&amp;")")&amp;IF(발령대장_입력!$G161="","",CHAR(10)&amp;"("&amp;SUBSTITUTE(SUBSTITUTE(발령대장_입력!$G161,"호봉","")," ","")&amp;")호봉을 급함")&amp;CHAR(10)&amp;"임용기간: "&amp;YEAR(발령대장_입력!$E161)&amp;"."&amp;MONTH(발령대장_입력!$E161)&amp;"."&amp;DAY(발령대장_입력!$E161)&amp;"."&amp;" ~ "&amp;YEAR(발령대장_입력!$F161)&amp;"."&amp;MONTH(발령대장_입력!$F161)&amp;"."&amp;DAY(발령대장_입력!$F161)&amp;".")</f>
        <v/>
      </c>
      <c r="F192" t="str">
        <f>IF($A192="","",IF(기본설정·안내!$B$5="","",기본설정·안내!$B$5))</f>
        <v/>
      </c>
      <c r="G192" t="str">
        <f>IF($A192="","",IF(기본설정·안내!$B$6="","",기본설정·안내!$B$6))</f>
        <v/>
      </c>
      <c r="H192" t="str">
        <f>IF($A192="","",IF(기본설정·안내!$B$7="","",기본설정·안내!$B$7))</f>
        <v/>
      </c>
      <c r="I192" t="str">
        <f>IF($A192="","",IF(기본설정·안내!$B$8="","",기본설정·안내!$B$8))</f>
        <v/>
      </c>
      <c r="J192" t="str">
        <f>IF($A192="","",IF(기본설정·안내!$B$9="","",기본설정·안내!$B$9))</f>
        <v/>
      </c>
    </row>
    <row r="193" spans="1:10">
      <c r="A193" s="42" t="str">
        <f>IF(발령대장_입력!$C162="","",발령대장_입력!$E162)</f>
        <v/>
      </c>
      <c r="B193" t="str">
        <f>IF($A193="","",IF(기본설정·안내!$B$4="","",기본설정·안내!$B$4))</f>
        <v/>
      </c>
      <c r="C193" t="str">
        <f>IF($A193="","",IF(발령대장_입력!$B162="",발령대장_입력!$A162,발령대장_입력!$A162&amp;CHAR(10)&amp;"("&amp;발령대장_입력!$B162&amp;")"))</f>
        <v/>
      </c>
      <c r="D193" t="str">
        <f>IF($A193="","",발령대장_입력!$C162)</f>
        <v/>
      </c>
      <c r="E193" t="str">
        <f>IF($A193="","",발령대장_입력!$A162&amp;"에 임함"&amp;IF(발령대장_입력!$B162="","",CHAR(10)&amp;"("&amp;발령대장_입력!$B162&amp;")")&amp;IF(발령대장_입력!$G162="","",CHAR(10)&amp;"("&amp;SUBSTITUTE(SUBSTITUTE(발령대장_입력!$G162,"호봉","")," ","")&amp;")호봉을 급함")&amp;CHAR(10)&amp;"임용기간: "&amp;YEAR(발령대장_입력!$E162)&amp;"."&amp;MONTH(발령대장_입력!$E162)&amp;"."&amp;DAY(발령대장_입력!$E162)&amp;"."&amp;" ~ "&amp;YEAR(발령대장_입력!$F162)&amp;"."&amp;MONTH(발령대장_입력!$F162)&amp;"."&amp;DAY(발령대장_입력!$F162)&amp;".")</f>
        <v/>
      </c>
      <c r="F193" t="str">
        <f>IF($A193="","",IF(기본설정·안내!$B$5="","",기본설정·안내!$B$5))</f>
        <v/>
      </c>
      <c r="G193" t="str">
        <f>IF($A193="","",IF(기본설정·안내!$B$6="","",기본설정·안내!$B$6))</f>
        <v/>
      </c>
      <c r="H193" t="str">
        <f>IF($A193="","",IF(기본설정·안내!$B$7="","",기본설정·안내!$B$7))</f>
        <v/>
      </c>
      <c r="I193" t="str">
        <f>IF($A193="","",IF(기본설정·안내!$B$8="","",기본설정·안내!$B$8))</f>
        <v/>
      </c>
      <c r="J193" t="str">
        <f>IF($A193="","",IF(기본설정·안내!$B$9="","",기본설정·안내!$B$9))</f>
        <v/>
      </c>
    </row>
    <row r="194" spans="1:10">
      <c r="A194" s="42" t="str">
        <f>IF(발령대장_입력!$C163="","",발령대장_입력!$E163)</f>
        <v/>
      </c>
      <c r="B194" t="str">
        <f>IF($A194="","",IF(기본설정·안내!$B$4="","",기본설정·안내!$B$4))</f>
        <v/>
      </c>
      <c r="C194" t="str">
        <f>IF($A194="","",IF(발령대장_입력!$B163="",발령대장_입력!$A163,발령대장_입력!$A163&amp;CHAR(10)&amp;"("&amp;발령대장_입력!$B163&amp;")"))</f>
        <v/>
      </c>
      <c r="D194" t="str">
        <f>IF($A194="","",발령대장_입력!$C163)</f>
        <v/>
      </c>
      <c r="E194" t="str">
        <f>IF($A194="","",발령대장_입력!$A163&amp;"에 임함"&amp;IF(발령대장_입력!$B163="","",CHAR(10)&amp;"("&amp;발령대장_입력!$B163&amp;")")&amp;IF(발령대장_입력!$G163="","",CHAR(10)&amp;"("&amp;SUBSTITUTE(SUBSTITUTE(발령대장_입력!$G163,"호봉","")," ","")&amp;")호봉을 급함")&amp;CHAR(10)&amp;"임용기간: "&amp;YEAR(발령대장_입력!$E163)&amp;"."&amp;MONTH(발령대장_입력!$E163)&amp;"."&amp;DAY(발령대장_입력!$E163)&amp;"."&amp;" ~ "&amp;YEAR(발령대장_입력!$F163)&amp;"."&amp;MONTH(발령대장_입력!$F163)&amp;"."&amp;DAY(발령대장_입력!$F163)&amp;".")</f>
        <v/>
      </c>
      <c r="F194" t="str">
        <f>IF($A194="","",IF(기본설정·안내!$B$5="","",기본설정·안내!$B$5))</f>
        <v/>
      </c>
      <c r="G194" t="str">
        <f>IF($A194="","",IF(기본설정·안내!$B$6="","",기본설정·안내!$B$6))</f>
        <v/>
      </c>
      <c r="H194" t="str">
        <f>IF($A194="","",IF(기본설정·안내!$B$7="","",기본설정·안내!$B$7))</f>
        <v/>
      </c>
      <c r="I194" t="str">
        <f>IF($A194="","",IF(기본설정·안내!$B$8="","",기본설정·안내!$B$8))</f>
        <v/>
      </c>
      <c r="J194" t="str">
        <f>IF($A194="","",IF(기본설정·안내!$B$9="","",기본설정·안내!$B$9))</f>
        <v/>
      </c>
    </row>
    <row r="195" spans="1:10">
      <c r="A195" s="42" t="str">
        <f>IF(발령대장_입력!$C164="","",발령대장_입력!$E164)</f>
        <v/>
      </c>
      <c r="B195" t="str">
        <f>IF($A195="","",IF(기본설정·안내!$B$4="","",기본설정·안내!$B$4))</f>
        <v/>
      </c>
      <c r="C195" t="str">
        <f>IF($A195="","",IF(발령대장_입력!$B164="",발령대장_입력!$A164,발령대장_입력!$A164&amp;CHAR(10)&amp;"("&amp;발령대장_입력!$B164&amp;")"))</f>
        <v/>
      </c>
      <c r="D195" t="str">
        <f>IF($A195="","",발령대장_입력!$C164)</f>
        <v/>
      </c>
      <c r="E195" t="str">
        <f>IF($A195="","",발령대장_입력!$A164&amp;"에 임함"&amp;IF(발령대장_입력!$B164="","",CHAR(10)&amp;"("&amp;발령대장_입력!$B164&amp;")")&amp;IF(발령대장_입력!$G164="","",CHAR(10)&amp;"("&amp;SUBSTITUTE(SUBSTITUTE(발령대장_입력!$G164,"호봉","")," ","")&amp;")호봉을 급함")&amp;CHAR(10)&amp;"임용기간: "&amp;YEAR(발령대장_입력!$E164)&amp;"."&amp;MONTH(발령대장_입력!$E164)&amp;"."&amp;DAY(발령대장_입력!$E164)&amp;"."&amp;" ~ "&amp;YEAR(발령대장_입력!$F164)&amp;"."&amp;MONTH(발령대장_입력!$F164)&amp;"."&amp;DAY(발령대장_입력!$F164)&amp;".")</f>
        <v/>
      </c>
      <c r="F195" t="str">
        <f>IF($A195="","",IF(기본설정·안내!$B$5="","",기본설정·안내!$B$5))</f>
        <v/>
      </c>
      <c r="G195" t="str">
        <f>IF($A195="","",IF(기본설정·안내!$B$6="","",기본설정·안내!$B$6))</f>
        <v/>
      </c>
      <c r="H195" t="str">
        <f>IF($A195="","",IF(기본설정·안내!$B$7="","",기본설정·안내!$B$7))</f>
        <v/>
      </c>
      <c r="I195" t="str">
        <f>IF($A195="","",IF(기본설정·안내!$B$8="","",기본설정·안내!$B$8))</f>
        <v/>
      </c>
      <c r="J195" t="str">
        <f>IF($A195="","",IF(기본설정·안내!$B$9="","",기본설정·안내!$B$9))</f>
        <v/>
      </c>
    </row>
    <row r="196" spans="1:10">
      <c r="A196" s="42" t="str">
        <f>IF(발령대장_입력!$C165="","",발령대장_입력!$E165)</f>
        <v/>
      </c>
      <c r="B196" t="str">
        <f>IF($A196="","",IF(기본설정·안내!$B$4="","",기본설정·안내!$B$4))</f>
        <v/>
      </c>
      <c r="C196" t="str">
        <f>IF($A196="","",IF(발령대장_입력!$B165="",발령대장_입력!$A165,발령대장_입력!$A165&amp;CHAR(10)&amp;"("&amp;발령대장_입력!$B165&amp;")"))</f>
        <v/>
      </c>
      <c r="D196" t="str">
        <f>IF($A196="","",발령대장_입력!$C165)</f>
        <v/>
      </c>
      <c r="E196" t="str">
        <f>IF($A196="","",발령대장_입력!$A165&amp;"에 임함"&amp;IF(발령대장_입력!$B165="","",CHAR(10)&amp;"("&amp;발령대장_입력!$B165&amp;")")&amp;IF(발령대장_입력!$G165="","",CHAR(10)&amp;"("&amp;SUBSTITUTE(SUBSTITUTE(발령대장_입력!$G165,"호봉","")," ","")&amp;")호봉을 급함")&amp;CHAR(10)&amp;"임용기간: "&amp;YEAR(발령대장_입력!$E165)&amp;"."&amp;MONTH(발령대장_입력!$E165)&amp;"."&amp;DAY(발령대장_입력!$E165)&amp;"."&amp;" ~ "&amp;YEAR(발령대장_입력!$F165)&amp;"."&amp;MONTH(발령대장_입력!$F165)&amp;"."&amp;DAY(발령대장_입력!$F165)&amp;".")</f>
        <v/>
      </c>
      <c r="F196" t="str">
        <f>IF($A196="","",IF(기본설정·안내!$B$5="","",기본설정·안내!$B$5))</f>
        <v/>
      </c>
      <c r="G196" t="str">
        <f>IF($A196="","",IF(기본설정·안내!$B$6="","",기본설정·안내!$B$6))</f>
        <v/>
      </c>
      <c r="H196" t="str">
        <f>IF($A196="","",IF(기본설정·안내!$B$7="","",기본설정·안내!$B$7))</f>
        <v/>
      </c>
      <c r="I196" t="str">
        <f>IF($A196="","",IF(기본설정·안내!$B$8="","",기본설정·안내!$B$8))</f>
        <v/>
      </c>
      <c r="J196" t="str">
        <f>IF($A196="","",IF(기본설정·안내!$B$9="","",기본설정·안내!$B$9))</f>
        <v/>
      </c>
    </row>
    <row r="197" spans="1:10">
      <c r="A197" s="42" t="str">
        <f>IF(발령대장_입력!$C166="","",발령대장_입력!$E166)</f>
        <v/>
      </c>
      <c r="B197" t="str">
        <f>IF($A197="","",IF(기본설정·안내!$B$4="","",기본설정·안내!$B$4))</f>
        <v/>
      </c>
      <c r="C197" t="str">
        <f>IF($A197="","",IF(발령대장_입력!$B166="",발령대장_입력!$A166,발령대장_입력!$A166&amp;CHAR(10)&amp;"("&amp;발령대장_입력!$B166&amp;")"))</f>
        <v/>
      </c>
      <c r="D197" t="str">
        <f>IF($A197="","",발령대장_입력!$C166)</f>
        <v/>
      </c>
      <c r="E197" t="str">
        <f>IF($A197="","",발령대장_입력!$A166&amp;"에 임함"&amp;IF(발령대장_입력!$B166="","",CHAR(10)&amp;"("&amp;발령대장_입력!$B166&amp;")")&amp;IF(발령대장_입력!$G166="","",CHAR(10)&amp;"("&amp;SUBSTITUTE(SUBSTITUTE(발령대장_입력!$G166,"호봉","")," ","")&amp;")호봉을 급함")&amp;CHAR(10)&amp;"임용기간: "&amp;YEAR(발령대장_입력!$E166)&amp;"."&amp;MONTH(발령대장_입력!$E166)&amp;"."&amp;DAY(발령대장_입력!$E166)&amp;"."&amp;" ~ "&amp;YEAR(발령대장_입력!$F166)&amp;"."&amp;MONTH(발령대장_입력!$F166)&amp;"."&amp;DAY(발령대장_입력!$F166)&amp;".")</f>
        <v/>
      </c>
      <c r="F197" t="str">
        <f>IF($A197="","",IF(기본설정·안내!$B$5="","",기본설정·안내!$B$5))</f>
        <v/>
      </c>
      <c r="G197" t="str">
        <f>IF($A197="","",IF(기본설정·안내!$B$6="","",기본설정·안내!$B$6))</f>
        <v/>
      </c>
      <c r="H197" t="str">
        <f>IF($A197="","",IF(기본설정·안내!$B$7="","",기본설정·안내!$B$7))</f>
        <v/>
      </c>
      <c r="I197" t="str">
        <f>IF($A197="","",IF(기본설정·안내!$B$8="","",기본설정·안내!$B$8))</f>
        <v/>
      </c>
      <c r="J197" t="str">
        <f>IF($A197="","",IF(기본설정·안내!$B$9="","",기본설정·안내!$B$9))</f>
        <v/>
      </c>
    </row>
    <row r="198" spans="1:10">
      <c r="A198" s="42" t="str">
        <f>IF(발령대장_입력!$C167="","",발령대장_입력!$E167)</f>
        <v/>
      </c>
      <c r="B198" t="str">
        <f>IF($A198="","",IF(기본설정·안내!$B$4="","",기본설정·안내!$B$4))</f>
        <v/>
      </c>
      <c r="C198" t="str">
        <f>IF($A198="","",IF(발령대장_입력!$B167="",발령대장_입력!$A167,발령대장_입력!$A167&amp;CHAR(10)&amp;"("&amp;발령대장_입력!$B167&amp;")"))</f>
        <v/>
      </c>
      <c r="D198" t="str">
        <f>IF($A198="","",발령대장_입력!$C167)</f>
        <v/>
      </c>
      <c r="E198" t="str">
        <f>IF($A198="","",발령대장_입력!$A167&amp;"에 임함"&amp;IF(발령대장_입력!$B167="","",CHAR(10)&amp;"("&amp;발령대장_입력!$B167&amp;")")&amp;IF(발령대장_입력!$G167="","",CHAR(10)&amp;"("&amp;SUBSTITUTE(SUBSTITUTE(발령대장_입력!$G167,"호봉","")," ","")&amp;")호봉을 급함")&amp;CHAR(10)&amp;"임용기간: "&amp;YEAR(발령대장_입력!$E167)&amp;"."&amp;MONTH(발령대장_입력!$E167)&amp;"."&amp;DAY(발령대장_입력!$E167)&amp;"."&amp;" ~ "&amp;YEAR(발령대장_입력!$F167)&amp;"."&amp;MONTH(발령대장_입력!$F167)&amp;"."&amp;DAY(발령대장_입력!$F167)&amp;".")</f>
        <v/>
      </c>
      <c r="F198" t="str">
        <f>IF($A198="","",IF(기본설정·안내!$B$5="","",기본설정·안내!$B$5))</f>
        <v/>
      </c>
      <c r="G198" t="str">
        <f>IF($A198="","",IF(기본설정·안내!$B$6="","",기본설정·안내!$B$6))</f>
        <v/>
      </c>
      <c r="H198" t="str">
        <f>IF($A198="","",IF(기본설정·안내!$B$7="","",기본설정·안내!$B$7))</f>
        <v/>
      </c>
      <c r="I198" t="str">
        <f>IF($A198="","",IF(기본설정·안내!$B$8="","",기본설정·안내!$B$8))</f>
        <v/>
      </c>
      <c r="J198" t="str">
        <f>IF($A198="","",IF(기본설정·안내!$B$9="","",기본설정·안내!$B$9))</f>
        <v/>
      </c>
    </row>
    <row r="199" spans="1:10">
      <c r="A199" s="42" t="str">
        <f>IF(발령대장_입력!$C168="","",발령대장_입력!$E168)</f>
        <v/>
      </c>
      <c r="B199" t="str">
        <f>IF($A199="","",IF(기본설정·안내!$B$4="","",기본설정·안내!$B$4))</f>
        <v/>
      </c>
      <c r="C199" t="str">
        <f>IF($A199="","",IF(발령대장_입력!$B168="",발령대장_입력!$A168,발령대장_입력!$A168&amp;CHAR(10)&amp;"("&amp;발령대장_입력!$B168&amp;")"))</f>
        <v/>
      </c>
      <c r="D199" t="str">
        <f>IF($A199="","",발령대장_입력!$C168)</f>
        <v/>
      </c>
      <c r="E199" t="str">
        <f>IF($A199="","",발령대장_입력!$A168&amp;"에 임함"&amp;IF(발령대장_입력!$B168="","",CHAR(10)&amp;"("&amp;발령대장_입력!$B168&amp;")")&amp;IF(발령대장_입력!$G168="","",CHAR(10)&amp;"("&amp;SUBSTITUTE(SUBSTITUTE(발령대장_입력!$G168,"호봉","")," ","")&amp;")호봉을 급함")&amp;CHAR(10)&amp;"임용기간: "&amp;YEAR(발령대장_입력!$E168)&amp;"."&amp;MONTH(발령대장_입력!$E168)&amp;"."&amp;DAY(발령대장_입력!$E168)&amp;"."&amp;" ~ "&amp;YEAR(발령대장_입력!$F168)&amp;"."&amp;MONTH(발령대장_입력!$F168)&amp;"."&amp;DAY(발령대장_입력!$F168)&amp;".")</f>
        <v/>
      </c>
      <c r="F199" t="str">
        <f>IF($A199="","",IF(기본설정·안내!$B$5="","",기본설정·안내!$B$5))</f>
        <v/>
      </c>
      <c r="G199" t="str">
        <f>IF($A199="","",IF(기본설정·안내!$B$6="","",기본설정·안내!$B$6))</f>
        <v/>
      </c>
      <c r="H199" t="str">
        <f>IF($A199="","",IF(기본설정·안내!$B$7="","",기본설정·안내!$B$7))</f>
        <v/>
      </c>
      <c r="I199" t="str">
        <f>IF($A199="","",IF(기본설정·안내!$B$8="","",기본설정·안내!$B$8))</f>
        <v/>
      </c>
      <c r="J199" t="str">
        <f>IF($A199="","",IF(기본설정·안내!$B$9="","",기본설정·안내!$B$9))</f>
        <v/>
      </c>
    </row>
    <row r="200" spans="1:10">
      <c r="A200" s="42" t="str">
        <f>IF(발령대장_입력!$C169="","",발령대장_입력!$E169)</f>
        <v/>
      </c>
      <c r="B200" t="str">
        <f>IF($A200="","",IF(기본설정·안내!$B$4="","",기본설정·안내!$B$4))</f>
        <v/>
      </c>
      <c r="C200" t="str">
        <f>IF($A200="","",IF(발령대장_입력!$B169="",발령대장_입력!$A169,발령대장_입력!$A169&amp;CHAR(10)&amp;"("&amp;발령대장_입력!$B169&amp;")"))</f>
        <v/>
      </c>
      <c r="D200" t="str">
        <f>IF($A200="","",발령대장_입력!$C169)</f>
        <v/>
      </c>
      <c r="E200" t="str">
        <f>IF($A200="","",발령대장_입력!$A169&amp;"에 임함"&amp;IF(발령대장_입력!$B169="","",CHAR(10)&amp;"("&amp;발령대장_입력!$B169&amp;")")&amp;IF(발령대장_입력!$G169="","",CHAR(10)&amp;"("&amp;SUBSTITUTE(SUBSTITUTE(발령대장_입력!$G169,"호봉","")," ","")&amp;")호봉을 급함")&amp;CHAR(10)&amp;"임용기간: "&amp;YEAR(발령대장_입력!$E169)&amp;"."&amp;MONTH(발령대장_입력!$E169)&amp;"."&amp;DAY(발령대장_입력!$E169)&amp;"."&amp;" ~ "&amp;YEAR(발령대장_입력!$F169)&amp;"."&amp;MONTH(발령대장_입력!$F169)&amp;"."&amp;DAY(발령대장_입력!$F169)&amp;".")</f>
        <v/>
      </c>
      <c r="F200" t="str">
        <f>IF($A200="","",IF(기본설정·안내!$B$5="","",기본설정·안내!$B$5))</f>
        <v/>
      </c>
      <c r="G200" t="str">
        <f>IF($A200="","",IF(기본설정·안내!$B$6="","",기본설정·안내!$B$6))</f>
        <v/>
      </c>
      <c r="H200" t="str">
        <f>IF($A200="","",IF(기본설정·안내!$B$7="","",기본설정·안내!$B$7))</f>
        <v/>
      </c>
      <c r="I200" t="str">
        <f>IF($A200="","",IF(기본설정·안내!$B$8="","",기본설정·안내!$B$8))</f>
        <v/>
      </c>
      <c r="J200" t="str">
        <f>IF($A200="","",IF(기본설정·안내!$B$9="","",기본설정·안내!$B$9))</f>
        <v/>
      </c>
    </row>
    <row r="201" spans="1:10">
      <c r="A201" s="42" t="str">
        <f>IF(발령대장_입력!$C170="","",발령대장_입력!$E170)</f>
        <v/>
      </c>
      <c r="B201" t="str">
        <f>IF($A201="","",IF(기본설정·안내!$B$4="","",기본설정·안내!$B$4))</f>
        <v/>
      </c>
      <c r="C201" t="str">
        <f>IF($A201="","",IF(발령대장_입력!$B170="",발령대장_입력!$A170,발령대장_입력!$A170&amp;CHAR(10)&amp;"("&amp;발령대장_입력!$B170&amp;")"))</f>
        <v/>
      </c>
      <c r="D201" t="str">
        <f>IF($A201="","",발령대장_입력!$C170)</f>
        <v/>
      </c>
      <c r="E201" t="str">
        <f>IF($A201="","",발령대장_입력!$A170&amp;"에 임함"&amp;IF(발령대장_입력!$B170="","",CHAR(10)&amp;"("&amp;발령대장_입력!$B170&amp;")")&amp;IF(발령대장_입력!$G170="","",CHAR(10)&amp;"("&amp;SUBSTITUTE(SUBSTITUTE(발령대장_입력!$G170,"호봉","")," ","")&amp;")호봉을 급함")&amp;CHAR(10)&amp;"임용기간: "&amp;YEAR(발령대장_입력!$E170)&amp;"."&amp;MONTH(발령대장_입력!$E170)&amp;"."&amp;DAY(발령대장_입력!$E170)&amp;"."&amp;" ~ "&amp;YEAR(발령대장_입력!$F170)&amp;"."&amp;MONTH(발령대장_입력!$F170)&amp;"."&amp;DAY(발령대장_입력!$F170)&amp;".")</f>
        <v/>
      </c>
      <c r="F201" t="str">
        <f>IF($A201="","",IF(기본설정·안내!$B$5="","",기본설정·안내!$B$5))</f>
        <v/>
      </c>
      <c r="G201" t="str">
        <f>IF($A201="","",IF(기본설정·안내!$B$6="","",기본설정·안내!$B$6))</f>
        <v/>
      </c>
      <c r="H201" t="str">
        <f>IF($A201="","",IF(기본설정·안내!$B$7="","",기본설정·안내!$B$7))</f>
        <v/>
      </c>
      <c r="I201" t="str">
        <f>IF($A201="","",IF(기본설정·안내!$B$8="","",기본설정·안내!$B$8))</f>
        <v/>
      </c>
      <c r="J201" t="str">
        <f>IF($A201="","",IF(기본설정·안내!$B$9="","",기본설정·안내!$B$9))</f>
        <v/>
      </c>
    </row>
    <row r="202" spans="1:10">
      <c r="A202" s="42" t="str">
        <f>IF(발령대장_입력!$C171="","",발령대장_입력!$E171)</f>
        <v/>
      </c>
      <c r="B202" t="str">
        <f>IF($A202="","",IF(기본설정·안내!$B$4="","",기본설정·안내!$B$4))</f>
        <v/>
      </c>
      <c r="C202" t="str">
        <f>IF($A202="","",IF(발령대장_입력!$B171="",발령대장_입력!$A171,발령대장_입력!$A171&amp;CHAR(10)&amp;"("&amp;발령대장_입력!$B171&amp;")"))</f>
        <v/>
      </c>
      <c r="D202" t="str">
        <f>IF($A202="","",발령대장_입력!$C171)</f>
        <v/>
      </c>
      <c r="E202" t="str">
        <f>IF($A202="","",발령대장_입력!$A171&amp;"에 임함"&amp;IF(발령대장_입력!$B171="","",CHAR(10)&amp;"("&amp;발령대장_입력!$B171&amp;")")&amp;IF(발령대장_입력!$G171="","",CHAR(10)&amp;"("&amp;SUBSTITUTE(SUBSTITUTE(발령대장_입력!$G171,"호봉","")," ","")&amp;")호봉을 급함")&amp;CHAR(10)&amp;"임용기간: "&amp;YEAR(발령대장_입력!$E171)&amp;"."&amp;MONTH(발령대장_입력!$E171)&amp;"."&amp;DAY(발령대장_입력!$E171)&amp;"."&amp;" ~ "&amp;YEAR(발령대장_입력!$F171)&amp;"."&amp;MONTH(발령대장_입력!$F171)&amp;"."&amp;DAY(발령대장_입력!$F171)&amp;".")</f>
        <v/>
      </c>
      <c r="F202" t="str">
        <f>IF($A202="","",IF(기본설정·안내!$B$5="","",기본설정·안내!$B$5))</f>
        <v/>
      </c>
      <c r="G202" t="str">
        <f>IF($A202="","",IF(기본설정·안내!$B$6="","",기본설정·안내!$B$6))</f>
        <v/>
      </c>
      <c r="H202" t="str">
        <f>IF($A202="","",IF(기본설정·안내!$B$7="","",기본설정·안내!$B$7))</f>
        <v/>
      </c>
      <c r="I202" t="str">
        <f>IF($A202="","",IF(기본설정·안내!$B$8="","",기본설정·안내!$B$8))</f>
        <v/>
      </c>
      <c r="J202" t="str">
        <f>IF($A202="","",IF(기본설정·안내!$B$9="","",기본설정·안내!$B$9))</f>
        <v/>
      </c>
    </row>
    <row r="203" spans="1:10">
      <c r="A203" s="42" t="str">
        <f>IF(발령대장_입력!$C172="","",발령대장_입력!$E172)</f>
        <v/>
      </c>
      <c r="B203" t="str">
        <f>IF($A203="","",IF(기본설정·안내!$B$4="","",기본설정·안내!$B$4))</f>
        <v/>
      </c>
      <c r="C203" t="str">
        <f>IF($A203="","",IF(발령대장_입력!$B172="",발령대장_입력!$A172,발령대장_입력!$A172&amp;CHAR(10)&amp;"("&amp;발령대장_입력!$B172&amp;")"))</f>
        <v/>
      </c>
      <c r="D203" t="str">
        <f>IF($A203="","",발령대장_입력!$C172)</f>
        <v/>
      </c>
      <c r="E203" t="str">
        <f>IF($A203="","",발령대장_입력!$A172&amp;"에 임함"&amp;IF(발령대장_입력!$B172="","",CHAR(10)&amp;"("&amp;발령대장_입력!$B172&amp;")")&amp;IF(발령대장_입력!$G172="","",CHAR(10)&amp;"("&amp;SUBSTITUTE(SUBSTITUTE(발령대장_입력!$G172,"호봉","")," ","")&amp;")호봉을 급함")&amp;CHAR(10)&amp;"임용기간: "&amp;YEAR(발령대장_입력!$E172)&amp;"."&amp;MONTH(발령대장_입력!$E172)&amp;"."&amp;DAY(발령대장_입력!$E172)&amp;"."&amp;" ~ "&amp;YEAR(발령대장_입력!$F172)&amp;"."&amp;MONTH(발령대장_입력!$F172)&amp;"."&amp;DAY(발령대장_입력!$F172)&amp;".")</f>
        <v/>
      </c>
      <c r="F203" t="str">
        <f>IF($A203="","",IF(기본설정·안내!$B$5="","",기본설정·안내!$B$5))</f>
        <v/>
      </c>
      <c r="G203" t="str">
        <f>IF($A203="","",IF(기본설정·안내!$B$6="","",기본설정·안내!$B$6))</f>
        <v/>
      </c>
      <c r="H203" t="str">
        <f>IF($A203="","",IF(기본설정·안내!$B$7="","",기본설정·안내!$B$7))</f>
        <v/>
      </c>
      <c r="I203" t="str">
        <f>IF($A203="","",IF(기본설정·안내!$B$8="","",기본설정·안내!$B$8))</f>
        <v/>
      </c>
      <c r="J203" t="str">
        <f>IF($A203="","",IF(기본설정·안내!$B$9="","",기본설정·안내!$B$9))</f>
        <v/>
      </c>
    </row>
    <row r="204" spans="1:10">
      <c r="A204" s="42" t="str">
        <f>IF(발령대장_입력!$C173="","",발령대장_입력!$E173)</f>
        <v/>
      </c>
      <c r="B204" t="str">
        <f>IF($A204="","",IF(기본설정·안내!$B$4="","",기본설정·안내!$B$4))</f>
        <v/>
      </c>
      <c r="C204" t="str">
        <f>IF($A204="","",IF(발령대장_입력!$B173="",발령대장_입력!$A173,발령대장_입력!$A173&amp;CHAR(10)&amp;"("&amp;발령대장_입력!$B173&amp;")"))</f>
        <v/>
      </c>
      <c r="D204" t="str">
        <f>IF($A204="","",발령대장_입력!$C173)</f>
        <v/>
      </c>
      <c r="E204" t="str">
        <f>IF($A204="","",발령대장_입력!$A173&amp;"에 임함"&amp;IF(발령대장_입력!$B173="","",CHAR(10)&amp;"("&amp;발령대장_입력!$B173&amp;")")&amp;IF(발령대장_입력!$G173="","",CHAR(10)&amp;"("&amp;SUBSTITUTE(SUBSTITUTE(발령대장_입력!$G173,"호봉","")," ","")&amp;")호봉을 급함")&amp;CHAR(10)&amp;"임용기간: "&amp;YEAR(발령대장_입력!$E173)&amp;"."&amp;MONTH(발령대장_입력!$E173)&amp;"."&amp;DAY(발령대장_입력!$E173)&amp;"."&amp;" ~ "&amp;YEAR(발령대장_입력!$F173)&amp;"."&amp;MONTH(발령대장_입력!$F173)&amp;"."&amp;DAY(발령대장_입력!$F173)&amp;".")</f>
        <v/>
      </c>
      <c r="F204" t="str">
        <f>IF($A204="","",IF(기본설정·안내!$B$5="","",기본설정·안내!$B$5))</f>
        <v/>
      </c>
      <c r="G204" t="str">
        <f>IF($A204="","",IF(기본설정·안내!$B$6="","",기본설정·안내!$B$6))</f>
        <v/>
      </c>
      <c r="H204" t="str">
        <f>IF($A204="","",IF(기본설정·안내!$B$7="","",기본설정·안내!$B$7))</f>
        <v/>
      </c>
      <c r="I204" t="str">
        <f>IF($A204="","",IF(기본설정·안내!$B$8="","",기본설정·안내!$B$8))</f>
        <v/>
      </c>
      <c r="J204" t="str">
        <f>IF($A204="","",IF(기본설정·안내!$B$9="","",기본설정·안내!$B$9))</f>
        <v/>
      </c>
    </row>
  </sheetData>
  <mergeCells count="2">
    <mergeCell ref="A1:J1"/>
    <mergeCell ref="A2:J2"/>
  </mergeCells>
  <phoneticPr fontId="9" type="noConversion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기본설정·안내</vt:lpstr>
      <vt:lpstr>발령대장_입력</vt:lpstr>
      <vt:lpstr>발령대장_출력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홈</dc:creator>
  <cp:lastModifiedBy>손승희</cp:lastModifiedBy>
  <dcterms:created xsi:type="dcterms:W3CDTF">2026-08-08T05:38:48Z</dcterms:created>
  <dcterms:modified xsi:type="dcterms:W3CDTF">2026-08-08T06:14:22Z</dcterms:modified>
</cp:coreProperties>
</file>